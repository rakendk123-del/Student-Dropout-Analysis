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D5ABB85AE5327/Desktop/ENTRI ASSIGNMENTS/MINI  PROJECT/"/>
    </mc:Choice>
  </mc:AlternateContent>
  <xr:revisionPtr revIDLastSave="38" documentId="14_{F785993A-AB3F-4765-8D07-4A01F075EC90}" xr6:coauthVersionLast="47" xr6:coauthVersionMax="47" xr10:uidLastSave="{F04F6DCF-509A-48A7-B865-7CF8804B1130}"/>
  <bookViews>
    <workbookView minimized="1" xWindow="1140" yWindow="600" windowWidth="21900" windowHeight="11640" activeTab="1" xr2:uid="{BF653D75-BBA9-4887-9E41-ED3AF715E1AE}"/>
  </bookViews>
  <sheets>
    <sheet name="Raw sheet" sheetId="1" r:id="rId1"/>
    <sheet name="Student droput data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N25" i="3"/>
  <c r="O25" i="3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2" i="3"/>
  <c r="D2" i="3"/>
  <c r="E2" i="3" s="1"/>
  <c r="G2" i="3"/>
  <c r="N24" i="3"/>
  <c r="O24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439" i="3"/>
  <c r="O439" i="3" s="1"/>
  <c r="N440" i="3"/>
  <c r="O440" i="3" s="1"/>
  <c r="N441" i="3"/>
  <c r="O441" i="3" s="1"/>
  <c r="N442" i="3"/>
  <c r="O442" i="3" s="1"/>
  <c r="N443" i="3"/>
  <c r="O443" i="3" s="1"/>
  <c r="N444" i="3"/>
  <c r="O444" i="3" s="1"/>
  <c r="N445" i="3"/>
  <c r="O445" i="3" s="1"/>
  <c r="N446" i="3"/>
  <c r="O446" i="3" s="1"/>
  <c r="N447" i="3"/>
  <c r="O447" i="3" s="1"/>
  <c r="N448" i="3"/>
  <c r="O448" i="3" s="1"/>
  <c r="N449" i="3"/>
  <c r="O449" i="3" s="1"/>
  <c r="N450" i="3"/>
  <c r="O450" i="3" s="1"/>
  <c r="N451" i="3"/>
  <c r="O451" i="3" s="1"/>
  <c r="N452" i="3"/>
  <c r="O452" i="3" s="1"/>
  <c r="N453" i="3"/>
  <c r="O453" i="3" s="1"/>
  <c r="N454" i="3"/>
  <c r="O454" i="3" s="1"/>
  <c r="N455" i="3"/>
  <c r="O455" i="3" s="1"/>
  <c r="N456" i="3"/>
  <c r="O456" i="3" s="1"/>
  <c r="N457" i="3"/>
  <c r="O457" i="3" s="1"/>
  <c r="N458" i="3"/>
  <c r="O458" i="3" s="1"/>
  <c r="N459" i="3"/>
  <c r="O459" i="3" s="1"/>
  <c r="N460" i="3"/>
  <c r="O460" i="3" s="1"/>
  <c r="N461" i="3"/>
  <c r="O461" i="3" s="1"/>
  <c r="N462" i="3"/>
  <c r="O462" i="3" s="1"/>
  <c r="N463" i="3"/>
  <c r="O463" i="3" s="1"/>
  <c r="N464" i="3"/>
  <c r="O464" i="3" s="1"/>
  <c r="N465" i="3"/>
  <c r="O465" i="3" s="1"/>
  <c r="N466" i="3"/>
  <c r="O466" i="3" s="1"/>
  <c r="N467" i="3"/>
  <c r="O467" i="3" s="1"/>
  <c r="N468" i="3"/>
  <c r="O468" i="3" s="1"/>
  <c r="N469" i="3"/>
  <c r="O469" i="3" s="1"/>
  <c r="N470" i="3"/>
  <c r="O470" i="3" s="1"/>
  <c r="N471" i="3"/>
  <c r="O471" i="3" s="1"/>
  <c r="N472" i="3"/>
  <c r="O472" i="3" s="1"/>
  <c r="N473" i="3"/>
  <c r="O473" i="3" s="1"/>
  <c r="N474" i="3"/>
  <c r="O474" i="3" s="1"/>
  <c r="N475" i="3"/>
  <c r="O475" i="3" s="1"/>
  <c r="N476" i="3"/>
  <c r="O476" i="3" s="1"/>
  <c r="N477" i="3"/>
  <c r="O477" i="3" s="1"/>
  <c r="N478" i="3"/>
  <c r="O478" i="3" s="1"/>
  <c r="N479" i="3"/>
  <c r="O479" i="3" s="1"/>
  <c r="N480" i="3"/>
  <c r="O480" i="3" s="1"/>
  <c r="N481" i="3"/>
  <c r="O481" i="3" s="1"/>
  <c r="N482" i="3"/>
  <c r="O482" i="3" s="1"/>
  <c r="N483" i="3"/>
  <c r="O483" i="3" s="1"/>
  <c r="N484" i="3"/>
  <c r="O484" i="3" s="1"/>
  <c r="N485" i="3"/>
  <c r="O485" i="3" s="1"/>
  <c r="N486" i="3"/>
  <c r="O486" i="3" s="1"/>
  <c r="N487" i="3"/>
  <c r="O487" i="3" s="1"/>
  <c r="N488" i="3"/>
  <c r="O488" i="3" s="1"/>
  <c r="N489" i="3"/>
  <c r="O489" i="3" s="1"/>
  <c r="N490" i="3"/>
  <c r="O490" i="3" s="1"/>
  <c r="N491" i="3"/>
  <c r="O491" i="3" s="1"/>
  <c r="N492" i="3"/>
  <c r="O492" i="3" s="1"/>
  <c r="N493" i="3"/>
  <c r="O493" i="3" s="1"/>
  <c r="N494" i="3"/>
  <c r="O494" i="3" s="1"/>
  <c r="N495" i="3"/>
  <c r="O495" i="3" s="1"/>
  <c r="N496" i="3"/>
  <c r="O496" i="3" s="1"/>
  <c r="N497" i="3"/>
  <c r="O497" i="3" s="1"/>
  <c r="N498" i="3"/>
  <c r="O498" i="3" s="1"/>
  <c r="N499" i="3"/>
  <c r="O499" i="3" s="1"/>
  <c r="N500" i="3"/>
  <c r="O500" i="3" s="1"/>
  <c r="N501" i="3"/>
  <c r="O501" i="3" s="1"/>
  <c r="N502" i="3"/>
  <c r="O502" i="3" s="1"/>
  <c r="N503" i="3"/>
  <c r="O503" i="3" s="1"/>
  <c r="N504" i="3"/>
  <c r="O504" i="3" s="1"/>
  <c r="N505" i="3"/>
  <c r="O505" i="3" s="1"/>
  <c r="N506" i="3"/>
  <c r="O506" i="3" s="1"/>
  <c r="N507" i="3"/>
  <c r="O507" i="3" s="1"/>
  <c r="N508" i="3"/>
  <c r="O508" i="3" s="1"/>
  <c r="N509" i="3"/>
  <c r="O509" i="3" s="1"/>
  <c r="N510" i="3"/>
  <c r="O510" i="3" s="1"/>
  <c r="N511" i="3"/>
  <c r="O511" i="3" s="1"/>
  <c r="N512" i="3"/>
  <c r="O512" i="3" s="1"/>
  <c r="N513" i="3"/>
  <c r="O513" i="3" s="1"/>
  <c r="N514" i="3"/>
  <c r="O514" i="3" s="1"/>
  <c r="N515" i="3"/>
  <c r="O515" i="3" s="1"/>
  <c r="N516" i="3"/>
  <c r="O516" i="3" s="1"/>
  <c r="N517" i="3"/>
  <c r="O517" i="3" s="1"/>
  <c r="N518" i="3"/>
  <c r="O518" i="3" s="1"/>
  <c r="N519" i="3"/>
  <c r="O519" i="3" s="1"/>
  <c r="N520" i="3"/>
  <c r="O520" i="3" s="1"/>
  <c r="N521" i="3"/>
  <c r="O521" i="3" s="1"/>
  <c r="N522" i="3"/>
  <c r="O522" i="3" s="1"/>
  <c r="N523" i="3"/>
  <c r="O523" i="3" s="1"/>
  <c r="N524" i="3"/>
  <c r="O524" i="3" s="1"/>
  <c r="N525" i="3"/>
  <c r="O525" i="3" s="1"/>
  <c r="N526" i="3"/>
  <c r="O526" i="3" s="1"/>
  <c r="N527" i="3"/>
  <c r="O527" i="3" s="1"/>
  <c r="N528" i="3"/>
  <c r="O528" i="3" s="1"/>
  <c r="N529" i="3"/>
  <c r="O529" i="3" s="1"/>
  <c r="N530" i="3"/>
  <c r="O530" i="3" s="1"/>
  <c r="N531" i="3"/>
  <c r="O531" i="3" s="1"/>
  <c r="N532" i="3"/>
  <c r="O532" i="3" s="1"/>
  <c r="N533" i="3"/>
  <c r="O533" i="3" s="1"/>
  <c r="N534" i="3"/>
  <c r="O534" i="3" s="1"/>
  <c r="N535" i="3"/>
  <c r="O535" i="3" s="1"/>
  <c r="N536" i="3"/>
  <c r="O536" i="3" s="1"/>
  <c r="N537" i="3"/>
  <c r="O537" i="3" s="1"/>
  <c r="N538" i="3"/>
  <c r="O538" i="3" s="1"/>
  <c r="N539" i="3"/>
  <c r="O539" i="3" s="1"/>
  <c r="N540" i="3"/>
  <c r="O540" i="3" s="1"/>
  <c r="N541" i="3"/>
  <c r="O541" i="3" s="1"/>
  <c r="N542" i="3"/>
  <c r="O542" i="3" s="1"/>
  <c r="N543" i="3"/>
  <c r="O543" i="3" s="1"/>
  <c r="N544" i="3"/>
  <c r="O544" i="3" s="1"/>
  <c r="N545" i="3"/>
  <c r="O545" i="3" s="1"/>
  <c r="N546" i="3"/>
  <c r="O546" i="3" s="1"/>
  <c r="N547" i="3"/>
  <c r="O547" i="3" s="1"/>
  <c r="N548" i="3"/>
  <c r="O548" i="3" s="1"/>
  <c r="N549" i="3"/>
  <c r="O549" i="3" s="1"/>
  <c r="N550" i="3"/>
  <c r="O550" i="3" s="1"/>
  <c r="N551" i="3"/>
  <c r="O551" i="3" s="1"/>
  <c r="N552" i="3"/>
  <c r="O552" i="3" s="1"/>
  <c r="N553" i="3"/>
  <c r="O553" i="3" s="1"/>
  <c r="N554" i="3"/>
  <c r="O554" i="3" s="1"/>
  <c r="N555" i="3"/>
  <c r="O555" i="3" s="1"/>
  <c r="N556" i="3"/>
  <c r="O556" i="3" s="1"/>
  <c r="N557" i="3"/>
  <c r="O557" i="3" s="1"/>
  <c r="N558" i="3"/>
  <c r="O558" i="3" s="1"/>
  <c r="N559" i="3"/>
  <c r="O559" i="3" s="1"/>
  <c r="N560" i="3"/>
  <c r="O560" i="3" s="1"/>
  <c r="N561" i="3"/>
  <c r="O561" i="3" s="1"/>
  <c r="N562" i="3"/>
  <c r="O562" i="3" s="1"/>
  <c r="N563" i="3"/>
  <c r="O563" i="3" s="1"/>
  <c r="N564" i="3"/>
  <c r="O564" i="3" s="1"/>
  <c r="N565" i="3"/>
  <c r="O565" i="3" s="1"/>
  <c r="N566" i="3"/>
  <c r="O566" i="3" s="1"/>
  <c r="N567" i="3"/>
  <c r="O567" i="3" s="1"/>
  <c r="N568" i="3"/>
  <c r="O568" i="3" s="1"/>
  <c r="N569" i="3"/>
  <c r="O569" i="3" s="1"/>
  <c r="N570" i="3"/>
  <c r="O570" i="3" s="1"/>
  <c r="N571" i="3"/>
  <c r="O571" i="3" s="1"/>
  <c r="N572" i="3"/>
  <c r="O572" i="3" s="1"/>
  <c r="N573" i="3"/>
  <c r="O573" i="3" s="1"/>
  <c r="N574" i="3"/>
  <c r="O574" i="3" s="1"/>
  <c r="N575" i="3"/>
  <c r="O575" i="3" s="1"/>
  <c r="N576" i="3"/>
  <c r="O576" i="3" s="1"/>
  <c r="N577" i="3"/>
  <c r="O577" i="3" s="1"/>
  <c r="N578" i="3"/>
  <c r="O578" i="3" s="1"/>
  <c r="N579" i="3"/>
  <c r="O579" i="3" s="1"/>
  <c r="N580" i="3"/>
  <c r="O580" i="3" s="1"/>
  <c r="N581" i="3"/>
  <c r="O581" i="3" s="1"/>
  <c r="N582" i="3"/>
  <c r="O582" i="3" s="1"/>
  <c r="N583" i="3"/>
  <c r="O583" i="3" s="1"/>
  <c r="N584" i="3"/>
  <c r="O584" i="3" s="1"/>
  <c r="N585" i="3"/>
  <c r="O585" i="3" s="1"/>
  <c r="N586" i="3"/>
  <c r="O586" i="3" s="1"/>
  <c r="N587" i="3"/>
  <c r="O587" i="3" s="1"/>
  <c r="N588" i="3"/>
  <c r="O588" i="3" s="1"/>
  <c r="N589" i="3"/>
  <c r="O589" i="3" s="1"/>
  <c r="N590" i="3"/>
  <c r="O590" i="3" s="1"/>
  <c r="N591" i="3"/>
  <c r="O591" i="3" s="1"/>
  <c r="N592" i="3"/>
  <c r="O592" i="3" s="1"/>
  <c r="N593" i="3"/>
  <c r="O593" i="3" s="1"/>
  <c r="N594" i="3"/>
  <c r="O594" i="3" s="1"/>
  <c r="N595" i="3"/>
  <c r="O595" i="3" s="1"/>
  <c r="N596" i="3"/>
  <c r="O596" i="3" s="1"/>
  <c r="N597" i="3"/>
  <c r="O597" i="3" s="1"/>
  <c r="N598" i="3"/>
  <c r="O598" i="3" s="1"/>
  <c r="N599" i="3"/>
  <c r="O599" i="3" s="1"/>
  <c r="N600" i="3"/>
  <c r="O600" i="3" s="1"/>
  <c r="N601" i="3"/>
  <c r="O601" i="3" s="1"/>
  <c r="N602" i="3"/>
  <c r="O602" i="3" s="1"/>
  <c r="N603" i="3"/>
  <c r="O603" i="3" s="1"/>
  <c r="N604" i="3"/>
  <c r="O604" i="3" s="1"/>
  <c r="N605" i="3"/>
  <c r="O605" i="3" s="1"/>
  <c r="N606" i="3"/>
  <c r="O606" i="3" s="1"/>
  <c r="N607" i="3"/>
  <c r="O607" i="3" s="1"/>
  <c r="N608" i="3"/>
  <c r="O608" i="3" s="1"/>
  <c r="N609" i="3"/>
  <c r="O609" i="3" s="1"/>
  <c r="N610" i="3"/>
  <c r="O610" i="3" s="1"/>
  <c r="N611" i="3"/>
  <c r="O611" i="3" s="1"/>
  <c r="N612" i="3"/>
  <c r="O612" i="3" s="1"/>
  <c r="N613" i="3"/>
  <c r="O613" i="3" s="1"/>
  <c r="N614" i="3"/>
  <c r="O614" i="3" s="1"/>
  <c r="N615" i="3"/>
  <c r="O615" i="3" s="1"/>
  <c r="N616" i="3"/>
  <c r="O616" i="3" s="1"/>
  <c r="N617" i="3"/>
  <c r="O617" i="3" s="1"/>
  <c r="N618" i="3"/>
  <c r="O618" i="3" s="1"/>
  <c r="N619" i="3"/>
  <c r="O619" i="3" s="1"/>
  <c r="N620" i="3"/>
  <c r="O620" i="3" s="1"/>
  <c r="N621" i="3"/>
  <c r="O621" i="3" s="1"/>
  <c r="N622" i="3"/>
  <c r="O622" i="3" s="1"/>
  <c r="N623" i="3"/>
  <c r="O623" i="3" s="1"/>
  <c r="N624" i="3"/>
  <c r="O624" i="3" s="1"/>
  <c r="N625" i="3"/>
  <c r="O625" i="3" s="1"/>
  <c r="N626" i="3"/>
  <c r="O626" i="3" s="1"/>
  <c r="N627" i="3"/>
  <c r="O627" i="3" s="1"/>
  <c r="N628" i="3"/>
  <c r="O628" i="3" s="1"/>
  <c r="N629" i="3"/>
  <c r="O629" i="3" s="1"/>
  <c r="N630" i="3"/>
  <c r="O630" i="3" s="1"/>
  <c r="N631" i="3"/>
  <c r="O631" i="3" s="1"/>
  <c r="N632" i="3"/>
  <c r="O632" i="3" s="1"/>
  <c r="N633" i="3"/>
  <c r="O633" i="3" s="1"/>
  <c r="N634" i="3"/>
  <c r="O634" i="3" s="1"/>
  <c r="N635" i="3"/>
  <c r="O635" i="3" s="1"/>
  <c r="N636" i="3"/>
  <c r="O636" i="3" s="1"/>
  <c r="N637" i="3"/>
  <c r="O637" i="3" s="1"/>
  <c r="N638" i="3"/>
  <c r="O638" i="3" s="1"/>
  <c r="N639" i="3"/>
  <c r="O639" i="3" s="1"/>
  <c r="N640" i="3"/>
  <c r="O640" i="3" s="1"/>
  <c r="N641" i="3"/>
  <c r="O641" i="3" s="1"/>
  <c r="N642" i="3"/>
  <c r="O642" i="3" s="1"/>
  <c r="N643" i="3"/>
  <c r="O643" i="3" s="1"/>
  <c r="N644" i="3"/>
  <c r="O644" i="3" s="1"/>
  <c r="N645" i="3"/>
  <c r="O645" i="3" s="1"/>
  <c r="N646" i="3"/>
  <c r="O646" i="3" s="1"/>
  <c r="N647" i="3"/>
  <c r="O647" i="3" s="1"/>
  <c r="N648" i="3"/>
  <c r="O648" i="3" s="1"/>
  <c r="N649" i="3"/>
  <c r="O649" i="3" s="1"/>
  <c r="N650" i="3"/>
  <c r="O650" i="3" s="1"/>
  <c r="N651" i="3"/>
  <c r="O651" i="3" s="1"/>
  <c r="N652" i="3"/>
  <c r="O652" i="3" s="1"/>
  <c r="N653" i="3"/>
  <c r="O653" i="3" s="1"/>
  <c r="N654" i="3"/>
  <c r="O654" i="3" s="1"/>
  <c r="N655" i="3"/>
  <c r="O655" i="3" s="1"/>
  <c r="N656" i="3"/>
  <c r="O656" i="3" s="1"/>
  <c r="N657" i="3"/>
  <c r="O657" i="3" s="1"/>
  <c r="N658" i="3"/>
  <c r="O658" i="3" s="1"/>
  <c r="N659" i="3"/>
  <c r="O659" i="3" s="1"/>
  <c r="N660" i="3"/>
  <c r="O660" i="3" s="1"/>
  <c r="N661" i="3"/>
  <c r="O661" i="3" s="1"/>
  <c r="N662" i="3"/>
  <c r="O662" i="3" s="1"/>
  <c r="N663" i="3"/>
  <c r="O663" i="3" s="1"/>
  <c r="N664" i="3"/>
  <c r="O664" i="3" s="1"/>
  <c r="N665" i="3"/>
  <c r="O665" i="3" s="1"/>
  <c r="N666" i="3"/>
  <c r="O666" i="3" s="1"/>
  <c r="N667" i="3"/>
  <c r="O667" i="3" s="1"/>
  <c r="N668" i="3"/>
  <c r="O668" i="3" s="1"/>
  <c r="N669" i="3"/>
  <c r="O669" i="3" s="1"/>
  <c r="N670" i="3"/>
  <c r="O670" i="3" s="1"/>
  <c r="N671" i="3"/>
  <c r="O671" i="3" s="1"/>
  <c r="N672" i="3"/>
  <c r="O672" i="3" s="1"/>
  <c r="N673" i="3"/>
  <c r="O673" i="3" s="1"/>
  <c r="N674" i="3"/>
  <c r="O674" i="3" s="1"/>
  <c r="N675" i="3"/>
  <c r="O675" i="3" s="1"/>
  <c r="N676" i="3"/>
  <c r="O676" i="3" s="1"/>
  <c r="N677" i="3"/>
  <c r="O677" i="3" s="1"/>
  <c r="N678" i="3"/>
  <c r="O678" i="3" s="1"/>
  <c r="N679" i="3"/>
  <c r="O679" i="3" s="1"/>
  <c r="N680" i="3"/>
  <c r="O680" i="3" s="1"/>
  <c r="N681" i="3"/>
  <c r="O681" i="3" s="1"/>
  <c r="N682" i="3"/>
  <c r="O682" i="3" s="1"/>
  <c r="N683" i="3"/>
  <c r="O683" i="3" s="1"/>
  <c r="N684" i="3"/>
  <c r="O684" i="3" s="1"/>
  <c r="N685" i="3"/>
  <c r="O685" i="3" s="1"/>
  <c r="N686" i="3"/>
  <c r="O686" i="3" s="1"/>
  <c r="N687" i="3"/>
  <c r="O687" i="3" s="1"/>
  <c r="N688" i="3"/>
  <c r="O688" i="3" s="1"/>
  <c r="N689" i="3"/>
  <c r="O689" i="3" s="1"/>
  <c r="N690" i="3"/>
  <c r="O690" i="3" s="1"/>
  <c r="N691" i="3"/>
  <c r="O691" i="3" s="1"/>
  <c r="N692" i="3"/>
  <c r="O692" i="3" s="1"/>
  <c r="N693" i="3"/>
  <c r="O693" i="3" s="1"/>
  <c r="N694" i="3"/>
  <c r="O694" i="3" s="1"/>
  <c r="N695" i="3"/>
  <c r="O695" i="3" s="1"/>
  <c r="N696" i="3"/>
  <c r="O696" i="3" s="1"/>
  <c r="N697" i="3"/>
  <c r="O697" i="3" s="1"/>
  <c r="N698" i="3"/>
  <c r="O698" i="3" s="1"/>
  <c r="N699" i="3"/>
  <c r="O699" i="3" s="1"/>
  <c r="N700" i="3"/>
  <c r="O700" i="3" s="1"/>
  <c r="N701" i="3"/>
  <c r="O701" i="3" s="1"/>
  <c r="N702" i="3"/>
  <c r="O702" i="3" s="1"/>
  <c r="N703" i="3"/>
  <c r="O703" i="3" s="1"/>
  <c r="N704" i="3"/>
  <c r="O704" i="3" s="1"/>
  <c r="N705" i="3"/>
  <c r="O705" i="3" s="1"/>
  <c r="N706" i="3"/>
  <c r="O706" i="3" s="1"/>
  <c r="N707" i="3"/>
  <c r="O707" i="3" s="1"/>
  <c r="N708" i="3"/>
  <c r="O708" i="3" s="1"/>
  <c r="N709" i="3"/>
  <c r="O709" i="3" s="1"/>
  <c r="N710" i="3"/>
  <c r="O710" i="3" s="1"/>
  <c r="N711" i="3"/>
  <c r="O711" i="3" s="1"/>
  <c r="N712" i="3"/>
  <c r="O712" i="3" s="1"/>
  <c r="N713" i="3"/>
  <c r="O713" i="3" s="1"/>
  <c r="N714" i="3"/>
  <c r="O714" i="3" s="1"/>
  <c r="N715" i="3"/>
  <c r="O715" i="3" s="1"/>
  <c r="N716" i="3"/>
  <c r="O716" i="3" s="1"/>
  <c r="N717" i="3"/>
  <c r="O717" i="3" s="1"/>
  <c r="N718" i="3"/>
  <c r="O718" i="3" s="1"/>
  <c r="N719" i="3"/>
  <c r="O719" i="3" s="1"/>
  <c r="N720" i="3"/>
  <c r="O720" i="3" s="1"/>
  <c r="N721" i="3"/>
  <c r="O721" i="3" s="1"/>
  <c r="N722" i="3"/>
  <c r="O722" i="3" s="1"/>
  <c r="N723" i="3"/>
  <c r="O723" i="3" s="1"/>
  <c r="N724" i="3"/>
  <c r="O724" i="3" s="1"/>
  <c r="N725" i="3"/>
  <c r="O725" i="3" s="1"/>
  <c r="N726" i="3"/>
  <c r="O726" i="3" s="1"/>
  <c r="N727" i="3"/>
  <c r="O727" i="3" s="1"/>
  <c r="N728" i="3"/>
  <c r="O728" i="3" s="1"/>
  <c r="N729" i="3"/>
  <c r="O729" i="3" s="1"/>
  <c r="N730" i="3"/>
  <c r="O730" i="3" s="1"/>
  <c r="N731" i="3"/>
  <c r="O731" i="3" s="1"/>
  <c r="N732" i="3"/>
  <c r="O732" i="3" s="1"/>
  <c r="N733" i="3"/>
  <c r="O733" i="3" s="1"/>
  <c r="N734" i="3"/>
  <c r="O734" i="3" s="1"/>
  <c r="N735" i="3"/>
  <c r="O735" i="3" s="1"/>
  <c r="N736" i="3"/>
  <c r="O736" i="3" s="1"/>
  <c r="N737" i="3"/>
  <c r="O737" i="3" s="1"/>
  <c r="N738" i="3"/>
  <c r="O738" i="3" s="1"/>
  <c r="N739" i="3"/>
  <c r="O739" i="3" s="1"/>
  <c r="N740" i="3"/>
  <c r="O740" i="3" s="1"/>
  <c r="N741" i="3"/>
  <c r="O741" i="3" s="1"/>
  <c r="N742" i="3"/>
  <c r="O742" i="3" s="1"/>
  <c r="N743" i="3"/>
  <c r="O743" i="3" s="1"/>
  <c r="N744" i="3"/>
  <c r="O744" i="3" s="1"/>
  <c r="N745" i="3"/>
  <c r="O745" i="3" s="1"/>
  <c r="N746" i="3"/>
  <c r="O746" i="3" s="1"/>
  <c r="N747" i="3"/>
  <c r="O747" i="3" s="1"/>
  <c r="N748" i="3"/>
  <c r="O748" i="3" s="1"/>
  <c r="N749" i="3"/>
  <c r="O749" i="3" s="1"/>
  <c r="N750" i="3"/>
  <c r="O750" i="3" s="1"/>
  <c r="N751" i="3"/>
  <c r="O751" i="3" s="1"/>
  <c r="N752" i="3"/>
  <c r="O752" i="3" s="1"/>
  <c r="N753" i="3"/>
  <c r="O753" i="3" s="1"/>
  <c r="N754" i="3"/>
  <c r="O754" i="3" s="1"/>
  <c r="N755" i="3"/>
  <c r="O755" i="3" s="1"/>
  <c r="N756" i="3"/>
  <c r="O756" i="3" s="1"/>
  <c r="N757" i="3"/>
  <c r="O757" i="3" s="1"/>
  <c r="N758" i="3"/>
  <c r="O758" i="3" s="1"/>
  <c r="N759" i="3"/>
  <c r="O759" i="3" s="1"/>
  <c r="N760" i="3"/>
  <c r="O760" i="3" s="1"/>
  <c r="N761" i="3"/>
  <c r="O761" i="3" s="1"/>
  <c r="N762" i="3"/>
  <c r="O762" i="3" s="1"/>
  <c r="N763" i="3"/>
  <c r="O763" i="3" s="1"/>
  <c r="N764" i="3"/>
  <c r="O764" i="3" s="1"/>
  <c r="N765" i="3"/>
  <c r="O765" i="3" s="1"/>
  <c r="N766" i="3"/>
  <c r="O766" i="3" s="1"/>
  <c r="N767" i="3"/>
  <c r="O767" i="3" s="1"/>
  <c r="N768" i="3"/>
  <c r="O768" i="3" s="1"/>
  <c r="N769" i="3"/>
  <c r="O769" i="3" s="1"/>
  <c r="N770" i="3"/>
  <c r="O770" i="3" s="1"/>
  <c r="N771" i="3"/>
  <c r="O771" i="3" s="1"/>
  <c r="N772" i="3"/>
  <c r="O772" i="3" s="1"/>
  <c r="N773" i="3"/>
  <c r="O773" i="3" s="1"/>
  <c r="N774" i="3"/>
  <c r="O774" i="3" s="1"/>
  <c r="N775" i="3"/>
  <c r="O775" i="3" s="1"/>
  <c r="N776" i="3"/>
  <c r="O776" i="3" s="1"/>
  <c r="N777" i="3"/>
  <c r="O777" i="3" s="1"/>
  <c r="N778" i="3"/>
  <c r="O778" i="3" s="1"/>
  <c r="N779" i="3"/>
  <c r="O779" i="3" s="1"/>
  <c r="N780" i="3"/>
  <c r="O780" i="3" s="1"/>
  <c r="N781" i="3"/>
  <c r="O781" i="3" s="1"/>
  <c r="N782" i="3"/>
  <c r="O782" i="3" s="1"/>
  <c r="N783" i="3"/>
  <c r="O783" i="3" s="1"/>
  <c r="N784" i="3"/>
  <c r="O784" i="3" s="1"/>
  <c r="N785" i="3"/>
  <c r="O785" i="3" s="1"/>
  <c r="N786" i="3"/>
  <c r="O786" i="3" s="1"/>
  <c r="N787" i="3"/>
  <c r="O787" i="3" s="1"/>
  <c r="N788" i="3"/>
  <c r="O788" i="3" s="1"/>
  <c r="N789" i="3"/>
  <c r="O789" i="3" s="1"/>
  <c r="N790" i="3"/>
  <c r="O790" i="3" s="1"/>
  <c r="N791" i="3"/>
  <c r="O791" i="3" s="1"/>
  <c r="N792" i="3"/>
  <c r="O792" i="3" s="1"/>
  <c r="N793" i="3"/>
  <c r="O793" i="3" s="1"/>
  <c r="N794" i="3"/>
  <c r="O794" i="3" s="1"/>
  <c r="N795" i="3"/>
  <c r="O795" i="3" s="1"/>
  <c r="N796" i="3"/>
  <c r="O796" i="3" s="1"/>
  <c r="N797" i="3"/>
  <c r="O797" i="3" s="1"/>
  <c r="N798" i="3"/>
  <c r="O798" i="3" s="1"/>
  <c r="N799" i="3"/>
  <c r="O799" i="3" s="1"/>
  <c r="N800" i="3"/>
  <c r="O800" i="3" s="1"/>
  <c r="N801" i="3"/>
  <c r="O801" i="3" s="1"/>
  <c r="N802" i="3"/>
  <c r="O802" i="3" s="1"/>
  <c r="N803" i="3"/>
  <c r="O803" i="3" s="1"/>
  <c r="N804" i="3"/>
  <c r="O804" i="3" s="1"/>
  <c r="N805" i="3"/>
  <c r="O805" i="3" s="1"/>
  <c r="N806" i="3"/>
  <c r="O806" i="3" s="1"/>
  <c r="N807" i="3"/>
  <c r="O807" i="3" s="1"/>
  <c r="N808" i="3"/>
  <c r="O808" i="3" s="1"/>
  <c r="N809" i="3"/>
  <c r="O809" i="3" s="1"/>
  <c r="N810" i="3"/>
  <c r="O810" i="3" s="1"/>
  <c r="N811" i="3"/>
  <c r="O811" i="3" s="1"/>
  <c r="N812" i="3"/>
  <c r="O812" i="3" s="1"/>
  <c r="N813" i="3"/>
  <c r="O813" i="3" s="1"/>
  <c r="N814" i="3"/>
  <c r="O814" i="3" s="1"/>
  <c r="N815" i="3"/>
  <c r="O815" i="3" s="1"/>
  <c r="N816" i="3"/>
  <c r="O816" i="3" s="1"/>
  <c r="N817" i="3"/>
  <c r="O817" i="3" s="1"/>
  <c r="N818" i="3"/>
  <c r="O818" i="3" s="1"/>
  <c r="N819" i="3"/>
  <c r="O819" i="3" s="1"/>
  <c r="N820" i="3"/>
  <c r="O820" i="3" s="1"/>
  <c r="N821" i="3"/>
  <c r="O821" i="3" s="1"/>
  <c r="N822" i="3"/>
  <c r="O822" i="3" s="1"/>
  <c r="N823" i="3"/>
  <c r="O823" i="3" s="1"/>
  <c r="N824" i="3"/>
  <c r="O824" i="3" s="1"/>
  <c r="N825" i="3"/>
  <c r="O825" i="3" s="1"/>
  <c r="N826" i="3"/>
  <c r="O826" i="3" s="1"/>
  <c r="N827" i="3"/>
  <c r="O827" i="3" s="1"/>
  <c r="N828" i="3"/>
  <c r="O828" i="3" s="1"/>
  <c r="N829" i="3"/>
  <c r="O829" i="3" s="1"/>
  <c r="N830" i="3"/>
  <c r="O830" i="3" s="1"/>
  <c r="N831" i="3"/>
  <c r="O831" i="3" s="1"/>
  <c r="N832" i="3"/>
  <c r="O832" i="3" s="1"/>
  <c r="N833" i="3"/>
  <c r="O833" i="3" s="1"/>
  <c r="N834" i="3"/>
  <c r="O834" i="3" s="1"/>
  <c r="N835" i="3"/>
  <c r="O835" i="3" s="1"/>
  <c r="N836" i="3"/>
  <c r="O836" i="3" s="1"/>
  <c r="N837" i="3"/>
  <c r="O837" i="3" s="1"/>
  <c r="N838" i="3"/>
  <c r="O838" i="3" s="1"/>
  <c r="N839" i="3"/>
  <c r="O839" i="3" s="1"/>
  <c r="N840" i="3"/>
  <c r="O840" i="3" s="1"/>
  <c r="N841" i="3"/>
  <c r="O841" i="3" s="1"/>
  <c r="N842" i="3"/>
  <c r="O842" i="3" s="1"/>
  <c r="N843" i="3"/>
  <c r="O843" i="3" s="1"/>
  <c r="N844" i="3"/>
  <c r="O844" i="3" s="1"/>
  <c r="N845" i="3"/>
  <c r="O845" i="3" s="1"/>
  <c r="N846" i="3"/>
  <c r="O846" i="3" s="1"/>
  <c r="N847" i="3"/>
  <c r="O847" i="3" s="1"/>
  <c r="N848" i="3"/>
  <c r="O848" i="3" s="1"/>
  <c r="N849" i="3"/>
  <c r="O849" i="3" s="1"/>
  <c r="N850" i="3"/>
  <c r="O850" i="3" s="1"/>
  <c r="N851" i="3"/>
  <c r="O851" i="3" s="1"/>
  <c r="N852" i="3"/>
  <c r="O852" i="3" s="1"/>
  <c r="N853" i="3"/>
  <c r="O853" i="3" s="1"/>
  <c r="N854" i="3"/>
  <c r="O854" i="3" s="1"/>
  <c r="N855" i="3"/>
  <c r="O855" i="3" s="1"/>
  <c r="N856" i="3"/>
  <c r="O856" i="3" s="1"/>
  <c r="N857" i="3"/>
  <c r="O857" i="3" s="1"/>
  <c r="N858" i="3"/>
  <c r="O858" i="3" s="1"/>
  <c r="N859" i="3"/>
  <c r="O859" i="3" s="1"/>
  <c r="N860" i="3"/>
  <c r="O860" i="3" s="1"/>
  <c r="N861" i="3"/>
  <c r="O861" i="3" s="1"/>
  <c r="N862" i="3"/>
  <c r="O862" i="3" s="1"/>
  <c r="N863" i="3"/>
  <c r="O863" i="3" s="1"/>
  <c r="N864" i="3"/>
  <c r="O864" i="3" s="1"/>
  <c r="N865" i="3"/>
  <c r="O865" i="3" s="1"/>
  <c r="N866" i="3"/>
  <c r="O866" i="3" s="1"/>
  <c r="N867" i="3"/>
  <c r="O867" i="3" s="1"/>
  <c r="N868" i="3"/>
  <c r="O868" i="3" s="1"/>
  <c r="N869" i="3"/>
  <c r="O869" i="3" s="1"/>
  <c r="N870" i="3"/>
  <c r="O870" i="3" s="1"/>
  <c r="N871" i="3"/>
  <c r="O871" i="3" s="1"/>
  <c r="N872" i="3"/>
  <c r="O872" i="3" s="1"/>
  <c r="N873" i="3"/>
  <c r="O873" i="3" s="1"/>
  <c r="N874" i="3"/>
  <c r="O874" i="3" s="1"/>
  <c r="N875" i="3"/>
  <c r="O875" i="3" s="1"/>
  <c r="N876" i="3"/>
  <c r="O876" i="3" s="1"/>
  <c r="N877" i="3"/>
  <c r="O877" i="3" s="1"/>
  <c r="N878" i="3"/>
  <c r="O878" i="3" s="1"/>
  <c r="N879" i="3"/>
  <c r="O879" i="3" s="1"/>
  <c r="N880" i="3"/>
  <c r="O880" i="3" s="1"/>
  <c r="N881" i="3"/>
  <c r="O881" i="3" s="1"/>
  <c r="N882" i="3"/>
  <c r="O882" i="3" s="1"/>
  <c r="N883" i="3"/>
  <c r="O883" i="3" s="1"/>
  <c r="N884" i="3"/>
  <c r="O884" i="3" s="1"/>
  <c r="N885" i="3"/>
  <c r="O885" i="3" s="1"/>
  <c r="N886" i="3"/>
  <c r="O886" i="3" s="1"/>
  <c r="N887" i="3"/>
  <c r="O887" i="3" s="1"/>
  <c r="N888" i="3"/>
  <c r="O888" i="3" s="1"/>
  <c r="N889" i="3"/>
  <c r="O889" i="3" s="1"/>
  <c r="N890" i="3"/>
  <c r="O890" i="3" s="1"/>
  <c r="N891" i="3"/>
  <c r="O891" i="3" s="1"/>
  <c r="N892" i="3"/>
  <c r="O892" i="3" s="1"/>
  <c r="N893" i="3"/>
  <c r="O893" i="3" s="1"/>
  <c r="N894" i="3"/>
  <c r="O894" i="3" s="1"/>
  <c r="N895" i="3"/>
  <c r="O895" i="3" s="1"/>
  <c r="N896" i="3"/>
  <c r="O896" i="3" s="1"/>
  <c r="N897" i="3"/>
  <c r="O897" i="3" s="1"/>
  <c r="N898" i="3"/>
  <c r="O898" i="3" s="1"/>
  <c r="N899" i="3"/>
  <c r="O899" i="3" s="1"/>
  <c r="N900" i="3"/>
  <c r="O900" i="3" s="1"/>
  <c r="N901" i="3"/>
  <c r="O901" i="3" s="1"/>
  <c r="N902" i="3"/>
  <c r="O902" i="3" s="1"/>
  <c r="N903" i="3"/>
  <c r="O903" i="3" s="1"/>
  <c r="N904" i="3"/>
  <c r="O904" i="3" s="1"/>
  <c r="N905" i="3"/>
  <c r="O905" i="3" s="1"/>
  <c r="N906" i="3"/>
  <c r="O906" i="3" s="1"/>
  <c r="N907" i="3"/>
  <c r="O907" i="3" s="1"/>
  <c r="N908" i="3"/>
  <c r="O908" i="3" s="1"/>
  <c r="N909" i="3"/>
  <c r="O909" i="3" s="1"/>
  <c r="N910" i="3"/>
  <c r="O910" i="3" s="1"/>
  <c r="N911" i="3"/>
  <c r="O911" i="3" s="1"/>
  <c r="N912" i="3"/>
  <c r="O912" i="3" s="1"/>
  <c r="N913" i="3"/>
  <c r="O913" i="3" s="1"/>
  <c r="N914" i="3"/>
  <c r="O914" i="3" s="1"/>
  <c r="N915" i="3"/>
  <c r="O915" i="3" s="1"/>
  <c r="N916" i="3"/>
  <c r="O916" i="3" s="1"/>
  <c r="N917" i="3"/>
  <c r="O917" i="3" s="1"/>
  <c r="N918" i="3"/>
  <c r="O918" i="3" s="1"/>
  <c r="N919" i="3"/>
  <c r="O919" i="3" s="1"/>
  <c r="N920" i="3"/>
  <c r="O920" i="3" s="1"/>
  <c r="N921" i="3"/>
  <c r="O921" i="3" s="1"/>
  <c r="N922" i="3"/>
  <c r="O922" i="3" s="1"/>
  <c r="N923" i="3"/>
  <c r="O923" i="3" s="1"/>
  <c r="N924" i="3"/>
  <c r="O924" i="3" s="1"/>
  <c r="N925" i="3"/>
  <c r="O925" i="3" s="1"/>
  <c r="N926" i="3"/>
  <c r="O926" i="3" s="1"/>
  <c r="N927" i="3"/>
  <c r="O927" i="3" s="1"/>
  <c r="N928" i="3"/>
  <c r="O928" i="3" s="1"/>
  <c r="N929" i="3"/>
  <c r="O929" i="3" s="1"/>
  <c r="N930" i="3"/>
  <c r="O930" i="3" s="1"/>
  <c r="N931" i="3"/>
  <c r="O931" i="3" s="1"/>
  <c r="N932" i="3"/>
  <c r="O932" i="3" s="1"/>
  <c r="N933" i="3"/>
  <c r="O933" i="3" s="1"/>
  <c r="N934" i="3"/>
  <c r="O934" i="3" s="1"/>
  <c r="N935" i="3"/>
  <c r="O935" i="3" s="1"/>
  <c r="N936" i="3"/>
  <c r="O936" i="3" s="1"/>
  <c r="N937" i="3"/>
  <c r="O937" i="3" s="1"/>
  <c r="N938" i="3"/>
  <c r="O938" i="3" s="1"/>
  <c r="N939" i="3"/>
  <c r="O939" i="3" s="1"/>
  <c r="N940" i="3"/>
  <c r="O940" i="3" s="1"/>
  <c r="N941" i="3"/>
  <c r="O941" i="3" s="1"/>
  <c r="N942" i="3"/>
  <c r="O942" i="3" s="1"/>
  <c r="N943" i="3"/>
  <c r="O943" i="3" s="1"/>
  <c r="N944" i="3"/>
  <c r="O944" i="3" s="1"/>
  <c r="N945" i="3"/>
  <c r="O945" i="3" s="1"/>
  <c r="N946" i="3"/>
  <c r="O946" i="3" s="1"/>
  <c r="N947" i="3"/>
  <c r="O947" i="3" s="1"/>
  <c r="N948" i="3"/>
  <c r="O948" i="3" s="1"/>
  <c r="N949" i="3"/>
  <c r="O949" i="3" s="1"/>
  <c r="N950" i="3"/>
  <c r="O950" i="3" s="1"/>
  <c r="N951" i="3"/>
  <c r="O951" i="3" s="1"/>
  <c r="N952" i="3"/>
  <c r="O952" i="3" s="1"/>
  <c r="N953" i="3"/>
  <c r="O953" i="3" s="1"/>
  <c r="N954" i="3"/>
  <c r="O954" i="3" s="1"/>
  <c r="N955" i="3"/>
  <c r="O955" i="3" s="1"/>
  <c r="N956" i="3"/>
  <c r="O956" i="3" s="1"/>
  <c r="N957" i="3"/>
  <c r="O957" i="3" s="1"/>
  <c r="N958" i="3"/>
  <c r="O958" i="3" s="1"/>
  <c r="N959" i="3"/>
  <c r="O959" i="3" s="1"/>
  <c r="N960" i="3"/>
  <c r="O960" i="3" s="1"/>
  <c r="N961" i="3"/>
  <c r="O961" i="3" s="1"/>
  <c r="N962" i="3"/>
  <c r="O962" i="3" s="1"/>
  <c r="N963" i="3"/>
  <c r="O963" i="3" s="1"/>
  <c r="N964" i="3"/>
  <c r="O964" i="3" s="1"/>
  <c r="N965" i="3"/>
  <c r="O965" i="3" s="1"/>
  <c r="N966" i="3"/>
  <c r="O966" i="3" s="1"/>
  <c r="N967" i="3"/>
  <c r="O967" i="3" s="1"/>
  <c r="N968" i="3"/>
  <c r="O968" i="3" s="1"/>
  <c r="N969" i="3"/>
  <c r="O969" i="3" s="1"/>
  <c r="N970" i="3"/>
  <c r="O970" i="3" s="1"/>
  <c r="N971" i="3"/>
  <c r="O971" i="3" s="1"/>
  <c r="N972" i="3"/>
  <c r="O972" i="3" s="1"/>
  <c r="N973" i="3"/>
  <c r="O973" i="3" s="1"/>
  <c r="N974" i="3"/>
  <c r="O974" i="3" s="1"/>
  <c r="N975" i="3"/>
  <c r="O975" i="3" s="1"/>
  <c r="N976" i="3"/>
  <c r="O976" i="3" s="1"/>
  <c r="N977" i="3"/>
  <c r="O977" i="3" s="1"/>
  <c r="N978" i="3"/>
  <c r="O978" i="3" s="1"/>
  <c r="N979" i="3"/>
  <c r="O979" i="3" s="1"/>
  <c r="N980" i="3"/>
  <c r="O980" i="3" s="1"/>
  <c r="N981" i="3"/>
  <c r="O981" i="3" s="1"/>
  <c r="N982" i="3"/>
  <c r="O982" i="3" s="1"/>
  <c r="N983" i="3"/>
  <c r="O983" i="3" s="1"/>
  <c r="N984" i="3"/>
  <c r="O984" i="3" s="1"/>
  <c r="N985" i="3"/>
  <c r="O985" i="3" s="1"/>
  <c r="N986" i="3"/>
  <c r="O986" i="3" s="1"/>
  <c r="N987" i="3"/>
  <c r="O987" i="3" s="1"/>
  <c r="N988" i="3"/>
  <c r="O988" i="3" s="1"/>
  <c r="N989" i="3"/>
  <c r="O989" i="3" s="1"/>
  <c r="N990" i="3"/>
  <c r="O990" i="3" s="1"/>
  <c r="N991" i="3"/>
  <c r="O991" i="3" s="1"/>
  <c r="N992" i="3"/>
  <c r="O992" i="3" s="1"/>
  <c r="N993" i="3"/>
  <c r="O993" i="3" s="1"/>
  <c r="N994" i="3"/>
  <c r="O994" i="3" s="1"/>
  <c r="N995" i="3"/>
  <c r="O995" i="3" s="1"/>
  <c r="N996" i="3"/>
  <c r="O996" i="3" s="1"/>
  <c r="N997" i="3"/>
  <c r="O997" i="3" s="1"/>
  <c r="N998" i="3"/>
  <c r="O998" i="3" s="1"/>
  <c r="N999" i="3"/>
  <c r="O999" i="3" s="1"/>
  <c r="N1000" i="3"/>
  <c r="O1000" i="3" s="1"/>
  <c r="N1001" i="3"/>
  <c r="O1001" i="3" s="1"/>
  <c r="N1002" i="3"/>
  <c r="O1002" i="3" s="1"/>
  <c r="N1003" i="3"/>
  <c r="O1003" i="3" s="1"/>
  <c r="N1004" i="3"/>
  <c r="O1004" i="3" s="1"/>
  <c r="N1005" i="3"/>
  <c r="O1005" i="3" s="1"/>
  <c r="N1006" i="3"/>
  <c r="O1006" i="3" s="1"/>
  <c r="N1007" i="3"/>
  <c r="O1007" i="3" s="1"/>
  <c r="N1008" i="3"/>
  <c r="O1008" i="3" s="1"/>
  <c r="N1009" i="3"/>
  <c r="O1009" i="3" s="1"/>
  <c r="N1010" i="3"/>
  <c r="O1010" i="3" s="1"/>
  <c r="N1011" i="3"/>
  <c r="O1011" i="3" s="1"/>
  <c r="N1012" i="3"/>
  <c r="O1012" i="3" s="1"/>
  <c r="N1013" i="3"/>
  <c r="O1013" i="3" s="1"/>
  <c r="N1014" i="3"/>
  <c r="O1014" i="3" s="1"/>
  <c r="N1015" i="3"/>
  <c r="O1015" i="3" s="1"/>
  <c r="N1016" i="3"/>
  <c r="O1016" i="3" s="1"/>
  <c r="N1017" i="3"/>
  <c r="O1017" i="3" s="1"/>
  <c r="N1018" i="3"/>
  <c r="O1018" i="3" s="1"/>
  <c r="N1019" i="3"/>
  <c r="O1019" i="3" s="1"/>
  <c r="N1020" i="3"/>
  <c r="O1020" i="3" s="1"/>
  <c r="N1021" i="3"/>
  <c r="O1021" i="3" s="1"/>
  <c r="N1022" i="3"/>
  <c r="O1022" i="3" s="1"/>
  <c r="N1023" i="3"/>
  <c r="O1023" i="3" s="1"/>
  <c r="N1024" i="3"/>
  <c r="O1024" i="3" s="1"/>
  <c r="N1025" i="3"/>
  <c r="O1025" i="3" s="1"/>
  <c r="N1026" i="3"/>
  <c r="O1026" i="3" s="1"/>
  <c r="N1027" i="3"/>
  <c r="O1027" i="3" s="1"/>
  <c r="N1028" i="3"/>
  <c r="O1028" i="3" s="1"/>
  <c r="N1029" i="3"/>
  <c r="O1029" i="3" s="1"/>
  <c r="N1030" i="3"/>
  <c r="O1030" i="3" s="1"/>
  <c r="N1031" i="3"/>
  <c r="O1031" i="3" s="1"/>
  <c r="N1032" i="3"/>
  <c r="O1032" i="3" s="1"/>
  <c r="N1033" i="3"/>
  <c r="O1033" i="3" s="1"/>
  <c r="N1034" i="3"/>
  <c r="O1034" i="3" s="1"/>
  <c r="N1035" i="3"/>
  <c r="O1035" i="3" s="1"/>
  <c r="N1036" i="3"/>
  <c r="O1036" i="3" s="1"/>
  <c r="N1037" i="3"/>
  <c r="O1037" i="3" s="1"/>
  <c r="N1038" i="3"/>
  <c r="O1038" i="3" s="1"/>
  <c r="N1039" i="3"/>
  <c r="O1039" i="3" s="1"/>
  <c r="N1040" i="3"/>
  <c r="O1040" i="3" s="1"/>
  <c r="N1041" i="3"/>
  <c r="O1041" i="3" s="1"/>
  <c r="N1042" i="3"/>
  <c r="O1042" i="3" s="1"/>
  <c r="N1043" i="3"/>
  <c r="O1043" i="3" s="1"/>
  <c r="N1044" i="3"/>
  <c r="O1044" i="3" s="1"/>
  <c r="N1045" i="3"/>
  <c r="O1045" i="3" s="1"/>
  <c r="N1046" i="3"/>
  <c r="O1046" i="3" s="1"/>
  <c r="N1047" i="3"/>
  <c r="O1047" i="3" s="1"/>
  <c r="N1048" i="3"/>
  <c r="O1048" i="3" s="1"/>
  <c r="N1049" i="3"/>
  <c r="O1049" i="3" s="1"/>
  <c r="N1050" i="3"/>
  <c r="O1050" i="3" s="1"/>
  <c r="N1051" i="3"/>
  <c r="O1051" i="3" s="1"/>
  <c r="N1052" i="3"/>
  <c r="O1052" i="3" s="1"/>
  <c r="N1053" i="3"/>
  <c r="O1053" i="3" s="1"/>
  <c r="N1054" i="3"/>
  <c r="O1054" i="3" s="1"/>
  <c r="N1055" i="3"/>
  <c r="O1055" i="3" s="1"/>
  <c r="N1056" i="3"/>
  <c r="O1056" i="3" s="1"/>
  <c r="N1057" i="3"/>
  <c r="O1057" i="3" s="1"/>
  <c r="N1058" i="3"/>
  <c r="O1058" i="3" s="1"/>
  <c r="N1059" i="3"/>
  <c r="O1059" i="3" s="1"/>
  <c r="N1060" i="3"/>
  <c r="O1060" i="3" s="1"/>
  <c r="N1061" i="3"/>
  <c r="O1061" i="3" s="1"/>
  <c r="N1062" i="3"/>
  <c r="O1062" i="3" s="1"/>
  <c r="N1063" i="3"/>
  <c r="O1063" i="3" s="1"/>
  <c r="N1064" i="3"/>
  <c r="O1064" i="3" s="1"/>
  <c r="N1065" i="3"/>
  <c r="O1065" i="3" s="1"/>
  <c r="N1066" i="3"/>
  <c r="O1066" i="3" s="1"/>
  <c r="N1067" i="3"/>
  <c r="O1067" i="3" s="1"/>
  <c r="N1068" i="3"/>
  <c r="O1068" i="3" s="1"/>
  <c r="N1069" i="3"/>
  <c r="O1069" i="3" s="1"/>
  <c r="N1070" i="3"/>
  <c r="O1070" i="3" s="1"/>
  <c r="N1071" i="3"/>
  <c r="O1071" i="3" s="1"/>
  <c r="N1072" i="3"/>
  <c r="O1072" i="3" s="1"/>
  <c r="N1073" i="3"/>
  <c r="O1073" i="3" s="1"/>
  <c r="N1074" i="3"/>
  <c r="O1074" i="3" s="1"/>
  <c r="N1075" i="3"/>
  <c r="O1075" i="3" s="1"/>
  <c r="N1076" i="3"/>
  <c r="O1076" i="3" s="1"/>
  <c r="N1077" i="3"/>
  <c r="O1077" i="3" s="1"/>
  <c r="N1078" i="3"/>
  <c r="O1078" i="3" s="1"/>
  <c r="N1079" i="3"/>
  <c r="O1079" i="3" s="1"/>
  <c r="N1080" i="3"/>
  <c r="O1080" i="3" s="1"/>
  <c r="N1081" i="3"/>
  <c r="O1081" i="3" s="1"/>
  <c r="N1082" i="3"/>
  <c r="O1082" i="3" s="1"/>
  <c r="N1083" i="3"/>
  <c r="O1083" i="3" s="1"/>
  <c r="N1084" i="3"/>
  <c r="O1084" i="3" s="1"/>
  <c r="N1085" i="3"/>
  <c r="O1085" i="3" s="1"/>
  <c r="N1086" i="3"/>
  <c r="O1086" i="3" s="1"/>
  <c r="N1087" i="3"/>
  <c r="O1087" i="3" s="1"/>
  <c r="N1088" i="3"/>
  <c r="O1088" i="3" s="1"/>
  <c r="N1089" i="3"/>
  <c r="O1089" i="3" s="1"/>
  <c r="N1090" i="3"/>
  <c r="O1090" i="3" s="1"/>
  <c r="N1091" i="3"/>
  <c r="O1091" i="3" s="1"/>
  <c r="N1092" i="3"/>
  <c r="O1092" i="3" s="1"/>
  <c r="N1093" i="3"/>
  <c r="O1093" i="3" s="1"/>
  <c r="N1094" i="3"/>
  <c r="O1094" i="3" s="1"/>
  <c r="N1095" i="3"/>
  <c r="O1095" i="3" s="1"/>
  <c r="N1096" i="3"/>
  <c r="O1096" i="3" s="1"/>
  <c r="N1097" i="3"/>
  <c r="O1097" i="3" s="1"/>
  <c r="N1098" i="3"/>
  <c r="O1098" i="3" s="1"/>
  <c r="N1099" i="3"/>
  <c r="O1099" i="3" s="1"/>
  <c r="N1100" i="3"/>
  <c r="O1100" i="3" s="1"/>
  <c r="N1101" i="3"/>
  <c r="O1101" i="3" s="1"/>
  <c r="N1102" i="3"/>
  <c r="O1102" i="3" s="1"/>
  <c r="N1103" i="3"/>
  <c r="O1103" i="3" s="1"/>
  <c r="N1104" i="3"/>
  <c r="O1104" i="3" s="1"/>
  <c r="N1105" i="3"/>
  <c r="O1105" i="3" s="1"/>
  <c r="N1106" i="3"/>
  <c r="O1106" i="3" s="1"/>
  <c r="N1107" i="3"/>
  <c r="O1107" i="3" s="1"/>
  <c r="N1108" i="3"/>
  <c r="O1108" i="3" s="1"/>
  <c r="N1109" i="3"/>
  <c r="O1109" i="3" s="1"/>
  <c r="N1110" i="3"/>
  <c r="O1110" i="3" s="1"/>
  <c r="N1111" i="3"/>
  <c r="O1111" i="3" s="1"/>
  <c r="N1112" i="3"/>
  <c r="O1112" i="3" s="1"/>
  <c r="N1113" i="3"/>
  <c r="O1113" i="3" s="1"/>
  <c r="N1114" i="3"/>
  <c r="O1114" i="3" s="1"/>
  <c r="N1115" i="3"/>
  <c r="O1115" i="3" s="1"/>
  <c r="N1116" i="3"/>
  <c r="O1116" i="3" s="1"/>
  <c r="N1117" i="3"/>
  <c r="O1117" i="3" s="1"/>
  <c r="N1118" i="3"/>
  <c r="O1118" i="3" s="1"/>
  <c r="N1119" i="3"/>
  <c r="O1119" i="3" s="1"/>
  <c r="N1120" i="3"/>
  <c r="O1120" i="3" s="1"/>
  <c r="N1121" i="3"/>
  <c r="O1121" i="3" s="1"/>
  <c r="N1122" i="3"/>
  <c r="O1122" i="3" s="1"/>
  <c r="N1123" i="3"/>
  <c r="O1123" i="3" s="1"/>
  <c r="N1124" i="3"/>
  <c r="O1124" i="3" s="1"/>
  <c r="N1125" i="3"/>
  <c r="O1125" i="3" s="1"/>
  <c r="N1126" i="3"/>
  <c r="O1126" i="3" s="1"/>
  <c r="N1127" i="3"/>
  <c r="O1127" i="3" s="1"/>
  <c r="N1128" i="3"/>
  <c r="O1128" i="3" s="1"/>
  <c r="N1129" i="3"/>
  <c r="O1129" i="3" s="1"/>
  <c r="N1130" i="3"/>
  <c r="O1130" i="3" s="1"/>
  <c r="N1131" i="3"/>
  <c r="O1131" i="3" s="1"/>
  <c r="N1132" i="3"/>
  <c r="O1132" i="3" s="1"/>
  <c r="N1133" i="3"/>
  <c r="O1133" i="3" s="1"/>
  <c r="N1134" i="3"/>
  <c r="O1134" i="3" s="1"/>
  <c r="N1135" i="3"/>
  <c r="O1135" i="3" s="1"/>
  <c r="N1136" i="3"/>
  <c r="O1136" i="3" s="1"/>
  <c r="N1137" i="3"/>
  <c r="O1137" i="3" s="1"/>
  <c r="N1138" i="3"/>
  <c r="O1138" i="3" s="1"/>
  <c r="N1139" i="3"/>
  <c r="O1139" i="3" s="1"/>
  <c r="N1140" i="3"/>
  <c r="O1140" i="3" s="1"/>
  <c r="N1141" i="3"/>
  <c r="O1141" i="3" s="1"/>
  <c r="N1142" i="3"/>
  <c r="O1142" i="3" s="1"/>
  <c r="N1143" i="3"/>
  <c r="O1143" i="3" s="1"/>
  <c r="N1144" i="3"/>
  <c r="O1144" i="3" s="1"/>
  <c r="N1145" i="3"/>
  <c r="O1145" i="3" s="1"/>
  <c r="N1146" i="3"/>
  <c r="O1146" i="3" s="1"/>
  <c r="N1147" i="3"/>
  <c r="O1147" i="3" s="1"/>
  <c r="N1148" i="3"/>
  <c r="O1148" i="3" s="1"/>
  <c r="N1149" i="3"/>
  <c r="O1149" i="3" s="1"/>
  <c r="N1150" i="3"/>
  <c r="O1150" i="3" s="1"/>
  <c r="N1151" i="3"/>
  <c r="O1151" i="3" s="1"/>
  <c r="N1152" i="3"/>
  <c r="O1152" i="3" s="1"/>
  <c r="N1153" i="3"/>
  <c r="O1153" i="3" s="1"/>
  <c r="N1154" i="3"/>
  <c r="O1154" i="3" s="1"/>
  <c r="N1155" i="3"/>
  <c r="O1155" i="3" s="1"/>
  <c r="N1156" i="3"/>
  <c r="O1156" i="3" s="1"/>
  <c r="N1157" i="3"/>
  <c r="O1157" i="3" s="1"/>
  <c r="N1158" i="3"/>
  <c r="O1158" i="3" s="1"/>
  <c r="N1159" i="3"/>
  <c r="O1159" i="3" s="1"/>
  <c r="N1160" i="3"/>
  <c r="O1160" i="3" s="1"/>
  <c r="N1161" i="3"/>
  <c r="O1161" i="3" s="1"/>
  <c r="N1162" i="3"/>
  <c r="O1162" i="3" s="1"/>
  <c r="N1163" i="3"/>
  <c r="O1163" i="3" s="1"/>
  <c r="N1164" i="3"/>
  <c r="O1164" i="3" s="1"/>
  <c r="N1165" i="3"/>
  <c r="O1165" i="3" s="1"/>
  <c r="N1166" i="3"/>
  <c r="O1166" i="3" s="1"/>
  <c r="N1167" i="3"/>
  <c r="O1167" i="3" s="1"/>
  <c r="N1168" i="3"/>
  <c r="O1168" i="3" s="1"/>
  <c r="N1169" i="3"/>
  <c r="O1169" i="3" s="1"/>
  <c r="N1170" i="3"/>
  <c r="O1170" i="3" s="1"/>
  <c r="N1171" i="3"/>
  <c r="O1171" i="3" s="1"/>
  <c r="N1172" i="3"/>
  <c r="O1172" i="3" s="1"/>
  <c r="N1173" i="3"/>
  <c r="O1173" i="3" s="1"/>
  <c r="N1174" i="3"/>
  <c r="O1174" i="3" s="1"/>
  <c r="N1175" i="3"/>
  <c r="O1175" i="3" s="1"/>
  <c r="N1176" i="3"/>
  <c r="O1176" i="3" s="1"/>
  <c r="N1177" i="3"/>
  <c r="O1177" i="3" s="1"/>
  <c r="N1178" i="3"/>
  <c r="O1178" i="3" s="1"/>
  <c r="N1179" i="3"/>
  <c r="O1179" i="3" s="1"/>
  <c r="N1180" i="3"/>
  <c r="O1180" i="3" s="1"/>
  <c r="N1181" i="3"/>
  <c r="O1181" i="3" s="1"/>
  <c r="N1182" i="3"/>
  <c r="O1182" i="3" s="1"/>
  <c r="N1183" i="3"/>
  <c r="O1183" i="3" s="1"/>
  <c r="N1184" i="3"/>
  <c r="O1184" i="3" s="1"/>
  <c r="N1185" i="3"/>
  <c r="O1185" i="3" s="1"/>
  <c r="N1186" i="3"/>
  <c r="O1186" i="3" s="1"/>
  <c r="N1187" i="3"/>
  <c r="O1187" i="3" s="1"/>
  <c r="N1188" i="3"/>
  <c r="O1188" i="3" s="1"/>
  <c r="N1189" i="3"/>
  <c r="O1189" i="3" s="1"/>
  <c r="N1190" i="3"/>
  <c r="O1190" i="3" s="1"/>
  <c r="N1191" i="3"/>
  <c r="O1191" i="3" s="1"/>
  <c r="N1192" i="3"/>
  <c r="O1192" i="3" s="1"/>
  <c r="N1193" i="3"/>
  <c r="O1193" i="3" s="1"/>
  <c r="N1194" i="3"/>
  <c r="O1194" i="3" s="1"/>
  <c r="N1195" i="3"/>
  <c r="O1195" i="3" s="1"/>
  <c r="N1196" i="3"/>
  <c r="O1196" i="3" s="1"/>
  <c r="N1197" i="3"/>
  <c r="O1197" i="3" s="1"/>
  <c r="N1198" i="3"/>
  <c r="O1198" i="3" s="1"/>
  <c r="N1199" i="3"/>
  <c r="O1199" i="3" s="1"/>
  <c r="N1200" i="3"/>
  <c r="O1200" i="3" s="1"/>
  <c r="N1201" i="3"/>
  <c r="O1201" i="3" s="1"/>
  <c r="N1202" i="3"/>
  <c r="O1202" i="3" s="1"/>
  <c r="N1203" i="3"/>
  <c r="O1203" i="3" s="1"/>
  <c r="N1204" i="3"/>
  <c r="O1204" i="3" s="1"/>
  <c r="N1205" i="3"/>
  <c r="O1205" i="3" s="1"/>
  <c r="N1206" i="3"/>
  <c r="O1206" i="3" s="1"/>
  <c r="N1207" i="3"/>
  <c r="O1207" i="3" s="1"/>
  <c r="N1208" i="3"/>
  <c r="O1208" i="3" s="1"/>
  <c r="N1209" i="3"/>
  <c r="O1209" i="3" s="1"/>
  <c r="N1210" i="3"/>
  <c r="O1210" i="3" s="1"/>
  <c r="N1211" i="3"/>
  <c r="O1211" i="3" s="1"/>
  <c r="N1212" i="3"/>
  <c r="O1212" i="3" s="1"/>
  <c r="N1213" i="3"/>
  <c r="O1213" i="3" s="1"/>
  <c r="N1214" i="3"/>
  <c r="O1214" i="3" s="1"/>
  <c r="N1215" i="3"/>
  <c r="O1215" i="3" s="1"/>
  <c r="N1216" i="3"/>
  <c r="O1216" i="3" s="1"/>
  <c r="N1217" i="3"/>
  <c r="O1217" i="3" s="1"/>
  <c r="N1218" i="3"/>
  <c r="O1218" i="3" s="1"/>
  <c r="N1219" i="3"/>
  <c r="O1219" i="3" s="1"/>
  <c r="N1220" i="3"/>
  <c r="O1220" i="3" s="1"/>
  <c r="N1221" i="3"/>
  <c r="O1221" i="3" s="1"/>
  <c r="N1222" i="3"/>
  <c r="O1222" i="3" s="1"/>
  <c r="N1223" i="3"/>
  <c r="O1223" i="3" s="1"/>
  <c r="N1224" i="3"/>
  <c r="O1224" i="3" s="1"/>
  <c r="N1225" i="3"/>
  <c r="O1225" i="3" s="1"/>
  <c r="N1226" i="3"/>
  <c r="O1226" i="3" s="1"/>
  <c r="N1227" i="3"/>
  <c r="O1227" i="3" s="1"/>
  <c r="N1228" i="3"/>
  <c r="O1228" i="3" s="1"/>
  <c r="N1229" i="3"/>
  <c r="O1229" i="3" s="1"/>
  <c r="N1230" i="3"/>
  <c r="O1230" i="3" s="1"/>
  <c r="N1231" i="3"/>
  <c r="O1231" i="3" s="1"/>
  <c r="N1232" i="3"/>
  <c r="O1232" i="3" s="1"/>
  <c r="N1233" i="3"/>
  <c r="O1233" i="3" s="1"/>
  <c r="N1234" i="3"/>
  <c r="O1234" i="3" s="1"/>
  <c r="N1235" i="3"/>
  <c r="O1235" i="3" s="1"/>
  <c r="N1236" i="3"/>
  <c r="O1236" i="3" s="1"/>
  <c r="N1237" i="3"/>
  <c r="O1237" i="3" s="1"/>
  <c r="N1238" i="3"/>
  <c r="O1238" i="3" s="1"/>
  <c r="N1239" i="3"/>
  <c r="O1239" i="3" s="1"/>
  <c r="N1240" i="3"/>
  <c r="O1240" i="3" s="1"/>
  <c r="N1241" i="3"/>
  <c r="O1241" i="3" s="1"/>
  <c r="N1242" i="3"/>
  <c r="O1242" i="3" s="1"/>
  <c r="N1243" i="3"/>
  <c r="O1243" i="3" s="1"/>
  <c r="N1244" i="3"/>
  <c r="O1244" i="3" s="1"/>
  <c r="N1245" i="3"/>
  <c r="O1245" i="3" s="1"/>
  <c r="N1246" i="3"/>
  <c r="O1246" i="3" s="1"/>
  <c r="N1247" i="3"/>
  <c r="O1247" i="3" s="1"/>
  <c r="N1248" i="3"/>
  <c r="O1248" i="3" s="1"/>
  <c r="N1249" i="3"/>
  <c r="O1249" i="3" s="1"/>
  <c r="N1250" i="3"/>
  <c r="O1250" i="3" s="1"/>
  <c r="N1251" i="3"/>
  <c r="O1251" i="3" s="1"/>
  <c r="N1252" i="3"/>
  <c r="O1252" i="3" s="1"/>
  <c r="N1253" i="3"/>
  <c r="O1253" i="3" s="1"/>
  <c r="N1254" i="3"/>
  <c r="O1254" i="3" s="1"/>
  <c r="N1255" i="3"/>
  <c r="O1255" i="3" s="1"/>
  <c r="N1256" i="3"/>
  <c r="O1256" i="3" s="1"/>
  <c r="N1257" i="3"/>
  <c r="O1257" i="3" s="1"/>
  <c r="N1258" i="3"/>
  <c r="O1258" i="3" s="1"/>
  <c r="N1259" i="3"/>
  <c r="O1259" i="3" s="1"/>
  <c r="N1260" i="3"/>
  <c r="O1260" i="3" s="1"/>
  <c r="N1261" i="3"/>
  <c r="O1261" i="3" s="1"/>
  <c r="N1262" i="3"/>
  <c r="O1262" i="3" s="1"/>
  <c r="N1263" i="3"/>
  <c r="O1263" i="3" s="1"/>
  <c r="N1264" i="3"/>
  <c r="O1264" i="3" s="1"/>
  <c r="N1265" i="3"/>
  <c r="O1265" i="3" s="1"/>
  <c r="N1266" i="3"/>
  <c r="O1266" i="3" s="1"/>
  <c r="N1267" i="3"/>
  <c r="O1267" i="3" s="1"/>
  <c r="N1268" i="3"/>
  <c r="O1268" i="3" s="1"/>
  <c r="N1269" i="3"/>
  <c r="O1269" i="3" s="1"/>
  <c r="N1270" i="3"/>
  <c r="O1270" i="3" s="1"/>
  <c r="N1271" i="3"/>
  <c r="O1271" i="3" s="1"/>
  <c r="N1272" i="3"/>
  <c r="O1272" i="3" s="1"/>
  <c r="N1273" i="3"/>
  <c r="O1273" i="3" s="1"/>
  <c r="N1274" i="3"/>
  <c r="O1274" i="3" s="1"/>
  <c r="N1275" i="3"/>
  <c r="O1275" i="3" s="1"/>
  <c r="N1276" i="3"/>
  <c r="O1276" i="3" s="1"/>
  <c r="N1277" i="3"/>
  <c r="O1277" i="3" s="1"/>
  <c r="N1278" i="3"/>
  <c r="O1278" i="3" s="1"/>
  <c r="N1279" i="3"/>
  <c r="O1279" i="3" s="1"/>
  <c r="N1280" i="3"/>
  <c r="O1280" i="3" s="1"/>
  <c r="N1281" i="3"/>
  <c r="O1281" i="3" s="1"/>
  <c r="N1282" i="3"/>
  <c r="O1282" i="3" s="1"/>
  <c r="N1283" i="3"/>
  <c r="O1283" i="3" s="1"/>
  <c r="N1284" i="3"/>
  <c r="O1284" i="3" s="1"/>
  <c r="N1285" i="3"/>
  <c r="O1285" i="3" s="1"/>
  <c r="N1286" i="3"/>
  <c r="O1286" i="3" s="1"/>
  <c r="N1287" i="3"/>
  <c r="O1287" i="3" s="1"/>
  <c r="N1288" i="3"/>
  <c r="O1288" i="3" s="1"/>
  <c r="N1289" i="3"/>
  <c r="O1289" i="3" s="1"/>
  <c r="N1290" i="3"/>
  <c r="O1290" i="3" s="1"/>
  <c r="N1291" i="3"/>
  <c r="O1291" i="3" s="1"/>
  <c r="N1292" i="3"/>
  <c r="O1292" i="3" s="1"/>
  <c r="N1293" i="3"/>
  <c r="O1293" i="3" s="1"/>
  <c r="N1294" i="3"/>
  <c r="O1294" i="3" s="1"/>
  <c r="N1295" i="3"/>
  <c r="O1295" i="3" s="1"/>
  <c r="N1296" i="3"/>
  <c r="O1296" i="3" s="1"/>
  <c r="N1297" i="3"/>
  <c r="O1297" i="3" s="1"/>
  <c r="N1298" i="3"/>
  <c r="O1298" i="3" s="1"/>
  <c r="N1299" i="3"/>
  <c r="O1299" i="3" s="1"/>
  <c r="N1300" i="3"/>
  <c r="O1300" i="3" s="1"/>
  <c r="N1301" i="3"/>
  <c r="O1301" i="3" s="1"/>
  <c r="N1302" i="3"/>
  <c r="O1302" i="3" s="1"/>
  <c r="N1303" i="3"/>
  <c r="O1303" i="3" s="1"/>
  <c r="N1304" i="3"/>
  <c r="O1304" i="3" s="1"/>
  <c r="N1305" i="3"/>
  <c r="O1305" i="3" s="1"/>
  <c r="N1306" i="3"/>
  <c r="O1306" i="3" s="1"/>
  <c r="N1307" i="3"/>
  <c r="O1307" i="3" s="1"/>
  <c r="N1308" i="3"/>
  <c r="O1308" i="3" s="1"/>
  <c r="N1309" i="3"/>
  <c r="O1309" i="3" s="1"/>
  <c r="N1310" i="3"/>
  <c r="O1310" i="3" s="1"/>
  <c r="N1311" i="3"/>
  <c r="O1311" i="3" s="1"/>
  <c r="N1312" i="3"/>
  <c r="O1312" i="3" s="1"/>
  <c r="N1313" i="3"/>
  <c r="O1313" i="3" s="1"/>
  <c r="N1314" i="3"/>
  <c r="O1314" i="3" s="1"/>
  <c r="N1315" i="3"/>
  <c r="O1315" i="3" s="1"/>
  <c r="N1316" i="3"/>
  <c r="O1316" i="3" s="1"/>
  <c r="N1317" i="3"/>
  <c r="O1317" i="3" s="1"/>
  <c r="N1318" i="3"/>
  <c r="O1318" i="3" s="1"/>
  <c r="N1319" i="3"/>
  <c r="O1319" i="3" s="1"/>
  <c r="N1320" i="3"/>
  <c r="O1320" i="3" s="1"/>
  <c r="N1321" i="3"/>
  <c r="O1321" i="3" s="1"/>
  <c r="N1322" i="3"/>
  <c r="O1322" i="3" s="1"/>
  <c r="N1323" i="3"/>
  <c r="O1323" i="3" s="1"/>
  <c r="N1324" i="3"/>
  <c r="O1324" i="3" s="1"/>
  <c r="N1325" i="3"/>
  <c r="O1325" i="3" s="1"/>
  <c r="N1326" i="3"/>
  <c r="O1326" i="3" s="1"/>
  <c r="N1327" i="3"/>
  <c r="O1327" i="3" s="1"/>
  <c r="N1328" i="3"/>
  <c r="O1328" i="3" s="1"/>
  <c r="N1329" i="3"/>
  <c r="O1329" i="3" s="1"/>
  <c r="N1330" i="3"/>
  <c r="O1330" i="3" s="1"/>
  <c r="N1331" i="3"/>
  <c r="O1331" i="3" s="1"/>
  <c r="N1332" i="3"/>
  <c r="O1332" i="3" s="1"/>
  <c r="N1333" i="3"/>
  <c r="O1333" i="3" s="1"/>
  <c r="N1334" i="3"/>
  <c r="O1334" i="3" s="1"/>
  <c r="N1335" i="3"/>
  <c r="O1335" i="3" s="1"/>
  <c r="N1336" i="3"/>
  <c r="O1336" i="3" s="1"/>
  <c r="N1337" i="3"/>
  <c r="O1337" i="3" s="1"/>
  <c r="N1338" i="3"/>
  <c r="O1338" i="3" s="1"/>
  <c r="N1339" i="3"/>
  <c r="O1339" i="3" s="1"/>
  <c r="N1340" i="3"/>
  <c r="O1340" i="3" s="1"/>
  <c r="N1341" i="3"/>
  <c r="O1341" i="3" s="1"/>
  <c r="N1342" i="3"/>
  <c r="O1342" i="3" s="1"/>
  <c r="N1343" i="3"/>
  <c r="O1343" i="3" s="1"/>
  <c r="N1344" i="3"/>
  <c r="O1344" i="3" s="1"/>
  <c r="N1345" i="3"/>
  <c r="O1345" i="3" s="1"/>
  <c r="N1346" i="3"/>
  <c r="O1346" i="3" s="1"/>
  <c r="N1347" i="3"/>
  <c r="O1347" i="3" s="1"/>
  <c r="N1348" i="3"/>
  <c r="O1348" i="3" s="1"/>
  <c r="N1349" i="3"/>
  <c r="O1349" i="3" s="1"/>
  <c r="N1350" i="3"/>
  <c r="O1350" i="3" s="1"/>
  <c r="N1351" i="3"/>
  <c r="O1351" i="3" s="1"/>
  <c r="N1352" i="3"/>
  <c r="O1352" i="3" s="1"/>
  <c r="N1353" i="3"/>
  <c r="O1353" i="3" s="1"/>
  <c r="N1354" i="3"/>
  <c r="O1354" i="3" s="1"/>
  <c r="N1355" i="3"/>
  <c r="O1355" i="3" s="1"/>
  <c r="N1356" i="3"/>
  <c r="O1356" i="3" s="1"/>
  <c r="N1357" i="3"/>
  <c r="O1357" i="3" s="1"/>
  <c r="N1358" i="3"/>
  <c r="O1358" i="3" s="1"/>
  <c r="N1359" i="3"/>
  <c r="O1359" i="3" s="1"/>
  <c r="N1360" i="3"/>
  <c r="O1360" i="3" s="1"/>
  <c r="N1361" i="3"/>
  <c r="O1361" i="3" s="1"/>
  <c r="N1362" i="3"/>
  <c r="O1362" i="3" s="1"/>
  <c r="N1363" i="3"/>
  <c r="O1363" i="3" s="1"/>
  <c r="N1364" i="3"/>
  <c r="O1364" i="3" s="1"/>
  <c r="N1365" i="3"/>
  <c r="O1365" i="3" s="1"/>
  <c r="N1366" i="3"/>
  <c r="O1366" i="3" s="1"/>
  <c r="N1367" i="3"/>
  <c r="O1367" i="3" s="1"/>
  <c r="N1368" i="3"/>
  <c r="O1368" i="3" s="1"/>
  <c r="N1369" i="3"/>
  <c r="O1369" i="3" s="1"/>
  <c r="N1370" i="3"/>
  <c r="O1370" i="3" s="1"/>
  <c r="N1371" i="3"/>
  <c r="O1371" i="3" s="1"/>
  <c r="N1372" i="3"/>
  <c r="O1372" i="3" s="1"/>
  <c r="N1373" i="3"/>
  <c r="O1373" i="3" s="1"/>
  <c r="N1374" i="3"/>
  <c r="O1374" i="3" s="1"/>
  <c r="N1375" i="3"/>
  <c r="O1375" i="3" s="1"/>
  <c r="N1376" i="3"/>
  <c r="O1376" i="3" s="1"/>
  <c r="N1377" i="3"/>
  <c r="O1377" i="3" s="1"/>
  <c r="N1378" i="3"/>
  <c r="O1378" i="3" s="1"/>
  <c r="N1379" i="3"/>
  <c r="O1379" i="3" s="1"/>
  <c r="N1380" i="3"/>
  <c r="O1380" i="3" s="1"/>
  <c r="N1381" i="3"/>
  <c r="O1381" i="3" s="1"/>
  <c r="N1382" i="3"/>
  <c r="O1382" i="3" s="1"/>
  <c r="N1383" i="3"/>
  <c r="O1383" i="3" s="1"/>
  <c r="N1384" i="3"/>
  <c r="O1384" i="3" s="1"/>
  <c r="N1385" i="3"/>
  <c r="O1385" i="3" s="1"/>
  <c r="N1386" i="3"/>
  <c r="O1386" i="3" s="1"/>
  <c r="N1387" i="3"/>
  <c r="O1387" i="3" s="1"/>
  <c r="N1388" i="3"/>
  <c r="O1388" i="3" s="1"/>
  <c r="N1389" i="3"/>
  <c r="O1389" i="3" s="1"/>
  <c r="N1390" i="3"/>
  <c r="O1390" i="3" s="1"/>
  <c r="N1391" i="3"/>
  <c r="O1391" i="3" s="1"/>
  <c r="N1392" i="3"/>
  <c r="O1392" i="3" s="1"/>
  <c r="N1393" i="3"/>
  <c r="O1393" i="3" s="1"/>
  <c r="N1394" i="3"/>
  <c r="O1394" i="3" s="1"/>
  <c r="N1395" i="3"/>
  <c r="O1395" i="3" s="1"/>
  <c r="N1396" i="3"/>
  <c r="O1396" i="3" s="1"/>
  <c r="N1397" i="3"/>
  <c r="O1397" i="3" s="1"/>
  <c r="N1398" i="3"/>
  <c r="O1398" i="3" s="1"/>
  <c r="N1399" i="3"/>
  <c r="O1399" i="3" s="1"/>
  <c r="N1400" i="3"/>
  <c r="O1400" i="3" s="1"/>
  <c r="N1401" i="3"/>
  <c r="O1401" i="3" s="1"/>
  <c r="N1402" i="3"/>
  <c r="O1402" i="3" s="1"/>
  <c r="N1403" i="3"/>
  <c r="O1403" i="3" s="1"/>
  <c r="N1404" i="3"/>
  <c r="O1404" i="3" s="1"/>
  <c r="N1405" i="3"/>
  <c r="O1405" i="3" s="1"/>
  <c r="N1406" i="3"/>
  <c r="O1406" i="3" s="1"/>
  <c r="N1407" i="3"/>
  <c r="O1407" i="3" s="1"/>
  <c r="N1408" i="3"/>
  <c r="O1408" i="3" s="1"/>
  <c r="N1409" i="3"/>
  <c r="O1409" i="3" s="1"/>
  <c r="N1410" i="3"/>
  <c r="O1410" i="3" s="1"/>
  <c r="N1411" i="3"/>
  <c r="O1411" i="3" s="1"/>
  <c r="N1412" i="3"/>
  <c r="O1412" i="3" s="1"/>
  <c r="N1413" i="3"/>
  <c r="O1413" i="3" s="1"/>
  <c r="N1414" i="3"/>
  <c r="O1414" i="3" s="1"/>
  <c r="N1415" i="3"/>
  <c r="O1415" i="3" s="1"/>
  <c r="N1416" i="3"/>
  <c r="O1416" i="3" s="1"/>
  <c r="N1417" i="3"/>
  <c r="O1417" i="3" s="1"/>
  <c r="N1418" i="3"/>
  <c r="O1418" i="3" s="1"/>
  <c r="N1419" i="3"/>
  <c r="O1419" i="3" s="1"/>
  <c r="N1420" i="3"/>
  <c r="O1420" i="3" s="1"/>
  <c r="N1421" i="3"/>
  <c r="O1421" i="3" s="1"/>
  <c r="N1422" i="3"/>
  <c r="O1422" i="3" s="1"/>
  <c r="N1423" i="3"/>
  <c r="O1423" i="3" s="1"/>
  <c r="N1424" i="3"/>
  <c r="O1424" i="3" s="1"/>
  <c r="N1425" i="3"/>
  <c r="O1425" i="3" s="1"/>
  <c r="N1426" i="3"/>
  <c r="O1426" i="3" s="1"/>
  <c r="N1427" i="3"/>
  <c r="O1427" i="3" s="1"/>
  <c r="N1428" i="3"/>
  <c r="O1428" i="3" s="1"/>
  <c r="N1429" i="3"/>
  <c r="O1429" i="3" s="1"/>
  <c r="N1430" i="3"/>
  <c r="O1430" i="3" s="1"/>
  <c r="N1431" i="3"/>
  <c r="O1431" i="3" s="1"/>
  <c r="N1432" i="3"/>
  <c r="O1432" i="3" s="1"/>
  <c r="N1433" i="3"/>
  <c r="O1433" i="3" s="1"/>
  <c r="N1434" i="3"/>
  <c r="O1434" i="3" s="1"/>
  <c r="N1435" i="3"/>
  <c r="O1435" i="3" s="1"/>
  <c r="N1436" i="3"/>
  <c r="O1436" i="3" s="1"/>
  <c r="N1437" i="3"/>
  <c r="O1437" i="3" s="1"/>
  <c r="N1438" i="3"/>
  <c r="O1438" i="3" s="1"/>
  <c r="N1439" i="3"/>
  <c r="O1439" i="3" s="1"/>
  <c r="N1440" i="3"/>
  <c r="O1440" i="3" s="1"/>
  <c r="N1441" i="3"/>
  <c r="O1441" i="3" s="1"/>
  <c r="N1442" i="3"/>
  <c r="O1442" i="3" s="1"/>
  <c r="N1443" i="3"/>
  <c r="O1443" i="3" s="1"/>
  <c r="N1444" i="3"/>
  <c r="O1444" i="3" s="1"/>
  <c r="N1445" i="3"/>
  <c r="O1445" i="3" s="1"/>
  <c r="N1446" i="3"/>
  <c r="O1446" i="3" s="1"/>
  <c r="N1447" i="3"/>
  <c r="O1447" i="3" s="1"/>
  <c r="N1448" i="3"/>
  <c r="O1448" i="3" s="1"/>
  <c r="N1449" i="3"/>
  <c r="O1449" i="3" s="1"/>
  <c r="N1450" i="3"/>
  <c r="O1450" i="3" s="1"/>
  <c r="N1451" i="3"/>
  <c r="O1451" i="3" s="1"/>
  <c r="N1452" i="3"/>
  <c r="O1452" i="3" s="1"/>
  <c r="N1453" i="3"/>
  <c r="O1453" i="3" s="1"/>
  <c r="N1454" i="3"/>
  <c r="O1454" i="3" s="1"/>
  <c r="N1455" i="3"/>
  <c r="O1455" i="3" s="1"/>
  <c r="N1456" i="3"/>
  <c r="O1456" i="3" s="1"/>
  <c r="N1457" i="3"/>
  <c r="O1457" i="3" s="1"/>
  <c r="N1458" i="3"/>
  <c r="O1458" i="3" s="1"/>
  <c r="N1459" i="3"/>
  <c r="O1459" i="3" s="1"/>
  <c r="N1460" i="3"/>
  <c r="O1460" i="3" s="1"/>
  <c r="N1461" i="3"/>
  <c r="O1461" i="3" s="1"/>
  <c r="N1462" i="3"/>
  <c r="O1462" i="3" s="1"/>
  <c r="N1463" i="3"/>
  <c r="O1463" i="3" s="1"/>
  <c r="N1464" i="3"/>
  <c r="O1464" i="3" s="1"/>
  <c r="N1465" i="3"/>
  <c r="O1465" i="3" s="1"/>
  <c r="N1466" i="3"/>
  <c r="O1466" i="3" s="1"/>
  <c r="N1467" i="3"/>
  <c r="O1467" i="3" s="1"/>
  <c r="N1468" i="3"/>
  <c r="O1468" i="3" s="1"/>
  <c r="N1469" i="3"/>
  <c r="O1469" i="3" s="1"/>
  <c r="N1470" i="3"/>
  <c r="O1470" i="3" s="1"/>
  <c r="N1471" i="3"/>
  <c r="O1471" i="3" s="1"/>
  <c r="N1472" i="3"/>
  <c r="O1472" i="3" s="1"/>
  <c r="N1473" i="3"/>
  <c r="O1473" i="3" s="1"/>
  <c r="N1474" i="3"/>
  <c r="O1474" i="3" s="1"/>
  <c r="N1475" i="3"/>
  <c r="O1475" i="3" s="1"/>
  <c r="N1476" i="3"/>
  <c r="O1476" i="3" s="1"/>
  <c r="N1477" i="3"/>
  <c r="O1477" i="3" s="1"/>
  <c r="N1478" i="3"/>
  <c r="O1478" i="3" s="1"/>
  <c r="N1479" i="3"/>
  <c r="O1479" i="3" s="1"/>
  <c r="N1480" i="3"/>
  <c r="O1480" i="3" s="1"/>
  <c r="N1481" i="3"/>
  <c r="O1481" i="3" s="1"/>
  <c r="N1482" i="3"/>
  <c r="O1482" i="3" s="1"/>
  <c r="N1483" i="3"/>
  <c r="O1483" i="3" s="1"/>
  <c r="N1484" i="3"/>
  <c r="O1484" i="3" s="1"/>
  <c r="N1485" i="3"/>
  <c r="O1485" i="3" s="1"/>
  <c r="N1486" i="3"/>
  <c r="O1486" i="3" s="1"/>
  <c r="N1487" i="3"/>
  <c r="O1487" i="3" s="1"/>
  <c r="N1488" i="3"/>
  <c r="O1488" i="3" s="1"/>
  <c r="N1489" i="3"/>
  <c r="O1489" i="3" s="1"/>
  <c r="N1490" i="3"/>
  <c r="O1490" i="3" s="1"/>
  <c r="N1491" i="3"/>
  <c r="O1491" i="3" s="1"/>
  <c r="N1492" i="3"/>
  <c r="O1492" i="3" s="1"/>
  <c r="N1493" i="3"/>
  <c r="O1493" i="3" s="1"/>
  <c r="N1494" i="3"/>
  <c r="O1494" i="3" s="1"/>
  <c r="N1495" i="3"/>
  <c r="O1495" i="3" s="1"/>
  <c r="N1496" i="3"/>
  <c r="O1496" i="3" s="1"/>
  <c r="N1497" i="3"/>
  <c r="O1497" i="3" s="1"/>
  <c r="N1498" i="3"/>
  <c r="O1498" i="3" s="1"/>
  <c r="N1499" i="3"/>
  <c r="O1499" i="3" s="1"/>
  <c r="N1500" i="3"/>
  <c r="O1500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3" i="3"/>
  <c r="O3" i="3" s="1"/>
  <c r="N4" i="3"/>
  <c r="O4" i="3" s="1"/>
  <c r="N2" i="3"/>
  <c r="O2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5" i="3"/>
  <c r="G6" i="3"/>
  <c r="G4" i="3"/>
  <c r="G3" i="3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 s="1"/>
  <c r="D410" i="3"/>
  <c r="E410" i="3" s="1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71" i="3"/>
  <c r="E471" i="3" s="1"/>
  <c r="D472" i="3"/>
  <c r="E472" i="3" s="1"/>
  <c r="D473" i="3"/>
  <c r="E473" i="3" s="1"/>
  <c r="D474" i="3"/>
  <c r="E474" i="3" s="1"/>
  <c r="D475" i="3"/>
  <c r="E475" i="3" s="1"/>
  <c r="D476" i="3"/>
  <c r="E476" i="3" s="1"/>
  <c r="D477" i="3"/>
  <c r="E477" i="3" s="1"/>
  <c r="D478" i="3"/>
  <c r="E478" i="3" s="1"/>
  <c r="D479" i="3"/>
  <c r="E479" i="3" s="1"/>
  <c r="D480" i="3"/>
  <c r="E480" i="3" s="1"/>
  <c r="D481" i="3"/>
  <c r="E481" i="3" s="1"/>
  <c r="D482" i="3"/>
  <c r="E482" i="3" s="1"/>
  <c r="D483" i="3"/>
  <c r="E483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490" i="3"/>
  <c r="E49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91" i="3"/>
  <c r="E591" i="3" s="1"/>
  <c r="D592" i="3"/>
  <c r="E592" i="3" s="1"/>
  <c r="D593" i="3"/>
  <c r="E593" i="3" s="1"/>
  <c r="D594" i="3"/>
  <c r="E594" i="3" s="1"/>
  <c r="D595" i="3"/>
  <c r="E595" i="3" s="1"/>
  <c r="D596" i="3"/>
  <c r="E596" i="3" s="1"/>
  <c r="D597" i="3"/>
  <c r="E597" i="3" s="1"/>
  <c r="D598" i="3"/>
  <c r="E598" i="3" s="1"/>
  <c r="D599" i="3"/>
  <c r="E599" i="3" s="1"/>
  <c r="D600" i="3"/>
  <c r="E600" i="3" s="1"/>
  <c r="D601" i="3"/>
  <c r="E601" i="3" s="1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E616" i="3" s="1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67" i="3"/>
  <c r="E667" i="3" s="1"/>
  <c r="D668" i="3"/>
  <c r="E668" i="3" s="1"/>
  <c r="D669" i="3"/>
  <c r="E669" i="3" s="1"/>
  <c r="D670" i="3"/>
  <c r="E670" i="3" s="1"/>
  <c r="D671" i="3"/>
  <c r="E671" i="3" s="1"/>
  <c r="D672" i="3"/>
  <c r="E672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E755" i="3" s="1"/>
  <c r="D756" i="3"/>
  <c r="E756" i="3" s="1"/>
  <c r="D757" i="3"/>
  <c r="E757" i="3" s="1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E768" i="3" s="1"/>
  <c r="D769" i="3"/>
  <c r="E769" i="3" s="1"/>
  <c r="D770" i="3"/>
  <c r="E770" i="3" s="1"/>
  <c r="D771" i="3"/>
  <c r="E771" i="3" s="1"/>
  <c r="D772" i="3"/>
  <c r="E772" i="3" s="1"/>
  <c r="D773" i="3"/>
  <c r="E773" i="3" s="1"/>
  <c r="D774" i="3"/>
  <c r="E774" i="3" s="1"/>
  <c r="D775" i="3"/>
  <c r="E775" i="3" s="1"/>
  <c r="D776" i="3"/>
  <c r="E776" i="3" s="1"/>
  <c r="D777" i="3"/>
  <c r="E777" i="3" s="1"/>
  <c r="D778" i="3"/>
  <c r="E778" i="3" s="1"/>
  <c r="D779" i="3"/>
  <c r="E779" i="3" s="1"/>
  <c r="D780" i="3"/>
  <c r="E780" i="3" s="1"/>
  <c r="D781" i="3"/>
  <c r="E781" i="3" s="1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E790" i="3" s="1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E801" i="3" s="1"/>
  <c r="D802" i="3"/>
  <c r="E802" i="3" s="1"/>
  <c r="D803" i="3"/>
  <c r="E803" i="3" s="1"/>
  <c r="D804" i="3"/>
  <c r="E804" i="3" s="1"/>
  <c r="D805" i="3"/>
  <c r="E805" i="3" s="1"/>
  <c r="D806" i="3"/>
  <c r="E806" i="3" s="1"/>
  <c r="D807" i="3"/>
  <c r="E807" i="3" s="1"/>
  <c r="D808" i="3"/>
  <c r="E808" i="3" s="1"/>
  <c r="D809" i="3"/>
  <c r="E809" i="3" s="1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E817" i="3" s="1"/>
  <c r="D818" i="3"/>
  <c r="E818" i="3" s="1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E828" i="3" s="1"/>
  <c r="D829" i="3"/>
  <c r="E829" i="3" s="1"/>
  <c r="D830" i="3"/>
  <c r="E830" i="3" s="1"/>
  <c r="D831" i="3"/>
  <c r="E831" i="3" s="1"/>
  <c r="D832" i="3"/>
  <c r="E832" i="3" s="1"/>
  <c r="D833" i="3"/>
  <c r="E833" i="3" s="1"/>
  <c r="D834" i="3"/>
  <c r="E834" i="3" s="1"/>
  <c r="D835" i="3"/>
  <c r="E835" i="3" s="1"/>
  <c r="D836" i="3"/>
  <c r="E836" i="3" s="1"/>
  <c r="D837" i="3"/>
  <c r="E837" i="3" s="1"/>
  <c r="D838" i="3"/>
  <c r="E838" i="3" s="1"/>
  <c r="D839" i="3"/>
  <c r="E839" i="3" s="1"/>
  <c r="D840" i="3"/>
  <c r="E840" i="3" s="1"/>
  <c r="D841" i="3"/>
  <c r="E841" i="3" s="1"/>
  <c r="D842" i="3"/>
  <c r="E842" i="3" s="1"/>
  <c r="D843" i="3"/>
  <c r="E843" i="3" s="1"/>
  <c r="D844" i="3"/>
  <c r="E844" i="3" s="1"/>
  <c r="D845" i="3"/>
  <c r="E845" i="3" s="1"/>
  <c r="D846" i="3"/>
  <c r="E846" i="3" s="1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E873" i="3" s="1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E889" i="3" s="1"/>
  <c r="D890" i="3"/>
  <c r="E890" i="3" s="1"/>
  <c r="D891" i="3"/>
  <c r="E891" i="3" s="1"/>
  <c r="D892" i="3"/>
  <c r="E892" i="3" s="1"/>
  <c r="D893" i="3"/>
  <c r="E893" i="3" s="1"/>
  <c r="D894" i="3"/>
  <c r="E894" i="3" s="1"/>
  <c r="D895" i="3"/>
  <c r="E895" i="3" s="1"/>
  <c r="D896" i="3"/>
  <c r="E896" i="3" s="1"/>
  <c r="D897" i="3"/>
  <c r="E897" i="3" s="1"/>
  <c r="D898" i="3"/>
  <c r="E898" i="3" s="1"/>
  <c r="D899" i="3"/>
  <c r="E899" i="3" s="1"/>
  <c r="D900" i="3"/>
  <c r="E900" i="3" s="1"/>
  <c r="D901" i="3"/>
  <c r="E901" i="3" s="1"/>
  <c r="D902" i="3"/>
  <c r="E902" i="3" s="1"/>
  <c r="D903" i="3"/>
  <c r="E903" i="3" s="1"/>
  <c r="D904" i="3"/>
  <c r="E904" i="3" s="1"/>
  <c r="D905" i="3"/>
  <c r="E905" i="3" s="1"/>
  <c r="D906" i="3"/>
  <c r="E906" i="3" s="1"/>
  <c r="D907" i="3"/>
  <c r="E907" i="3" s="1"/>
  <c r="D908" i="3"/>
  <c r="E908" i="3" s="1"/>
  <c r="D909" i="3"/>
  <c r="E909" i="3" s="1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E921" i="3" s="1"/>
  <c r="D922" i="3"/>
  <c r="E922" i="3" s="1"/>
  <c r="D923" i="3"/>
  <c r="E923" i="3" s="1"/>
  <c r="D924" i="3"/>
  <c r="E924" i="3" s="1"/>
  <c r="D925" i="3"/>
  <c r="E925" i="3" s="1"/>
  <c r="D926" i="3"/>
  <c r="E926" i="3" s="1"/>
  <c r="D927" i="3"/>
  <c r="E927" i="3" s="1"/>
  <c r="D928" i="3"/>
  <c r="E928" i="3" s="1"/>
  <c r="D929" i="3"/>
  <c r="E929" i="3" s="1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E940" i="3" s="1"/>
  <c r="D941" i="3"/>
  <c r="E941" i="3" s="1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E957" i="3" s="1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E972" i="3" s="1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E978" i="3" s="1"/>
  <c r="D979" i="3"/>
  <c r="E979" i="3" s="1"/>
  <c r="D980" i="3"/>
  <c r="E980" i="3" s="1"/>
  <c r="D981" i="3"/>
  <c r="E981" i="3" s="1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E1006" i="3" s="1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D1089" i="3"/>
  <c r="E1089" i="3" s="1"/>
  <c r="D1090" i="3"/>
  <c r="E1090" i="3" s="1"/>
  <c r="D1091" i="3"/>
  <c r="E1091" i="3" s="1"/>
  <c r="D1092" i="3"/>
  <c r="E1092" i="3" s="1"/>
  <c r="D1093" i="3"/>
  <c r="E1093" i="3" s="1"/>
  <c r="D1094" i="3"/>
  <c r="E1094" i="3" s="1"/>
  <c r="D1095" i="3"/>
  <c r="E1095" i="3" s="1"/>
  <c r="D1096" i="3"/>
  <c r="E1096" i="3" s="1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E1120" i="3" s="1"/>
  <c r="D1121" i="3"/>
  <c r="E1121" i="3" s="1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E1141" i="3" s="1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E1151" i="3" s="1"/>
  <c r="D1152" i="3"/>
  <c r="E1152" i="3" s="1"/>
  <c r="D1153" i="3"/>
  <c r="E1153" i="3" s="1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E1159" i="3" s="1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E1167" i="3" s="1"/>
  <c r="D1168" i="3"/>
  <c r="E1168" i="3" s="1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E1189" i="3" s="1"/>
  <c r="D1190" i="3"/>
  <c r="E1190" i="3" s="1"/>
  <c r="D1191" i="3"/>
  <c r="E1191" i="3" s="1"/>
  <c r="D1192" i="3"/>
  <c r="E1192" i="3" s="1"/>
  <c r="D1193" i="3"/>
  <c r="E1193" i="3" s="1"/>
  <c r="D1194" i="3"/>
  <c r="E1194" i="3" s="1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E1208" i="3" s="1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E1223" i="3" s="1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E1229" i="3" s="1"/>
  <c r="D1230" i="3"/>
  <c r="E1230" i="3" s="1"/>
  <c r="D1231" i="3"/>
  <c r="E1231" i="3" s="1"/>
  <c r="D1232" i="3"/>
  <c r="E1232" i="3" s="1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E1254" i="3" s="1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E1266" i="3" s="1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E1285" i="3" s="1"/>
  <c r="D1286" i="3"/>
  <c r="E1286" i="3" s="1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E1293" i="3" s="1"/>
  <c r="D1294" i="3"/>
  <c r="E1294" i="3" s="1"/>
  <c r="D1295" i="3"/>
  <c r="E1295" i="3" s="1"/>
  <c r="D1296" i="3"/>
  <c r="E1296" i="3" s="1"/>
  <c r="D1297" i="3"/>
  <c r="E1297" i="3" s="1"/>
  <c r="D1298" i="3"/>
  <c r="E1298" i="3" s="1"/>
  <c r="D1299" i="3"/>
  <c r="E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E1309" i="3" s="1"/>
  <c r="D1310" i="3"/>
  <c r="E1310" i="3" s="1"/>
  <c r="D1311" i="3"/>
  <c r="E1311" i="3" s="1"/>
  <c r="D1312" i="3"/>
  <c r="E1312" i="3" s="1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E1322" i="3" s="1"/>
  <c r="D1323" i="3"/>
  <c r="E1323" i="3" s="1"/>
  <c r="D1324" i="3"/>
  <c r="E1324" i="3" s="1"/>
  <c r="D1325" i="3"/>
  <c r="E1325" i="3" s="1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E1402" i="3" s="1"/>
  <c r="D1403" i="3"/>
  <c r="E1403" i="3" s="1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E1461" i="3" s="1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E1493" i="3" s="1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</calcChain>
</file>

<file path=xl/sharedStrings.xml><?xml version="1.0" encoding="utf-8"?>
<sst xmlns="http://schemas.openxmlformats.org/spreadsheetml/2006/main" count="21029" uniqueCount="42">
  <si>
    <t>Master</t>
  </si>
  <si>
    <t>Arts</t>
  </si>
  <si>
    <t>Year 1</t>
  </si>
  <si>
    <t>No</t>
  </si>
  <si>
    <t>Yes</t>
  </si>
  <si>
    <t>Male</t>
  </si>
  <si>
    <t>Engineering</t>
  </si>
  <si>
    <t>Year 4</t>
  </si>
  <si>
    <t>Business</t>
  </si>
  <si>
    <t>Bachelor</t>
  </si>
  <si>
    <t>Year 3</t>
  </si>
  <si>
    <t>Female</t>
  </si>
  <si>
    <t>Year 2</t>
  </si>
  <si>
    <t>Science</t>
  </si>
  <si>
    <t>CS</t>
  </si>
  <si>
    <t>High School</t>
  </si>
  <si>
    <t>PhD</t>
  </si>
  <si>
    <t>None</t>
  </si>
  <si>
    <t>Dropout</t>
  </si>
  <si>
    <t>Parental_Education</t>
  </si>
  <si>
    <t>Department</t>
  </si>
  <si>
    <t>Semester</t>
  </si>
  <si>
    <t>CGPA</t>
  </si>
  <si>
    <t>Semester_GPA</t>
  </si>
  <si>
    <t>GPA</t>
  </si>
  <si>
    <t>Stress_Index</t>
  </si>
  <si>
    <t>Scholarship</t>
  </si>
  <si>
    <t>Part_Time_Job</t>
  </si>
  <si>
    <t>Travel_Time_Minutes</t>
  </si>
  <si>
    <t>Assignment_Delay_Days</t>
  </si>
  <si>
    <t>Attendance_Rate</t>
  </si>
  <si>
    <t>Study_Hours_per_Day</t>
  </si>
  <si>
    <t>Internet_Access</t>
  </si>
  <si>
    <t>Family_Income</t>
  </si>
  <si>
    <t>Gender</t>
  </si>
  <si>
    <t>Age</t>
  </si>
  <si>
    <t>Student_ID</t>
  </si>
  <si>
    <t>Attendance_Status</t>
  </si>
  <si>
    <t>Dropout_Status</t>
  </si>
  <si>
    <t>Stress Level</t>
  </si>
  <si>
    <t>Income Level</t>
  </si>
  <si>
    <t>GPA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</si>
</sst>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1" applyNumberFormat="1" applyFont="1" applyAlignment="1">
      <alignment horizontal="center"/>
    </xf>
    <xf numFmtId="2" fontId="0" fillId="0" borderId="0" xfId="1" applyNumberFormat="1" applyFont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0" xfId="1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164" fontId="1" fillId="2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BFB81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3E791"/>
        </patternFill>
      </fill>
    </dxf>
    <dxf>
      <fill>
        <patternFill>
          <bgColor rgb="FF7AD35B"/>
        </patternFill>
      </fill>
    </dxf>
    <dxf>
      <fill>
        <patternFill>
          <bgColor rgb="FFED656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0D65A"/>
        </patternFill>
      </fill>
    </dxf>
    <dxf>
      <fill>
        <patternFill>
          <bgColor rgb="FF00CC5C"/>
        </patternFill>
      </fill>
    </dxf>
    <dxf>
      <fill>
        <patternFill>
          <bgColor rgb="FFFFC7CE"/>
        </patternFill>
      </fill>
    </dxf>
    <dxf>
      <fill>
        <patternFill>
          <bgColor rgb="FFF7C115"/>
        </patternFill>
      </fill>
    </dxf>
    <dxf>
      <fill>
        <patternFill>
          <bgColor rgb="FFFFFF7D"/>
        </patternFill>
      </fill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FB81"/>
      <color rgb="FFFFFF7D"/>
      <color rgb="FF00CC5C"/>
      <color rgb="FFE0D65A"/>
      <color rgb="FFF7C115"/>
      <color rgb="FFED6565"/>
      <color rgb="FFFF2D2D"/>
      <color rgb="FF7AD35B"/>
      <color rgb="FFE3E791"/>
      <color rgb="FFEF3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D7751-2760-45D0-8070-024AA5461221}" name="Table1" displayName="Table1" ref="A1:X1500" totalsRowShown="0" headerRowDxfId="44" dataDxfId="43">
  <tableColumns count="24">
    <tableColumn id="1" xr3:uid="{44A91C94-6269-4F28-ACFC-28CB6E972144}" name="Student_ID" dataDxfId="42"/>
    <tableColumn id="2" xr3:uid="{BA929712-7AA6-43AB-BA8B-4AF905B0789D}" name="Age" dataDxfId="41"/>
    <tableColumn id="3" xr3:uid="{151DCAB5-A352-4682-8A75-C8DCC7A49E8C}" name="Gender" dataDxfId="40"/>
    <tableColumn id="4" xr3:uid="{CC2256AE-35A0-4E31-B2F3-3A5BAAC91484}" name="Family_Income" dataDxfId="39">
      <calculatedColumnFormula>IF(ISBLANK('Raw sheet'!D2),AVERAGE('Raw sheet'!$D$2:'Raw sheet'!$D$1500),'Raw sheet'!D2)</calculatedColumnFormula>
    </tableColumn>
    <tableColumn id="23" xr3:uid="{94347400-3D5A-463B-92AE-DF8742742DA0}" name="Income Level" dataDxfId="38">
      <calculatedColumnFormula>IF(Table1[[#This Row],[Family_Income]]&gt;=100000,"Upper",IF(D2&gt;=50000,"Middle","Lower"))</calculatedColumnFormula>
    </tableColumn>
    <tableColumn id="5" xr3:uid="{5604DE1B-5254-4298-9BF0-2DDD6A760E45}" name="Internet_Access" dataDxfId="37"/>
    <tableColumn id="6" xr3:uid="{C5F9A610-BD5B-4486-81EF-4C6A3FF986DB}" name="Study_Hours_per_Day" dataDxfId="36">
      <calculatedColumnFormula>IF(ISBLANK('Raw sheet'!F2),AVERAGE('Raw sheet'!$F$2:'Raw sheet'!$F$1500),'Raw sheet'!F2)</calculatedColumnFormula>
    </tableColumn>
    <tableColumn id="7" xr3:uid="{BF63898C-1FB2-4BC1-924B-101A7A4D19D3}" name="Attendance_Rate" dataDxfId="35" dataCellStyle="Percent"/>
    <tableColumn id="8" xr3:uid="{9E0A4367-2430-4EB0-8790-9BB0ECFA9B23}" name="Attendance_Status" dataDxfId="34" dataCellStyle="Percent">
      <calculatedColumnFormula>IF(H2&gt;=75,"Good","Low")</calculatedColumnFormula>
    </tableColumn>
    <tableColumn id="9" xr3:uid="{2D24C28F-EC6B-456B-98D0-CAE4C8DE5866}" name="Assignment_Delay_Days" dataDxfId="33"/>
    <tableColumn id="10" xr3:uid="{361BA692-9A19-480B-8A4A-5C6A402E2C00}" name="Travel_Time_Minutes" dataDxfId="32"/>
    <tableColumn id="11" xr3:uid="{74919011-67C3-4A9B-B3E6-D6133AC9407F}" name="Part_Time_Job" dataDxfId="31"/>
    <tableColumn id="12" xr3:uid="{0171E138-CF75-48E1-81E2-B282F64C25EE}" name="Scholarship" dataDxfId="30"/>
    <tableColumn id="13" xr3:uid="{E9A794EF-14CB-4E3D-A4E1-8B8C7D13ADF1}" name="Stress_Index" dataDxfId="29">
      <calculatedColumnFormula>IF(ISBLANK('Raw sheet'!L2),AVERAGE('Raw sheet'!$L$2:'Raw sheet'!$L$1500),'Raw sheet'!L2)</calculatedColumnFormula>
    </tableColumn>
    <tableColumn id="22" xr3:uid="{A4666D22-45DF-40CC-8AFD-18558386396D}" name="Stress Level" dataDxfId="28">
      <calculatedColumnFormula>IF(Table1[[#This Row],[Stress_Index]]&gt;=8,"High",IF(N2&gt;=5,"Medium","Low"))</calculatedColumnFormula>
    </tableColumn>
    <tableColumn id="14" xr3:uid="{A7A7D538-23D8-42D8-9194-DAF84F85EB42}" name="GPA" dataDxfId="27"/>
    <tableColumn id="15" xr3:uid="{1A9C9093-D209-4147-8458-CF90235D28DD}" name="Semester_GPA" dataDxfId="26"/>
    <tableColumn id="16" xr3:uid="{4CAEDFE4-DBA5-4C55-9895-7BD11F8ABAF5}" name="CGPA" dataDxfId="25"/>
    <tableColumn id="24" xr3:uid="{DB95AAE5-BD2F-40EA-B274-3D5FCD292A50}" name="GPA Category" dataDxfId="24">
      <calculatedColumnFormula>IF(Table1[[#This Row],[CGPA]]&gt;=3,"High",IF(R1&gt;=2,"Medium","Low"))</calculatedColumnFormula>
    </tableColumn>
    <tableColumn id="17" xr3:uid="{93B280A1-C078-4F9D-975E-7C5A1940D47E}" name="Semester" dataDxfId="23"/>
    <tableColumn id="18" xr3:uid="{9EA54FA5-510F-4769-AC7C-C1F6C24ECEDA}" name="Department" dataDxfId="22"/>
    <tableColumn id="19" xr3:uid="{24564E53-E2CF-4BE1-A5B5-2AE6E7EAC120}" name="Parental_Education" dataDxfId="21"/>
    <tableColumn id="20" xr3:uid="{38933048-5A6D-4B3E-8E44-4C6CA562EFF6}" name="Dropout" dataDxfId="20"/>
    <tableColumn id="21" xr3:uid="{8321FEF3-1A2C-4D90-B9D0-0A58B15106CB}" name="Dropout_Status" dataDxfId="19">
      <calculatedColumnFormula>IF(W2=1,"Dropped Out","Active")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D6D6-3F08-4DBF-B96A-BB5B55B93021}">
  <sheetPr>
    <tabColor rgb="FFEF3131"/>
  </sheetPr>
  <dimension ref="A1:S1500"/>
  <sheetViews>
    <sheetView zoomScale="89" workbookViewId="0">
      <selection activeCell="U17" sqref="U17"/>
    </sheetView>
  </sheetViews>
  <sheetFormatPr defaultRowHeight="14.4" x14ac:dyDescent="0.3"/>
  <cols>
    <col min="1" max="1" width="9.21875" customWidth="1"/>
    <col min="3" max="3" width="5.6640625" customWidth="1"/>
    <col min="4" max="4" width="9.88671875" customWidth="1"/>
    <col min="5" max="6" width="8.6640625" customWidth="1"/>
    <col min="7" max="7" width="9.44140625" customWidth="1"/>
    <col min="8" max="8" width="6.6640625" customWidth="1"/>
    <col min="9" max="9" width="12.88671875" customWidth="1"/>
    <col min="10" max="10" width="6.6640625" customWidth="1"/>
    <col min="11" max="11" width="7.109375" customWidth="1"/>
    <col min="12" max="12" width="11" customWidth="1"/>
    <col min="13" max="13" width="5" customWidth="1"/>
    <col min="14" max="14" width="9.6640625" customWidth="1"/>
    <col min="15" max="15" width="5.77734375" customWidth="1"/>
    <col min="16" max="16" width="8.6640625" customWidth="1"/>
    <col min="17" max="17" width="10.5546875" customWidth="1"/>
    <col min="18" max="18" width="9.6640625" customWidth="1"/>
    <col min="19" max="19" width="6.5546875" customWidth="1"/>
  </cols>
  <sheetData>
    <row r="1" spans="1:19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  <c r="F1" t="s">
        <v>31</v>
      </c>
      <c r="G1" t="s">
        <v>30</v>
      </c>
      <c r="H1" t="s">
        <v>29</v>
      </c>
      <c r="I1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  <c r="O1" t="s">
        <v>22</v>
      </c>
      <c r="P1" t="s">
        <v>21</v>
      </c>
      <c r="Q1" t="s">
        <v>20</v>
      </c>
      <c r="R1" t="s">
        <v>19</v>
      </c>
      <c r="S1" t="s">
        <v>18</v>
      </c>
    </row>
    <row r="2" spans="1:19" x14ac:dyDescent="0.3">
      <c r="A2">
        <v>1</v>
      </c>
      <c r="B2">
        <v>22.1</v>
      </c>
      <c r="C2" t="s">
        <v>5</v>
      </c>
      <c r="D2">
        <v>25000</v>
      </c>
      <c r="E2" t="s">
        <v>4</v>
      </c>
      <c r="F2">
        <v>3.36</v>
      </c>
      <c r="G2">
        <v>86.1</v>
      </c>
      <c r="H2">
        <v>2</v>
      </c>
      <c r="I2">
        <v>20.399999999999999</v>
      </c>
      <c r="J2" t="s">
        <v>4</v>
      </c>
      <c r="K2" t="s">
        <v>3</v>
      </c>
      <c r="L2">
        <v>5.5</v>
      </c>
      <c r="M2">
        <v>0.96</v>
      </c>
      <c r="N2">
        <v>0.9</v>
      </c>
      <c r="O2">
        <v>0.9</v>
      </c>
      <c r="P2" t="s">
        <v>2</v>
      </c>
      <c r="Q2" t="s">
        <v>1</v>
      </c>
      <c r="R2" t="s">
        <v>15</v>
      </c>
      <c r="S2">
        <v>0</v>
      </c>
    </row>
    <row r="3" spans="1:19" x14ac:dyDescent="0.3">
      <c r="A3">
        <v>2</v>
      </c>
      <c r="B3">
        <v>20.7</v>
      </c>
      <c r="C3" t="s">
        <v>5</v>
      </c>
      <c r="D3">
        <v>25000</v>
      </c>
      <c r="E3" t="s">
        <v>4</v>
      </c>
      <c r="F3">
        <v>4.3</v>
      </c>
      <c r="G3">
        <v>68</v>
      </c>
      <c r="H3">
        <v>2</v>
      </c>
      <c r="I3">
        <v>44</v>
      </c>
      <c r="J3" t="s">
        <v>3</v>
      </c>
      <c r="K3" t="s">
        <v>3</v>
      </c>
      <c r="L3">
        <v>6.8</v>
      </c>
      <c r="M3">
        <v>1.28</v>
      </c>
      <c r="N3">
        <v>1.2</v>
      </c>
      <c r="O3">
        <v>1.19</v>
      </c>
      <c r="P3" t="s">
        <v>10</v>
      </c>
      <c r="Q3" t="s">
        <v>6</v>
      </c>
      <c r="R3" t="s">
        <v>9</v>
      </c>
      <c r="S3">
        <v>1</v>
      </c>
    </row>
    <row r="4" spans="1:19" x14ac:dyDescent="0.3">
      <c r="A4">
        <v>3</v>
      </c>
      <c r="B4">
        <v>22.4</v>
      </c>
      <c r="C4" t="s">
        <v>5</v>
      </c>
      <c r="D4">
        <v>40183</v>
      </c>
      <c r="E4" t="s">
        <v>4</v>
      </c>
      <c r="F4">
        <v>4.4000000000000004</v>
      </c>
      <c r="G4">
        <v>70.900000000000006</v>
      </c>
      <c r="H4">
        <v>0</v>
      </c>
      <c r="I4">
        <v>48.9</v>
      </c>
      <c r="J4" t="s">
        <v>4</v>
      </c>
      <c r="K4" t="s">
        <v>3</v>
      </c>
      <c r="L4">
        <v>5.5</v>
      </c>
      <c r="M4">
        <v>1.68</v>
      </c>
      <c r="N4">
        <v>1.32</v>
      </c>
      <c r="O4">
        <v>1.32</v>
      </c>
      <c r="P4" t="s">
        <v>2</v>
      </c>
      <c r="Q4" t="s">
        <v>1</v>
      </c>
      <c r="R4" t="s">
        <v>0</v>
      </c>
      <c r="S4">
        <v>0</v>
      </c>
    </row>
    <row r="5" spans="1:19" x14ac:dyDescent="0.3">
      <c r="A5">
        <v>4</v>
      </c>
      <c r="B5">
        <v>24.4</v>
      </c>
      <c r="C5" t="s">
        <v>5</v>
      </c>
      <c r="E5" t="s">
        <v>4</v>
      </c>
      <c r="G5">
        <v>82.2</v>
      </c>
      <c r="H5">
        <v>2</v>
      </c>
      <c r="I5">
        <v>38.6</v>
      </c>
      <c r="J5" t="s">
        <v>3</v>
      </c>
      <c r="K5" t="s">
        <v>3</v>
      </c>
      <c r="M5">
        <v>1.78</v>
      </c>
      <c r="N5">
        <v>1.77</v>
      </c>
      <c r="O5">
        <v>1.77</v>
      </c>
      <c r="P5" t="s">
        <v>2</v>
      </c>
      <c r="Q5" t="s">
        <v>14</v>
      </c>
      <c r="R5" t="s">
        <v>15</v>
      </c>
      <c r="S5">
        <v>1</v>
      </c>
    </row>
    <row r="6" spans="1:19" x14ac:dyDescent="0.3">
      <c r="A6">
        <v>5</v>
      </c>
      <c r="B6">
        <v>20.5</v>
      </c>
      <c r="C6" t="s">
        <v>11</v>
      </c>
      <c r="D6">
        <v>25319</v>
      </c>
      <c r="E6" t="s">
        <v>4</v>
      </c>
      <c r="F6">
        <v>4.1900000000000004</v>
      </c>
      <c r="G6">
        <v>75.7</v>
      </c>
      <c r="H6">
        <v>1</v>
      </c>
      <c r="I6">
        <v>23</v>
      </c>
      <c r="J6" t="s">
        <v>3</v>
      </c>
      <c r="K6" t="s">
        <v>3</v>
      </c>
      <c r="L6">
        <v>7</v>
      </c>
      <c r="M6">
        <v>1.48</v>
      </c>
      <c r="N6">
        <v>0.91</v>
      </c>
      <c r="O6">
        <v>0.87</v>
      </c>
      <c r="P6" t="s">
        <v>7</v>
      </c>
      <c r="Q6" t="s">
        <v>8</v>
      </c>
      <c r="R6" t="s">
        <v>9</v>
      </c>
      <c r="S6">
        <v>0</v>
      </c>
    </row>
    <row r="7" spans="1:19" x14ac:dyDescent="0.3">
      <c r="A7">
        <v>6</v>
      </c>
      <c r="B7">
        <v>20.5</v>
      </c>
      <c r="C7" t="s">
        <v>5</v>
      </c>
      <c r="D7">
        <v>25000</v>
      </c>
      <c r="E7" t="s">
        <v>4</v>
      </c>
      <c r="F7">
        <v>4.1100000000000003</v>
      </c>
      <c r="G7">
        <v>89.1</v>
      </c>
      <c r="H7">
        <v>2</v>
      </c>
      <c r="I7">
        <v>47.1</v>
      </c>
      <c r="J7" t="s">
        <v>3</v>
      </c>
      <c r="K7" t="s">
        <v>4</v>
      </c>
      <c r="L7">
        <v>6</v>
      </c>
      <c r="M7">
        <v>2.52</v>
      </c>
      <c r="N7">
        <v>2.72</v>
      </c>
      <c r="O7">
        <v>2.69</v>
      </c>
      <c r="P7" t="s">
        <v>10</v>
      </c>
      <c r="Q7" t="s">
        <v>8</v>
      </c>
      <c r="R7" t="s">
        <v>17</v>
      </c>
      <c r="S7">
        <v>0</v>
      </c>
    </row>
    <row r="8" spans="1:19" x14ac:dyDescent="0.3">
      <c r="A8">
        <v>7</v>
      </c>
      <c r="B8">
        <v>24.5</v>
      </c>
      <c r="C8" t="s">
        <v>5</v>
      </c>
      <c r="D8">
        <v>25000</v>
      </c>
      <c r="E8" t="s">
        <v>4</v>
      </c>
      <c r="F8">
        <v>3</v>
      </c>
      <c r="G8">
        <v>78.2</v>
      </c>
      <c r="H8">
        <v>1</v>
      </c>
      <c r="I8">
        <v>37.4</v>
      </c>
      <c r="J8" t="s">
        <v>4</v>
      </c>
      <c r="K8" t="s">
        <v>4</v>
      </c>
      <c r="L8">
        <v>7.3</v>
      </c>
      <c r="M8">
        <v>0.64</v>
      </c>
      <c r="N8">
        <v>0.33</v>
      </c>
      <c r="O8">
        <v>0.44</v>
      </c>
      <c r="P8" t="s">
        <v>7</v>
      </c>
      <c r="Q8" t="s">
        <v>14</v>
      </c>
      <c r="R8" t="s">
        <v>9</v>
      </c>
      <c r="S8">
        <v>0</v>
      </c>
    </row>
    <row r="9" spans="1:19" x14ac:dyDescent="0.3">
      <c r="A9">
        <v>8</v>
      </c>
      <c r="B9">
        <v>22.7</v>
      </c>
      <c r="C9" t="s">
        <v>11</v>
      </c>
      <c r="D9">
        <v>25000</v>
      </c>
      <c r="E9" t="s">
        <v>4</v>
      </c>
      <c r="F9">
        <v>2.12</v>
      </c>
      <c r="G9">
        <v>86.4</v>
      </c>
      <c r="H9">
        <v>1</v>
      </c>
      <c r="I9">
        <v>34</v>
      </c>
      <c r="J9" t="s">
        <v>3</v>
      </c>
      <c r="K9" t="s">
        <v>4</v>
      </c>
      <c r="L9">
        <v>6.5</v>
      </c>
      <c r="M9">
        <v>1.79</v>
      </c>
      <c r="N9">
        <v>1.1399999999999999</v>
      </c>
      <c r="O9">
        <v>1.1399999999999999</v>
      </c>
      <c r="P9" t="s">
        <v>2</v>
      </c>
      <c r="Q9" t="s">
        <v>1</v>
      </c>
      <c r="R9" t="s">
        <v>15</v>
      </c>
      <c r="S9">
        <v>0</v>
      </c>
    </row>
    <row r="10" spans="1:19" x14ac:dyDescent="0.3">
      <c r="A10">
        <v>9</v>
      </c>
      <c r="B10">
        <v>20</v>
      </c>
      <c r="C10" t="s">
        <v>5</v>
      </c>
      <c r="D10">
        <v>57413</v>
      </c>
      <c r="E10" t="s">
        <v>4</v>
      </c>
      <c r="F10">
        <v>4.07</v>
      </c>
      <c r="G10">
        <v>97.5</v>
      </c>
      <c r="H10">
        <v>3</v>
      </c>
      <c r="I10">
        <v>52.1</v>
      </c>
      <c r="J10" t="s">
        <v>3</v>
      </c>
      <c r="K10" t="s">
        <v>3</v>
      </c>
      <c r="L10">
        <v>4.2</v>
      </c>
      <c r="M10">
        <v>3.08</v>
      </c>
      <c r="N10">
        <v>2.81</v>
      </c>
      <c r="O10">
        <v>2.81</v>
      </c>
      <c r="P10" t="s">
        <v>2</v>
      </c>
      <c r="Q10" t="s">
        <v>14</v>
      </c>
      <c r="R10" t="s">
        <v>15</v>
      </c>
      <c r="S10">
        <v>0</v>
      </c>
    </row>
    <row r="11" spans="1:19" x14ac:dyDescent="0.3">
      <c r="A11">
        <v>10</v>
      </c>
      <c r="B11">
        <v>22.2</v>
      </c>
      <c r="C11" t="s">
        <v>11</v>
      </c>
      <c r="D11">
        <v>44930</v>
      </c>
      <c r="E11" t="s">
        <v>4</v>
      </c>
      <c r="F11">
        <v>2.98</v>
      </c>
      <c r="G11">
        <v>82.2</v>
      </c>
      <c r="H11">
        <v>1</v>
      </c>
      <c r="I11">
        <v>19.7</v>
      </c>
      <c r="J11" t="s">
        <v>3</v>
      </c>
      <c r="K11" t="s">
        <v>3</v>
      </c>
      <c r="L11">
        <v>6.7</v>
      </c>
      <c r="M11">
        <v>1.59</v>
      </c>
      <c r="N11">
        <v>1.73</v>
      </c>
      <c r="O11">
        <v>1.73</v>
      </c>
      <c r="P11" t="s">
        <v>2</v>
      </c>
      <c r="Q11" t="s">
        <v>13</v>
      </c>
      <c r="R11" t="s">
        <v>0</v>
      </c>
      <c r="S11">
        <v>0</v>
      </c>
    </row>
    <row r="12" spans="1:19" x14ac:dyDescent="0.3">
      <c r="A12">
        <v>11</v>
      </c>
      <c r="B12">
        <v>20</v>
      </c>
      <c r="C12" t="s">
        <v>11</v>
      </c>
      <c r="D12">
        <v>25000</v>
      </c>
      <c r="E12" t="s">
        <v>4</v>
      </c>
      <c r="F12">
        <v>5.27</v>
      </c>
      <c r="G12">
        <v>73.900000000000006</v>
      </c>
      <c r="H12">
        <v>3</v>
      </c>
      <c r="I12">
        <v>39.299999999999997</v>
      </c>
      <c r="J12" t="s">
        <v>4</v>
      </c>
      <c r="K12" t="s">
        <v>3</v>
      </c>
      <c r="L12">
        <v>7.2</v>
      </c>
      <c r="M12">
        <v>1.52</v>
      </c>
      <c r="N12">
        <v>1.5</v>
      </c>
      <c r="O12">
        <v>1.46</v>
      </c>
      <c r="P12" t="s">
        <v>10</v>
      </c>
      <c r="Q12" t="s">
        <v>8</v>
      </c>
      <c r="R12" t="s">
        <v>9</v>
      </c>
      <c r="S12">
        <v>1</v>
      </c>
    </row>
    <row r="13" spans="1:19" x14ac:dyDescent="0.3">
      <c r="A13">
        <v>12</v>
      </c>
      <c r="B13">
        <v>20</v>
      </c>
      <c r="C13" t="s">
        <v>5</v>
      </c>
      <c r="D13">
        <v>46056</v>
      </c>
      <c r="E13" t="s">
        <v>4</v>
      </c>
      <c r="F13">
        <v>2.37</v>
      </c>
      <c r="G13">
        <v>85.2</v>
      </c>
      <c r="H13">
        <v>6</v>
      </c>
      <c r="I13">
        <v>20.2</v>
      </c>
      <c r="J13" t="s">
        <v>4</v>
      </c>
      <c r="K13" t="s">
        <v>4</v>
      </c>
      <c r="L13">
        <v>8</v>
      </c>
      <c r="M13">
        <v>0</v>
      </c>
      <c r="N13">
        <v>0.15</v>
      </c>
      <c r="O13">
        <v>0.15</v>
      </c>
      <c r="P13" t="s">
        <v>12</v>
      </c>
      <c r="Q13" t="s">
        <v>6</v>
      </c>
      <c r="R13" t="s">
        <v>9</v>
      </c>
      <c r="S13">
        <v>1</v>
      </c>
    </row>
    <row r="14" spans="1:19" x14ac:dyDescent="0.3">
      <c r="A14">
        <v>13</v>
      </c>
      <c r="B14">
        <v>21.5</v>
      </c>
      <c r="C14" t="s">
        <v>11</v>
      </c>
      <c r="D14">
        <v>50644</v>
      </c>
      <c r="E14" t="s">
        <v>4</v>
      </c>
      <c r="F14">
        <v>3.54</v>
      </c>
      <c r="G14">
        <v>84.3</v>
      </c>
      <c r="H14">
        <v>1</v>
      </c>
      <c r="I14">
        <v>22.7</v>
      </c>
      <c r="J14" t="s">
        <v>3</v>
      </c>
      <c r="K14" t="s">
        <v>4</v>
      </c>
      <c r="L14">
        <v>4.5999999999999996</v>
      </c>
      <c r="M14">
        <v>2.56</v>
      </c>
      <c r="N14">
        <v>2.65</v>
      </c>
      <c r="O14">
        <v>2.72</v>
      </c>
      <c r="P14" t="s">
        <v>7</v>
      </c>
      <c r="Q14" t="s">
        <v>14</v>
      </c>
      <c r="R14" t="s">
        <v>17</v>
      </c>
      <c r="S14">
        <v>0</v>
      </c>
    </row>
    <row r="15" spans="1:19" x14ac:dyDescent="0.3">
      <c r="A15">
        <v>14</v>
      </c>
      <c r="B15">
        <v>17</v>
      </c>
      <c r="C15" t="s">
        <v>11</v>
      </c>
      <c r="D15">
        <v>27000</v>
      </c>
      <c r="E15" t="s">
        <v>4</v>
      </c>
      <c r="F15">
        <v>4.2</v>
      </c>
      <c r="G15">
        <v>84</v>
      </c>
      <c r="H15">
        <v>1</v>
      </c>
      <c r="I15">
        <v>61.2</v>
      </c>
      <c r="J15" t="s">
        <v>3</v>
      </c>
      <c r="K15" t="s">
        <v>4</v>
      </c>
      <c r="L15">
        <v>4.8</v>
      </c>
      <c r="M15">
        <v>2.68</v>
      </c>
      <c r="N15">
        <v>2.7</v>
      </c>
      <c r="O15">
        <v>2.7</v>
      </c>
      <c r="P15" t="s">
        <v>2</v>
      </c>
      <c r="Q15" t="s">
        <v>8</v>
      </c>
      <c r="R15" t="s">
        <v>9</v>
      </c>
      <c r="S15">
        <v>0</v>
      </c>
    </row>
    <row r="16" spans="1:19" x14ac:dyDescent="0.3">
      <c r="A16">
        <v>15</v>
      </c>
      <c r="B16">
        <v>17.2</v>
      </c>
      <c r="C16" t="s">
        <v>5</v>
      </c>
      <c r="E16" t="s">
        <v>4</v>
      </c>
      <c r="G16">
        <v>92.9</v>
      </c>
      <c r="H16">
        <v>1</v>
      </c>
      <c r="I16">
        <v>36</v>
      </c>
      <c r="J16" t="s">
        <v>4</v>
      </c>
      <c r="K16" t="s">
        <v>3</v>
      </c>
      <c r="M16">
        <v>2.6</v>
      </c>
      <c r="N16">
        <v>2.77</v>
      </c>
      <c r="O16">
        <v>2.92</v>
      </c>
      <c r="P16" t="s">
        <v>10</v>
      </c>
      <c r="Q16" t="s">
        <v>6</v>
      </c>
      <c r="R16" t="s">
        <v>9</v>
      </c>
      <c r="S16">
        <v>0</v>
      </c>
    </row>
    <row r="17" spans="1:19" x14ac:dyDescent="0.3">
      <c r="A17">
        <v>16</v>
      </c>
      <c r="B17">
        <v>19.8</v>
      </c>
      <c r="C17" t="s">
        <v>5</v>
      </c>
      <c r="D17">
        <v>26246</v>
      </c>
      <c r="E17" t="s">
        <v>3</v>
      </c>
      <c r="F17">
        <v>3.49</v>
      </c>
      <c r="G17">
        <v>72.5</v>
      </c>
      <c r="H17">
        <v>2</v>
      </c>
      <c r="I17">
        <v>52.2</v>
      </c>
      <c r="J17" t="s">
        <v>3</v>
      </c>
      <c r="K17" t="s">
        <v>3</v>
      </c>
      <c r="L17">
        <v>7</v>
      </c>
      <c r="M17">
        <v>2.81</v>
      </c>
      <c r="N17">
        <v>3.15</v>
      </c>
      <c r="O17">
        <v>3.15</v>
      </c>
      <c r="P17" t="s">
        <v>2</v>
      </c>
      <c r="Q17" t="s">
        <v>1</v>
      </c>
      <c r="R17" t="s">
        <v>0</v>
      </c>
      <c r="S17">
        <v>0</v>
      </c>
    </row>
    <row r="18" spans="1:19" x14ac:dyDescent="0.3">
      <c r="A18">
        <v>17</v>
      </c>
      <c r="B18">
        <v>18.8</v>
      </c>
      <c r="C18" t="s">
        <v>11</v>
      </c>
      <c r="D18">
        <v>28037</v>
      </c>
      <c r="E18" t="s">
        <v>4</v>
      </c>
      <c r="F18">
        <v>4.24</v>
      </c>
      <c r="G18">
        <v>90</v>
      </c>
      <c r="H18">
        <v>2</v>
      </c>
      <c r="I18">
        <v>36.5</v>
      </c>
      <c r="J18" t="s">
        <v>3</v>
      </c>
      <c r="K18" t="s">
        <v>4</v>
      </c>
      <c r="L18">
        <v>4.5999999999999996</v>
      </c>
      <c r="M18">
        <v>2.5499999999999998</v>
      </c>
      <c r="N18">
        <v>2.2000000000000002</v>
      </c>
      <c r="O18">
        <v>2.2000000000000002</v>
      </c>
      <c r="P18" t="s">
        <v>2</v>
      </c>
      <c r="Q18" t="s">
        <v>6</v>
      </c>
      <c r="R18" t="s">
        <v>15</v>
      </c>
      <c r="S18">
        <v>0</v>
      </c>
    </row>
    <row r="19" spans="1:19" x14ac:dyDescent="0.3">
      <c r="A19">
        <v>18</v>
      </c>
      <c r="B19">
        <v>21.7</v>
      </c>
      <c r="C19" t="s">
        <v>11</v>
      </c>
      <c r="D19">
        <v>25000</v>
      </c>
      <c r="E19" t="s">
        <v>4</v>
      </c>
      <c r="F19">
        <v>4.8</v>
      </c>
      <c r="G19">
        <v>77.2</v>
      </c>
      <c r="H19">
        <v>0</v>
      </c>
      <c r="I19">
        <v>34.799999999999997</v>
      </c>
      <c r="J19" t="s">
        <v>4</v>
      </c>
      <c r="K19" t="s">
        <v>4</v>
      </c>
      <c r="L19">
        <v>4.3</v>
      </c>
      <c r="M19">
        <v>1.99</v>
      </c>
      <c r="N19">
        <v>1.8</v>
      </c>
      <c r="O19">
        <v>1.78</v>
      </c>
      <c r="P19" t="s">
        <v>7</v>
      </c>
      <c r="Q19" t="s">
        <v>8</v>
      </c>
      <c r="R19" t="s">
        <v>0</v>
      </c>
      <c r="S19">
        <v>0</v>
      </c>
    </row>
    <row r="20" spans="1:19" x14ac:dyDescent="0.3">
      <c r="A20">
        <v>19</v>
      </c>
      <c r="B20">
        <v>19</v>
      </c>
      <c r="C20" t="s">
        <v>11</v>
      </c>
      <c r="D20">
        <v>37058</v>
      </c>
      <c r="E20" t="s">
        <v>4</v>
      </c>
      <c r="F20">
        <v>4.99</v>
      </c>
      <c r="G20">
        <v>93</v>
      </c>
      <c r="H20">
        <v>2</v>
      </c>
      <c r="I20">
        <v>22.5</v>
      </c>
      <c r="J20" t="s">
        <v>3</v>
      </c>
      <c r="K20" t="s">
        <v>3</v>
      </c>
      <c r="L20">
        <v>4.7</v>
      </c>
      <c r="M20">
        <v>3.25</v>
      </c>
      <c r="N20">
        <v>3.59</v>
      </c>
      <c r="O20">
        <v>3.59</v>
      </c>
      <c r="P20" t="s">
        <v>2</v>
      </c>
      <c r="Q20" t="s">
        <v>1</v>
      </c>
      <c r="R20" t="s">
        <v>9</v>
      </c>
      <c r="S20">
        <v>0</v>
      </c>
    </row>
    <row r="21" spans="1:19" x14ac:dyDescent="0.3">
      <c r="A21">
        <v>20</v>
      </c>
      <c r="B21">
        <v>17.899999999999999</v>
      </c>
      <c r="C21" t="s">
        <v>5</v>
      </c>
      <c r="D21">
        <v>35168</v>
      </c>
      <c r="E21" t="s">
        <v>4</v>
      </c>
      <c r="F21">
        <v>4.4800000000000004</v>
      </c>
      <c r="G21">
        <v>65</v>
      </c>
      <c r="H21">
        <v>1</v>
      </c>
      <c r="I21">
        <v>41.7</v>
      </c>
      <c r="J21" t="s">
        <v>3</v>
      </c>
      <c r="K21" t="s">
        <v>3</v>
      </c>
      <c r="L21">
        <v>5.6</v>
      </c>
      <c r="M21">
        <v>1.71</v>
      </c>
      <c r="N21">
        <v>1.63</v>
      </c>
      <c r="O21">
        <v>1.63</v>
      </c>
      <c r="P21" t="s">
        <v>2</v>
      </c>
      <c r="Q21" t="s">
        <v>8</v>
      </c>
      <c r="R21" t="s">
        <v>9</v>
      </c>
      <c r="S21">
        <v>1</v>
      </c>
    </row>
    <row r="22" spans="1:19" x14ac:dyDescent="0.3">
      <c r="A22">
        <v>21</v>
      </c>
      <c r="B22">
        <v>24.2</v>
      </c>
      <c r="C22" t="s">
        <v>11</v>
      </c>
      <c r="D22">
        <v>38833</v>
      </c>
      <c r="E22" t="s">
        <v>4</v>
      </c>
      <c r="F22">
        <v>6.35</v>
      </c>
      <c r="G22">
        <v>99.8</v>
      </c>
      <c r="H22">
        <v>2</v>
      </c>
      <c r="I22">
        <v>30.3</v>
      </c>
      <c r="J22" t="s">
        <v>3</v>
      </c>
      <c r="K22" t="s">
        <v>4</v>
      </c>
      <c r="L22">
        <v>3.9</v>
      </c>
      <c r="M22">
        <v>2.63</v>
      </c>
      <c r="N22">
        <v>2.23</v>
      </c>
      <c r="O22">
        <v>2.23</v>
      </c>
      <c r="P22" t="s">
        <v>2</v>
      </c>
      <c r="Q22" t="s">
        <v>14</v>
      </c>
      <c r="R22" t="s">
        <v>9</v>
      </c>
      <c r="S22">
        <v>0</v>
      </c>
    </row>
    <row r="23" spans="1:19" x14ac:dyDescent="0.3">
      <c r="A23">
        <v>22</v>
      </c>
      <c r="B23">
        <v>20.5</v>
      </c>
      <c r="C23" t="s">
        <v>5</v>
      </c>
      <c r="D23">
        <v>35149</v>
      </c>
      <c r="E23" t="s">
        <v>4</v>
      </c>
      <c r="F23">
        <v>3.48</v>
      </c>
      <c r="G23">
        <v>79.8</v>
      </c>
      <c r="H23">
        <v>0</v>
      </c>
      <c r="I23">
        <v>31</v>
      </c>
      <c r="J23" t="s">
        <v>4</v>
      </c>
      <c r="K23" t="s">
        <v>3</v>
      </c>
      <c r="L23">
        <v>6.3</v>
      </c>
      <c r="M23">
        <v>2.09</v>
      </c>
      <c r="N23">
        <v>2.0099999999999998</v>
      </c>
      <c r="O23">
        <v>2</v>
      </c>
      <c r="P23" t="s">
        <v>10</v>
      </c>
      <c r="Q23" t="s">
        <v>1</v>
      </c>
      <c r="R23" t="s">
        <v>0</v>
      </c>
      <c r="S23">
        <v>0</v>
      </c>
    </row>
    <row r="24" spans="1:19" x14ac:dyDescent="0.3">
      <c r="A24">
        <v>23</v>
      </c>
      <c r="B24">
        <v>21.1</v>
      </c>
      <c r="C24" t="s">
        <v>11</v>
      </c>
      <c r="D24">
        <v>46069</v>
      </c>
      <c r="E24" t="s">
        <v>4</v>
      </c>
      <c r="F24">
        <v>6.25</v>
      </c>
      <c r="G24">
        <v>72.3</v>
      </c>
      <c r="H24">
        <v>2</v>
      </c>
      <c r="I24">
        <v>26.9</v>
      </c>
      <c r="J24" t="s">
        <v>4</v>
      </c>
      <c r="K24" t="s">
        <v>4</v>
      </c>
      <c r="L24">
        <v>2.4</v>
      </c>
      <c r="M24">
        <v>4</v>
      </c>
      <c r="N24">
        <v>4</v>
      </c>
      <c r="O24">
        <v>3.92</v>
      </c>
      <c r="P24" t="s">
        <v>10</v>
      </c>
      <c r="Q24" t="s">
        <v>14</v>
      </c>
      <c r="R24" t="s">
        <v>9</v>
      </c>
      <c r="S24">
        <v>0</v>
      </c>
    </row>
    <row r="25" spans="1:19" x14ac:dyDescent="0.3">
      <c r="A25">
        <v>24</v>
      </c>
      <c r="B25">
        <v>17.899999999999999</v>
      </c>
      <c r="C25" t="s">
        <v>11</v>
      </c>
      <c r="D25">
        <v>26700</v>
      </c>
      <c r="E25" t="s">
        <v>4</v>
      </c>
      <c r="F25">
        <v>4.9000000000000004</v>
      </c>
      <c r="G25">
        <v>89.3</v>
      </c>
      <c r="H25">
        <v>3</v>
      </c>
      <c r="I25">
        <v>28.8</v>
      </c>
      <c r="J25" t="s">
        <v>3</v>
      </c>
      <c r="K25" t="s">
        <v>4</v>
      </c>
      <c r="L25">
        <v>4</v>
      </c>
      <c r="M25">
        <v>3.14</v>
      </c>
      <c r="N25">
        <v>3.11</v>
      </c>
      <c r="O25">
        <v>3.04</v>
      </c>
      <c r="P25" t="s">
        <v>7</v>
      </c>
      <c r="Q25" t="s">
        <v>8</v>
      </c>
      <c r="R25" t="s">
        <v>9</v>
      </c>
      <c r="S25">
        <v>0</v>
      </c>
    </row>
    <row r="26" spans="1:19" x14ac:dyDescent="0.3">
      <c r="A26">
        <v>25</v>
      </c>
      <c r="B26">
        <v>19.8</v>
      </c>
      <c r="C26" t="s">
        <v>11</v>
      </c>
      <c r="D26">
        <v>33559</v>
      </c>
      <c r="E26" t="s">
        <v>4</v>
      </c>
      <c r="F26">
        <v>4.32</v>
      </c>
      <c r="G26">
        <v>86.1</v>
      </c>
      <c r="H26">
        <v>3</v>
      </c>
      <c r="I26">
        <v>30.3</v>
      </c>
      <c r="J26" t="s">
        <v>4</v>
      </c>
      <c r="K26" t="s">
        <v>3</v>
      </c>
      <c r="L26">
        <v>5.8</v>
      </c>
      <c r="M26">
        <v>0.42</v>
      </c>
      <c r="N26">
        <v>0.39</v>
      </c>
      <c r="O26">
        <v>0.43</v>
      </c>
      <c r="P26" t="s">
        <v>7</v>
      </c>
      <c r="Q26" t="s">
        <v>8</v>
      </c>
      <c r="R26" t="s">
        <v>16</v>
      </c>
      <c r="S26">
        <v>1</v>
      </c>
    </row>
    <row r="27" spans="1:19" x14ac:dyDescent="0.3">
      <c r="A27">
        <v>26</v>
      </c>
      <c r="B27">
        <v>21.2</v>
      </c>
      <c r="C27" t="s">
        <v>11</v>
      </c>
      <c r="D27">
        <v>25000</v>
      </c>
      <c r="E27" t="s">
        <v>4</v>
      </c>
      <c r="F27">
        <v>4.42</v>
      </c>
      <c r="G27">
        <v>85.6</v>
      </c>
      <c r="H27">
        <v>2</v>
      </c>
      <c r="I27">
        <v>31.5</v>
      </c>
      <c r="J27" t="s">
        <v>3</v>
      </c>
      <c r="K27" t="s">
        <v>3</v>
      </c>
      <c r="L27">
        <v>3.8</v>
      </c>
      <c r="M27">
        <v>3.47</v>
      </c>
      <c r="N27">
        <v>3.7</v>
      </c>
      <c r="O27">
        <v>3.66</v>
      </c>
      <c r="P27" t="s">
        <v>12</v>
      </c>
      <c r="Q27" t="s">
        <v>14</v>
      </c>
      <c r="R27" t="s">
        <v>0</v>
      </c>
      <c r="S27">
        <v>0</v>
      </c>
    </row>
    <row r="28" spans="1:19" x14ac:dyDescent="0.3">
      <c r="A28">
        <v>27</v>
      </c>
      <c r="B28">
        <v>18.5</v>
      </c>
      <c r="C28" t="s">
        <v>11</v>
      </c>
      <c r="D28">
        <v>25000</v>
      </c>
      <c r="E28" t="s">
        <v>4</v>
      </c>
      <c r="F28">
        <v>5.22</v>
      </c>
      <c r="G28">
        <v>89.4</v>
      </c>
      <c r="H28">
        <v>0</v>
      </c>
      <c r="I28">
        <v>29.4</v>
      </c>
      <c r="J28" t="s">
        <v>3</v>
      </c>
      <c r="K28" t="s">
        <v>3</v>
      </c>
      <c r="L28">
        <v>4.7</v>
      </c>
      <c r="M28">
        <v>1.66</v>
      </c>
      <c r="N28">
        <v>1.77</v>
      </c>
      <c r="O28">
        <v>1.67</v>
      </c>
      <c r="P28" t="s">
        <v>10</v>
      </c>
      <c r="Q28" t="s">
        <v>13</v>
      </c>
      <c r="R28" t="s">
        <v>9</v>
      </c>
      <c r="S28">
        <v>0</v>
      </c>
    </row>
    <row r="29" spans="1:19" x14ac:dyDescent="0.3">
      <c r="A29">
        <v>28</v>
      </c>
      <c r="B29">
        <v>21.8</v>
      </c>
      <c r="C29" t="s">
        <v>11</v>
      </c>
      <c r="D29">
        <v>66367</v>
      </c>
      <c r="E29" t="s">
        <v>4</v>
      </c>
      <c r="F29">
        <v>3.07</v>
      </c>
      <c r="G29">
        <v>82.3</v>
      </c>
      <c r="H29">
        <v>4</v>
      </c>
      <c r="I29">
        <v>11.3</v>
      </c>
      <c r="J29" t="s">
        <v>3</v>
      </c>
      <c r="K29" t="s">
        <v>3</v>
      </c>
      <c r="L29">
        <v>5.3</v>
      </c>
      <c r="M29">
        <v>1.01</v>
      </c>
      <c r="N29">
        <v>0.91</v>
      </c>
      <c r="O29">
        <v>0.82</v>
      </c>
      <c r="P29" t="s">
        <v>10</v>
      </c>
      <c r="Q29" t="s">
        <v>14</v>
      </c>
      <c r="R29" t="s">
        <v>15</v>
      </c>
      <c r="S29">
        <v>0</v>
      </c>
    </row>
    <row r="30" spans="1:19" x14ac:dyDescent="0.3">
      <c r="A30">
        <v>29</v>
      </c>
      <c r="B30">
        <v>19.7</v>
      </c>
      <c r="C30" t="s">
        <v>5</v>
      </c>
      <c r="D30">
        <v>25000</v>
      </c>
      <c r="E30" t="s">
        <v>4</v>
      </c>
      <c r="F30">
        <v>4.1900000000000004</v>
      </c>
      <c r="G30">
        <v>79.7</v>
      </c>
      <c r="H30">
        <v>1</v>
      </c>
      <c r="I30">
        <v>36.5</v>
      </c>
      <c r="J30" t="s">
        <v>4</v>
      </c>
      <c r="K30" t="s">
        <v>3</v>
      </c>
      <c r="L30">
        <v>9.3000000000000007</v>
      </c>
      <c r="M30">
        <v>1.1499999999999999</v>
      </c>
      <c r="N30">
        <v>0.77</v>
      </c>
      <c r="O30">
        <v>0.76</v>
      </c>
      <c r="P30" t="s">
        <v>10</v>
      </c>
      <c r="Q30" t="s">
        <v>8</v>
      </c>
      <c r="R30" t="s">
        <v>15</v>
      </c>
      <c r="S30">
        <v>0</v>
      </c>
    </row>
    <row r="31" spans="1:19" x14ac:dyDescent="0.3">
      <c r="A31">
        <v>30</v>
      </c>
      <c r="B31">
        <v>20.399999999999999</v>
      </c>
      <c r="C31" t="s">
        <v>11</v>
      </c>
      <c r="E31" t="s">
        <v>3</v>
      </c>
      <c r="G31">
        <v>72.7</v>
      </c>
      <c r="H31">
        <v>3</v>
      </c>
      <c r="I31">
        <v>28.5</v>
      </c>
      <c r="J31" t="s">
        <v>3</v>
      </c>
      <c r="K31" t="s">
        <v>3</v>
      </c>
      <c r="M31">
        <v>2.78</v>
      </c>
      <c r="N31">
        <v>3.03</v>
      </c>
      <c r="O31">
        <v>3.03</v>
      </c>
      <c r="P31" t="s">
        <v>2</v>
      </c>
      <c r="Q31" t="s">
        <v>14</v>
      </c>
      <c r="R31" t="s">
        <v>15</v>
      </c>
      <c r="S31">
        <v>0</v>
      </c>
    </row>
    <row r="32" spans="1:19" x14ac:dyDescent="0.3">
      <c r="A32">
        <v>31</v>
      </c>
      <c r="B32">
        <v>19.7</v>
      </c>
      <c r="C32" t="s">
        <v>11</v>
      </c>
      <c r="D32">
        <v>25000</v>
      </c>
      <c r="E32" t="s">
        <v>4</v>
      </c>
      <c r="F32">
        <v>6.08</v>
      </c>
      <c r="G32">
        <v>81.099999999999994</v>
      </c>
      <c r="H32">
        <v>7</v>
      </c>
      <c r="I32">
        <v>5</v>
      </c>
      <c r="J32" t="s">
        <v>4</v>
      </c>
      <c r="K32" t="s">
        <v>3</v>
      </c>
      <c r="L32">
        <v>5.9</v>
      </c>
      <c r="M32">
        <v>3.96</v>
      </c>
      <c r="N32">
        <v>3.8</v>
      </c>
      <c r="O32">
        <v>3.82</v>
      </c>
      <c r="P32" t="s">
        <v>7</v>
      </c>
      <c r="Q32" t="s">
        <v>14</v>
      </c>
      <c r="R32" t="s">
        <v>9</v>
      </c>
      <c r="S32">
        <v>0</v>
      </c>
    </row>
    <row r="33" spans="1:19" x14ac:dyDescent="0.3">
      <c r="A33">
        <v>32</v>
      </c>
      <c r="B33">
        <v>25.1</v>
      </c>
      <c r="C33" t="s">
        <v>5</v>
      </c>
      <c r="E33" t="s">
        <v>4</v>
      </c>
      <c r="G33">
        <v>77.900000000000006</v>
      </c>
      <c r="H33">
        <v>3</v>
      </c>
      <c r="I33">
        <v>10.9</v>
      </c>
      <c r="J33" t="s">
        <v>3</v>
      </c>
      <c r="K33" t="s">
        <v>4</v>
      </c>
      <c r="M33">
        <v>2.56</v>
      </c>
      <c r="N33">
        <v>2.4</v>
      </c>
      <c r="O33">
        <v>2.48</v>
      </c>
      <c r="P33" t="s">
        <v>10</v>
      </c>
      <c r="Q33" t="s">
        <v>13</v>
      </c>
      <c r="R33" t="s">
        <v>9</v>
      </c>
      <c r="S33">
        <v>1</v>
      </c>
    </row>
    <row r="34" spans="1:19" x14ac:dyDescent="0.3">
      <c r="A34">
        <v>33</v>
      </c>
      <c r="B34">
        <v>21</v>
      </c>
      <c r="C34" t="s">
        <v>5</v>
      </c>
      <c r="D34">
        <v>34785</v>
      </c>
      <c r="E34" t="s">
        <v>4</v>
      </c>
      <c r="F34">
        <v>6.6</v>
      </c>
      <c r="G34">
        <v>81.900000000000006</v>
      </c>
      <c r="H34">
        <v>2</v>
      </c>
      <c r="I34">
        <v>24.3</v>
      </c>
      <c r="J34" t="s">
        <v>3</v>
      </c>
      <c r="K34" t="s">
        <v>3</v>
      </c>
      <c r="L34">
        <v>3.6</v>
      </c>
      <c r="M34">
        <v>3.62</v>
      </c>
      <c r="N34">
        <v>3.52</v>
      </c>
      <c r="O34">
        <v>3.53</v>
      </c>
      <c r="P34" t="s">
        <v>7</v>
      </c>
      <c r="Q34" t="s">
        <v>1</v>
      </c>
      <c r="R34" t="s">
        <v>16</v>
      </c>
      <c r="S34">
        <v>0</v>
      </c>
    </row>
    <row r="35" spans="1:19" x14ac:dyDescent="0.3">
      <c r="A35">
        <v>34</v>
      </c>
      <c r="B35">
        <v>18.7</v>
      </c>
      <c r="C35" t="s">
        <v>5</v>
      </c>
      <c r="E35" t="s">
        <v>4</v>
      </c>
      <c r="G35">
        <v>67.900000000000006</v>
      </c>
      <c r="H35">
        <v>1</v>
      </c>
      <c r="I35">
        <v>45.3</v>
      </c>
      <c r="J35" t="s">
        <v>4</v>
      </c>
      <c r="K35" t="s">
        <v>4</v>
      </c>
      <c r="M35">
        <v>1.64</v>
      </c>
      <c r="N35">
        <v>1.69</v>
      </c>
      <c r="O35">
        <v>1.65</v>
      </c>
      <c r="P35" t="s">
        <v>10</v>
      </c>
      <c r="Q35" t="s">
        <v>1</v>
      </c>
      <c r="R35" t="s">
        <v>9</v>
      </c>
      <c r="S35">
        <v>0</v>
      </c>
    </row>
    <row r="36" spans="1:19" x14ac:dyDescent="0.3">
      <c r="A36">
        <v>35</v>
      </c>
      <c r="B36">
        <v>22.8</v>
      </c>
      <c r="C36" t="s">
        <v>11</v>
      </c>
      <c r="D36">
        <v>25000</v>
      </c>
      <c r="E36" t="s">
        <v>4</v>
      </c>
      <c r="F36">
        <v>2.19</v>
      </c>
      <c r="G36">
        <v>95.9</v>
      </c>
      <c r="H36">
        <v>2</v>
      </c>
      <c r="I36">
        <v>37.299999999999997</v>
      </c>
      <c r="J36" t="s">
        <v>4</v>
      </c>
      <c r="K36" t="s">
        <v>4</v>
      </c>
      <c r="L36">
        <v>5.2</v>
      </c>
      <c r="M36">
        <v>0.76</v>
      </c>
      <c r="N36">
        <v>0.14000000000000001</v>
      </c>
      <c r="O36">
        <v>0.02</v>
      </c>
      <c r="P36" t="s">
        <v>10</v>
      </c>
      <c r="Q36" t="s">
        <v>13</v>
      </c>
      <c r="R36" t="s">
        <v>9</v>
      </c>
      <c r="S36">
        <v>0</v>
      </c>
    </row>
    <row r="37" spans="1:19" x14ac:dyDescent="0.3">
      <c r="A37">
        <v>36</v>
      </c>
      <c r="B37">
        <v>18.3</v>
      </c>
      <c r="C37" t="s">
        <v>11</v>
      </c>
      <c r="E37" t="s">
        <v>4</v>
      </c>
      <c r="G37">
        <v>61</v>
      </c>
      <c r="H37">
        <v>1</v>
      </c>
      <c r="I37">
        <v>21.8</v>
      </c>
      <c r="J37" t="s">
        <v>3</v>
      </c>
      <c r="K37" t="s">
        <v>4</v>
      </c>
      <c r="M37">
        <v>0.81</v>
      </c>
      <c r="N37">
        <v>0.96</v>
      </c>
      <c r="O37">
        <v>0.97</v>
      </c>
      <c r="P37" t="s">
        <v>10</v>
      </c>
      <c r="Q37" t="s">
        <v>1</v>
      </c>
      <c r="R37" t="s">
        <v>9</v>
      </c>
      <c r="S37">
        <v>1</v>
      </c>
    </row>
    <row r="38" spans="1:19" x14ac:dyDescent="0.3">
      <c r="A38">
        <v>37</v>
      </c>
      <c r="B38">
        <v>21.5</v>
      </c>
      <c r="C38" t="s">
        <v>5</v>
      </c>
      <c r="D38">
        <v>26034</v>
      </c>
      <c r="E38" t="s">
        <v>3</v>
      </c>
      <c r="F38">
        <v>2.9</v>
      </c>
      <c r="G38">
        <v>80.900000000000006</v>
      </c>
      <c r="H38">
        <v>1</v>
      </c>
      <c r="I38">
        <v>27.7</v>
      </c>
      <c r="J38" t="s">
        <v>3</v>
      </c>
      <c r="K38" t="s">
        <v>4</v>
      </c>
      <c r="L38">
        <v>7.6</v>
      </c>
      <c r="M38">
        <v>1.61</v>
      </c>
      <c r="N38">
        <v>1.41</v>
      </c>
      <c r="O38">
        <v>1.45</v>
      </c>
      <c r="P38" t="s">
        <v>7</v>
      </c>
      <c r="Q38" t="s">
        <v>8</v>
      </c>
      <c r="R38" t="s">
        <v>9</v>
      </c>
      <c r="S38">
        <v>0</v>
      </c>
    </row>
    <row r="39" spans="1:19" x14ac:dyDescent="0.3">
      <c r="A39">
        <v>38</v>
      </c>
      <c r="B39">
        <v>17</v>
      </c>
      <c r="C39" t="s">
        <v>11</v>
      </c>
      <c r="D39">
        <v>25000</v>
      </c>
      <c r="E39" t="s">
        <v>4</v>
      </c>
      <c r="F39">
        <v>6.16</v>
      </c>
      <c r="G39">
        <v>78.5</v>
      </c>
      <c r="H39">
        <v>0</v>
      </c>
      <c r="I39">
        <v>43.3</v>
      </c>
      <c r="J39" t="s">
        <v>3</v>
      </c>
      <c r="K39" t="s">
        <v>3</v>
      </c>
      <c r="L39">
        <v>4.7</v>
      </c>
      <c r="M39">
        <v>3.66</v>
      </c>
      <c r="N39">
        <v>3.35</v>
      </c>
      <c r="O39">
        <v>3.42</v>
      </c>
      <c r="P39" t="s">
        <v>12</v>
      </c>
      <c r="Q39" t="s">
        <v>13</v>
      </c>
      <c r="R39" t="s">
        <v>15</v>
      </c>
      <c r="S39">
        <v>0</v>
      </c>
    </row>
    <row r="40" spans="1:19" x14ac:dyDescent="0.3">
      <c r="A40">
        <v>39</v>
      </c>
      <c r="B40">
        <v>18.100000000000001</v>
      </c>
      <c r="C40" t="s">
        <v>5</v>
      </c>
      <c r="D40">
        <v>77705</v>
      </c>
      <c r="E40" t="s">
        <v>4</v>
      </c>
      <c r="F40">
        <v>2.25</v>
      </c>
      <c r="G40">
        <v>70.8</v>
      </c>
      <c r="H40">
        <v>1</v>
      </c>
      <c r="I40">
        <v>22.6</v>
      </c>
      <c r="J40" t="s">
        <v>3</v>
      </c>
      <c r="K40" t="s">
        <v>3</v>
      </c>
      <c r="L40">
        <v>5</v>
      </c>
      <c r="M40">
        <v>2.16</v>
      </c>
      <c r="N40">
        <v>1.91</v>
      </c>
      <c r="O40">
        <v>2.0099999999999998</v>
      </c>
      <c r="P40" t="s">
        <v>12</v>
      </c>
      <c r="Q40" t="s">
        <v>8</v>
      </c>
      <c r="R40" t="s">
        <v>17</v>
      </c>
      <c r="S40">
        <v>0</v>
      </c>
    </row>
    <row r="41" spans="1:19" x14ac:dyDescent="0.3">
      <c r="A41">
        <v>40</v>
      </c>
      <c r="B41">
        <v>21.4</v>
      </c>
      <c r="C41" t="s">
        <v>11</v>
      </c>
      <c r="E41" t="s">
        <v>4</v>
      </c>
      <c r="G41">
        <v>85</v>
      </c>
      <c r="H41">
        <v>3</v>
      </c>
      <c r="I41">
        <v>17</v>
      </c>
      <c r="J41" t="s">
        <v>4</v>
      </c>
      <c r="K41" t="s">
        <v>3</v>
      </c>
      <c r="M41">
        <v>3.1</v>
      </c>
      <c r="N41">
        <v>3.57</v>
      </c>
      <c r="O41">
        <v>3.55</v>
      </c>
      <c r="P41" t="s">
        <v>12</v>
      </c>
      <c r="Q41" t="s">
        <v>8</v>
      </c>
      <c r="R41" t="s">
        <v>0</v>
      </c>
      <c r="S41">
        <v>0</v>
      </c>
    </row>
    <row r="42" spans="1:19" x14ac:dyDescent="0.3">
      <c r="A42">
        <v>41</v>
      </c>
      <c r="B42">
        <v>22.6</v>
      </c>
      <c r="C42" t="s">
        <v>5</v>
      </c>
      <c r="D42">
        <v>25000</v>
      </c>
      <c r="E42" t="s">
        <v>3</v>
      </c>
      <c r="F42">
        <v>5.91</v>
      </c>
      <c r="G42">
        <v>74.5</v>
      </c>
      <c r="H42">
        <v>2</v>
      </c>
      <c r="I42">
        <v>40.6</v>
      </c>
      <c r="J42" t="s">
        <v>3</v>
      </c>
      <c r="K42" t="s">
        <v>3</v>
      </c>
      <c r="L42">
        <v>5.6</v>
      </c>
      <c r="M42">
        <v>2.29</v>
      </c>
      <c r="N42">
        <v>2.36</v>
      </c>
      <c r="O42">
        <v>2.35</v>
      </c>
      <c r="P42" t="s">
        <v>12</v>
      </c>
      <c r="Q42" t="s">
        <v>6</v>
      </c>
      <c r="R42" t="s">
        <v>9</v>
      </c>
      <c r="S42">
        <v>0</v>
      </c>
    </row>
    <row r="43" spans="1:19" x14ac:dyDescent="0.3">
      <c r="A43">
        <v>42</v>
      </c>
      <c r="B43">
        <v>21.4</v>
      </c>
      <c r="C43" t="s">
        <v>5</v>
      </c>
      <c r="D43">
        <v>41216</v>
      </c>
      <c r="E43" t="s">
        <v>4</v>
      </c>
      <c r="F43">
        <v>7.6</v>
      </c>
      <c r="G43">
        <v>85</v>
      </c>
      <c r="H43">
        <v>1</v>
      </c>
      <c r="I43">
        <v>43.4</v>
      </c>
      <c r="J43" t="s">
        <v>4</v>
      </c>
      <c r="K43" t="s">
        <v>4</v>
      </c>
      <c r="L43">
        <v>4.4000000000000004</v>
      </c>
      <c r="M43">
        <v>1.62</v>
      </c>
      <c r="N43">
        <v>1.69</v>
      </c>
      <c r="O43">
        <v>1.69</v>
      </c>
      <c r="P43" t="s">
        <v>2</v>
      </c>
      <c r="Q43" t="s">
        <v>8</v>
      </c>
      <c r="R43" t="s">
        <v>15</v>
      </c>
      <c r="S43">
        <v>0</v>
      </c>
    </row>
    <row r="44" spans="1:19" x14ac:dyDescent="0.3">
      <c r="A44">
        <v>43</v>
      </c>
      <c r="B44">
        <v>20.7</v>
      </c>
      <c r="C44" t="s">
        <v>5</v>
      </c>
      <c r="D44">
        <v>49772</v>
      </c>
      <c r="E44" t="s">
        <v>4</v>
      </c>
      <c r="F44">
        <v>3.86</v>
      </c>
      <c r="G44">
        <v>95.6</v>
      </c>
      <c r="H44">
        <v>6</v>
      </c>
      <c r="I44">
        <v>22.7</v>
      </c>
      <c r="J44" t="s">
        <v>3</v>
      </c>
      <c r="K44" t="s">
        <v>4</v>
      </c>
      <c r="L44">
        <v>6.7</v>
      </c>
      <c r="M44">
        <v>2.34</v>
      </c>
      <c r="N44">
        <v>2.71</v>
      </c>
      <c r="O44">
        <v>2.71</v>
      </c>
      <c r="P44" t="s">
        <v>2</v>
      </c>
      <c r="Q44" t="s">
        <v>8</v>
      </c>
      <c r="R44" t="s">
        <v>9</v>
      </c>
      <c r="S44">
        <v>0</v>
      </c>
    </row>
    <row r="45" spans="1:19" x14ac:dyDescent="0.3">
      <c r="A45">
        <v>44</v>
      </c>
      <c r="B45">
        <v>20.3</v>
      </c>
      <c r="C45" t="s">
        <v>5</v>
      </c>
      <c r="D45">
        <v>41183</v>
      </c>
      <c r="E45" t="s">
        <v>4</v>
      </c>
      <c r="F45">
        <v>4.1500000000000004</v>
      </c>
      <c r="G45">
        <v>72.099999999999994</v>
      </c>
      <c r="H45">
        <v>2</v>
      </c>
      <c r="I45">
        <v>35.9</v>
      </c>
      <c r="J45" t="s">
        <v>4</v>
      </c>
      <c r="K45" t="s">
        <v>4</v>
      </c>
      <c r="L45">
        <v>8.4</v>
      </c>
      <c r="M45">
        <v>2.3199999999999998</v>
      </c>
      <c r="N45">
        <v>2.79</v>
      </c>
      <c r="O45">
        <v>2.82</v>
      </c>
      <c r="P45" t="s">
        <v>10</v>
      </c>
      <c r="Q45" t="s">
        <v>8</v>
      </c>
      <c r="R45" t="s">
        <v>15</v>
      </c>
      <c r="S45">
        <v>1</v>
      </c>
    </row>
    <row r="46" spans="1:19" x14ac:dyDescent="0.3">
      <c r="A46">
        <v>45</v>
      </c>
      <c r="B46">
        <v>17.7</v>
      </c>
      <c r="C46" t="s">
        <v>11</v>
      </c>
      <c r="D46">
        <v>25000</v>
      </c>
      <c r="E46" t="s">
        <v>4</v>
      </c>
      <c r="F46">
        <v>2.48</v>
      </c>
      <c r="G46">
        <v>89</v>
      </c>
      <c r="H46">
        <v>1</v>
      </c>
      <c r="I46">
        <v>29.5</v>
      </c>
      <c r="J46" t="s">
        <v>3</v>
      </c>
      <c r="K46" t="s">
        <v>4</v>
      </c>
      <c r="L46">
        <v>7.4</v>
      </c>
      <c r="M46">
        <v>0.63</v>
      </c>
      <c r="N46">
        <v>0.45</v>
      </c>
      <c r="O46">
        <v>0.5</v>
      </c>
      <c r="P46" t="s">
        <v>7</v>
      </c>
      <c r="Q46" t="s">
        <v>6</v>
      </c>
      <c r="R46" t="s">
        <v>0</v>
      </c>
      <c r="S46">
        <v>0</v>
      </c>
    </row>
    <row r="47" spans="1:19" x14ac:dyDescent="0.3">
      <c r="A47">
        <v>46</v>
      </c>
      <c r="B47">
        <v>19.399999999999999</v>
      </c>
      <c r="C47" t="s">
        <v>11</v>
      </c>
      <c r="D47">
        <v>25682</v>
      </c>
      <c r="E47" t="s">
        <v>4</v>
      </c>
      <c r="F47">
        <v>3.51</v>
      </c>
      <c r="G47">
        <v>69.7</v>
      </c>
      <c r="H47">
        <v>2</v>
      </c>
      <c r="I47">
        <v>22.9</v>
      </c>
      <c r="J47" t="s">
        <v>3</v>
      </c>
      <c r="K47" t="s">
        <v>3</v>
      </c>
      <c r="L47">
        <v>7.9</v>
      </c>
      <c r="M47">
        <v>1.58</v>
      </c>
      <c r="N47">
        <v>1.43</v>
      </c>
      <c r="O47">
        <v>1.43</v>
      </c>
      <c r="P47" t="s">
        <v>2</v>
      </c>
      <c r="Q47" t="s">
        <v>8</v>
      </c>
      <c r="R47" t="s">
        <v>0</v>
      </c>
      <c r="S47">
        <v>0</v>
      </c>
    </row>
    <row r="48" spans="1:19" x14ac:dyDescent="0.3">
      <c r="A48">
        <v>47</v>
      </c>
      <c r="B48">
        <v>20</v>
      </c>
      <c r="C48" t="s">
        <v>5</v>
      </c>
      <c r="D48">
        <v>25000</v>
      </c>
      <c r="E48" t="s">
        <v>4</v>
      </c>
      <c r="F48">
        <v>6.84</v>
      </c>
      <c r="G48">
        <v>75.599999999999994</v>
      </c>
      <c r="H48">
        <v>1</v>
      </c>
      <c r="I48">
        <v>44</v>
      </c>
      <c r="J48" t="s">
        <v>4</v>
      </c>
      <c r="K48" t="s">
        <v>3</v>
      </c>
      <c r="L48">
        <v>5.2</v>
      </c>
      <c r="M48">
        <v>3.36</v>
      </c>
      <c r="N48">
        <v>3.59</v>
      </c>
      <c r="O48">
        <v>3.66</v>
      </c>
      <c r="P48" t="s">
        <v>7</v>
      </c>
      <c r="Q48" t="s">
        <v>8</v>
      </c>
      <c r="R48" t="s">
        <v>9</v>
      </c>
      <c r="S48">
        <v>0</v>
      </c>
    </row>
    <row r="49" spans="1:19" x14ac:dyDescent="0.3">
      <c r="A49">
        <v>48</v>
      </c>
      <c r="B49">
        <v>23.3</v>
      </c>
      <c r="C49" t="s">
        <v>5</v>
      </c>
      <c r="D49">
        <v>25000</v>
      </c>
      <c r="E49" t="s">
        <v>4</v>
      </c>
      <c r="F49">
        <v>5.13</v>
      </c>
      <c r="G49">
        <v>86.5</v>
      </c>
      <c r="H49">
        <v>1</v>
      </c>
      <c r="I49">
        <v>22</v>
      </c>
      <c r="J49" t="s">
        <v>4</v>
      </c>
      <c r="K49" t="s">
        <v>3</v>
      </c>
      <c r="L49">
        <v>3.6</v>
      </c>
      <c r="M49">
        <v>4</v>
      </c>
      <c r="N49">
        <v>3.95</v>
      </c>
      <c r="O49">
        <v>4</v>
      </c>
      <c r="P49" t="s">
        <v>7</v>
      </c>
      <c r="Q49" t="s">
        <v>14</v>
      </c>
      <c r="R49" t="s">
        <v>9</v>
      </c>
      <c r="S49">
        <v>0</v>
      </c>
    </row>
    <row r="50" spans="1:19" x14ac:dyDescent="0.3">
      <c r="A50">
        <v>49</v>
      </c>
      <c r="B50">
        <v>21.8</v>
      </c>
      <c r="C50" t="s">
        <v>5</v>
      </c>
      <c r="D50">
        <v>25000</v>
      </c>
      <c r="E50" t="s">
        <v>4</v>
      </c>
      <c r="F50">
        <v>5.58</v>
      </c>
      <c r="G50">
        <v>79.8</v>
      </c>
      <c r="H50">
        <v>2</v>
      </c>
      <c r="I50">
        <v>39.1</v>
      </c>
      <c r="J50" t="s">
        <v>4</v>
      </c>
      <c r="K50" t="s">
        <v>3</v>
      </c>
      <c r="L50">
        <v>1.9</v>
      </c>
      <c r="M50">
        <v>4</v>
      </c>
      <c r="N50">
        <v>3.73</v>
      </c>
      <c r="O50">
        <v>3.77</v>
      </c>
      <c r="P50" t="s">
        <v>12</v>
      </c>
      <c r="Q50" t="s">
        <v>8</v>
      </c>
      <c r="R50" t="s">
        <v>9</v>
      </c>
      <c r="S50">
        <v>0</v>
      </c>
    </row>
    <row r="51" spans="1:19" x14ac:dyDescent="0.3">
      <c r="A51">
        <v>50</v>
      </c>
      <c r="B51">
        <v>17.100000000000001</v>
      </c>
      <c r="C51" t="s">
        <v>11</v>
      </c>
      <c r="D51">
        <v>27754</v>
      </c>
      <c r="E51" t="s">
        <v>4</v>
      </c>
      <c r="F51">
        <v>4.84</v>
      </c>
      <c r="G51">
        <v>93.6</v>
      </c>
      <c r="H51">
        <v>3</v>
      </c>
      <c r="I51">
        <v>30.8</v>
      </c>
      <c r="J51" t="s">
        <v>3</v>
      </c>
      <c r="K51" t="s">
        <v>3</v>
      </c>
      <c r="L51">
        <v>1.8</v>
      </c>
      <c r="M51">
        <v>2.8</v>
      </c>
      <c r="N51">
        <v>3.38</v>
      </c>
      <c r="O51">
        <v>3.38</v>
      </c>
      <c r="P51" t="s">
        <v>2</v>
      </c>
      <c r="Q51" t="s">
        <v>6</v>
      </c>
      <c r="R51" t="s">
        <v>15</v>
      </c>
      <c r="S51">
        <v>0</v>
      </c>
    </row>
    <row r="52" spans="1:19" x14ac:dyDescent="0.3">
      <c r="A52">
        <v>51</v>
      </c>
      <c r="B52">
        <v>21.7</v>
      </c>
      <c r="C52" t="s">
        <v>11</v>
      </c>
      <c r="D52">
        <v>25000</v>
      </c>
      <c r="E52" t="s">
        <v>4</v>
      </c>
      <c r="F52">
        <v>5.39</v>
      </c>
      <c r="G52">
        <v>83</v>
      </c>
      <c r="H52">
        <v>1</v>
      </c>
      <c r="I52">
        <v>27.9</v>
      </c>
      <c r="J52" t="s">
        <v>4</v>
      </c>
      <c r="K52" t="s">
        <v>3</v>
      </c>
      <c r="L52">
        <v>5.0999999999999996</v>
      </c>
      <c r="M52">
        <v>4</v>
      </c>
      <c r="N52">
        <v>4</v>
      </c>
      <c r="O52">
        <v>3.94</v>
      </c>
      <c r="P52" t="s">
        <v>7</v>
      </c>
      <c r="Q52" t="s">
        <v>14</v>
      </c>
      <c r="R52" t="s">
        <v>9</v>
      </c>
      <c r="S52">
        <v>0</v>
      </c>
    </row>
    <row r="53" spans="1:19" x14ac:dyDescent="0.3">
      <c r="A53">
        <v>52</v>
      </c>
      <c r="B53">
        <v>20.2</v>
      </c>
      <c r="C53" t="s">
        <v>5</v>
      </c>
      <c r="D53">
        <v>26368</v>
      </c>
      <c r="E53" t="s">
        <v>4</v>
      </c>
      <c r="F53">
        <v>6.52</v>
      </c>
      <c r="G53">
        <v>86.2</v>
      </c>
      <c r="H53">
        <v>1</v>
      </c>
      <c r="I53">
        <v>23.3</v>
      </c>
      <c r="J53" t="s">
        <v>3</v>
      </c>
      <c r="K53" t="s">
        <v>3</v>
      </c>
      <c r="L53">
        <v>6.4</v>
      </c>
      <c r="M53">
        <v>2.89</v>
      </c>
      <c r="N53">
        <v>2.7</v>
      </c>
      <c r="O53">
        <v>2.65</v>
      </c>
      <c r="P53" t="s">
        <v>10</v>
      </c>
      <c r="Q53" t="s">
        <v>8</v>
      </c>
      <c r="R53" t="s">
        <v>9</v>
      </c>
      <c r="S53">
        <v>0</v>
      </c>
    </row>
    <row r="54" spans="1:19" x14ac:dyDescent="0.3">
      <c r="A54">
        <v>53</v>
      </c>
      <c r="B54">
        <v>19.5</v>
      </c>
      <c r="C54" t="s">
        <v>11</v>
      </c>
      <c r="D54">
        <v>25000</v>
      </c>
      <c r="E54" t="s">
        <v>4</v>
      </c>
      <c r="F54">
        <v>3.41</v>
      </c>
      <c r="G54">
        <v>76.5</v>
      </c>
      <c r="H54">
        <v>2</v>
      </c>
      <c r="I54">
        <v>18.2</v>
      </c>
      <c r="J54" t="s">
        <v>4</v>
      </c>
      <c r="K54" t="s">
        <v>3</v>
      </c>
      <c r="L54">
        <v>7</v>
      </c>
      <c r="M54">
        <v>2.2799999999999998</v>
      </c>
      <c r="N54">
        <v>2.0499999999999998</v>
      </c>
      <c r="O54">
        <v>2.0499999999999998</v>
      </c>
      <c r="P54" t="s">
        <v>10</v>
      </c>
      <c r="Q54" t="s">
        <v>8</v>
      </c>
      <c r="R54" t="s">
        <v>15</v>
      </c>
      <c r="S54">
        <v>0</v>
      </c>
    </row>
    <row r="55" spans="1:19" x14ac:dyDescent="0.3">
      <c r="A55">
        <v>54</v>
      </c>
      <c r="B55">
        <v>22.3</v>
      </c>
      <c r="C55" t="s">
        <v>5</v>
      </c>
      <c r="D55">
        <v>33661</v>
      </c>
      <c r="E55" t="s">
        <v>4</v>
      </c>
      <c r="F55">
        <v>4.96</v>
      </c>
      <c r="G55">
        <v>73.7</v>
      </c>
      <c r="H55">
        <v>4</v>
      </c>
      <c r="I55">
        <v>27</v>
      </c>
      <c r="J55" t="s">
        <v>3</v>
      </c>
      <c r="K55" t="s">
        <v>3</v>
      </c>
      <c r="L55">
        <v>5.9</v>
      </c>
      <c r="M55">
        <v>2.16</v>
      </c>
      <c r="N55">
        <v>2.42</v>
      </c>
      <c r="O55">
        <v>2.4700000000000002</v>
      </c>
      <c r="P55" t="s">
        <v>7</v>
      </c>
      <c r="Q55" t="s">
        <v>8</v>
      </c>
      <c r="R55" t="s">
        <v>0</v>
      </c>
      <c r="S55">
        <v>1</v>
      </c>
    </row>
    <row r="56" spans="1:19" x14ac:dyDescent="0.3">
      <c r="A56">
        <v>55</v>
      </c>
      <c r="B56">
        <v>23.3</v>
      </c>
      <c r="C56" t="s">
        <v>11</v>
      </c>
      <c r="D56">
        <v>25000</v>
      </c>
      <c r="E56" t="s">
        <v>4</v>
      </c>
      <c r="F56">
        <v>3.1</v>
      </c>
      <c r="G56">
        <v>72.8</v>
      </c>
      <c r="H56">
        <v>0</v>
      </c>
      <c r="I56">
        <v>23.9</v>
      </c>
      <c r="J56" t="s">
        <v>3</v>
      </c>
      <c r="K56" t="s">
        <v>4</v>
      </c>
      <c r="L56">
        <v>4.2</v>
      </c>
      <c r="M56">
        <v>0.35</v>
      </c>
      <c r="N56">
        <v>0</v>
      </c>
      <c r="O56">
        <v>0</v>
      </c>
      <c r="P56" t="s">
        <v>2</v>
      </c>
      <c r="Q56" t="s">
        <v>8</v>
      </c>
      <c r="R56" t="s">
        <v>9</v>
      </c>
      <c r="S56">
        <v>1</v>
      </c>
    </row>
    <row r="57" spans="1:19" x14ac:dyDescent="0.3">
      <c r="A57">
        <v>56</v>
      </c>
      <c r="B57">
        <v>23</v>
      </c>
      <c r="C57" t="s">
        <v>11</v>
      </c>
      <c r="D57">
        <v>35396</v>
      </c>
      <c r="E57" t="s">
        <v>4</v>
      </c>
      <c r="F57">
        <v>1.35</v>
      </c>
      <c r="G57">
        <v>74.5</v>
      </c>
      <c r="H57">
        <v>0</v>
      </c>
      <c r="I57">
        <v>31.1</v>
      </c>
      <c r="J57" t="s">
        <v>4</v>
      </c>
      <c r="K57" t="s">
        <v>4</v>
      </c>
      <c r="L57">
        <v>6.7</v>
      </c>
      <c r="M57">
        <v>0.68</v>
      </c>
      <c r="N57">
        <v>0.93</v>
      </c>
      <c r="O57">
        <v>0.93</v>
      </c>
      <c r="P57" t="s">
        <v>2</v>
      </c>
      <c r="Q57" t="s">
        <v>13</v>
      </c>
      <c r="R57" t="s">
        <v>15</v>
      </c>
      <c r="S57">
        <v>1</v>
      </c>
    </row>
    <row r="58" spans="1:19" x14ac:dyDescent="0.3">
      <c r="A58">
        <v>57</v>
      </c>
      <c r="B58">
        <v>19.2</v>
      </c>
      <c r="C58" t="s">
        <v>11</v>
      </c>
      <c r="D58">
        <v>56894</v>
      </c>
      <c r="E58" t="s">
        <v>4</v>
      </c>
      <c r="F58">
        <v>4.34</v>
      </c>
      <c r="G58">
        <v>76.400000000000006</v>
      </c>
      <c r="H58">
        <v>1</v>
      </c>
      <c r="I58">
        <v>15.6</v>
      </c>
      <c r="J58" t="s">
        <v>3</v>
      </c>
      <c r="K58" t="s">
        <v>3</v>
      </c>
      <c r="L58">
        <v>3.3</v>
      </c>
      <c r="M58">
        <v>2.64</v>
      </c>
      <c r="N58">
        <v>2.68</v>
      </c>
      <c r="O58">
        <v>2.68</v>
      </c>
      <c r="P58" t="s">
        <v>7</v>
      </c>
      <c r="Q58" t="s">
        <v>13</v>
      </c>
      <c r="R58" t="s">
        <v>9</v>
      </c>
      <c r="S58">
        <v>0</v>
      </c>
    </row>
    <row r="59" spans="1:19" x14ac:dyDescent="0.3">
      <c r="A59">
        <v>58</v>
      </c>
      <c r="B59">
        <v>20.3</v>
      </c>
      <c r="C59" t="s">
        <v>11</v>
      </c>
      <c r="D59">
        <v>77162</v>
      </c>
      <c r="E59" t="s">
        <v>4</v>
      </c>
      <c r="F59">
        <v>4.16</v>
      </c>
      <c r="G59">
        <v>91.3</v>
      </c>
      <c r="H59">
        <v>3</v>
      </c>
      <c r="I59">
        <v>28.2</v>
      </c>
      <c r="J59" t="s">
        <v>3</v>
      </c>
      <c r="K59" t="s">
        <v>4</v>
      </c>
      <c r="L59">
        <v>3.5</v>
      </c>
      <c r="M59">
        <v>2.09</v>
      </c>
      <c r="N59">
        <v>2.39</v>
      </c>
      <c r="O59">
        <v>2.57</v>
      </c>
      <c r="P59" t="s">
        <v>7</v>
      </c>
      <c r="Q59" t="s">
        <v>6</v>
      </c>
      <c r="R59" t="s">
        <v>9</v>
      </c>
      <c r="S59">
        <v>0</v>
      </c>
    </row>
    <row r="60" spans="1:19" x14ac:dyDescent="0.3">
      <c r="A60">
        <v>59</v>
      </c>
      <c r="B60">
        <v>21.7</v>
      </c>
      <c r="C60" t="s">
        <v>11</v>
      </c>
      <c r="D60">
        <v>25000</v>
      </c>
      <c r="E60" t="s">
        <v>4</v>
      </c>
      <c r="F60">
        <v>3.9</v>
      </c>
      <c r="G60">
        <v>85.2</v>
      </c>
      <c r="H60">
        <v>5</v>
      </c>
      <c r="I60">
        <v>34.9</v>
      </c>
      <c r="J60" t="s">
        <v>3</v>
      </c>
      <c r="K60" t="s">
        <v>3</v>
      </c>
      <c r="L60">
        <v>6.6</v>
      </c>
      <c r="M60">
        <v>0.26</v>
      </c>
      <c r="N60">
        <v>0.37</v>
      </c>
      <c r="O60">
        <v>0.42</v>
      </c>
      <c r="P60" t="s">
        <v>12</v>
      </c>
      <c r="Q60" t="s">
        <v>8</v>
      </c>
      <c r="R60" t="s">
        <v>0</v>
      </c>
      <c r="S60">
        <v>1</v>
      </c>
    </row>
    <row r="61" spans="1:19" x14ac:dyDescent="0.3">
      <c r="A61">
        <v>60</v>
      </c>
      <c r="B61">
        <v>23.1</v>
      </c>
      <c r="C61" t="s">
        <v>11</v>
      </c>
      <c r="D61">
        <v>25000</v>
      </c>
      <c r="E61" t="s">
        <v>4</v>
      </c>
      <c r="F61">
        <v>3.17</v>
      </c>
      <c r="G61">
        <v>71.8</v>
      </c>
      <c r="H61">
        <v>2</v>
      </c>
      <c r="I61">
        <v>21.9</v>
      </c>
      <c r="J61" t="s">
        <v>3</v>
      </c>
      <c r="K61" t="s">
        <v>3</v>
      </c>
      <c r="L61">
        <v>3.3</v>
      </c>
      <c r="M61">
        <v>0.73</v>
      </c>
      <c r="N61">
        <v>0.35</v>
      </c>
      <c r="O61">
        <v>0.35</v>
      </c>
      <c r="P61" t="s">
        <v>2</v>
      </c>
      <c r="Q61" t="s">
        <v>13</v>
      </c>
      <c r="R61" t="s">
        <v>15</v>
      </c>
      <c r="S61">
        <v>0</v>
      </c>
    </row>
    <row r="62" spans="1:19" x14ac:dyDescent="0.3">
      <c r="A62">
        <v>61</v>
      </c>
      <c r="B62">
        <v>19.899999999999999</v>
      </c>
      <c r="C62" t="s">
        <v>11</v>
      </c>
      <c r="D62">
        <v>25000</v>
      </c>
      <c r="E62" t="s">
        <v>4</v>
      </c>
      <c r="F62">
        <v>4.18</v>
      </c>
      <c r="G62">
        <v>78.7</v>
      </c>
      <c r="H62">
        <v>2</v>
      </c>
      <c r="I62">
        <v>38.9</v>
      </c>
      <c r="J62" t="s">
        <v>4</v>
      </c>
      <c r="K62" t="s">
        <v>3</v>
      </c>
      <c r="L62">
        <v>4.0999999999999996</v>
      </c>
      <c r="M62">
        <v>3.73</v>
      </c>
      <c r="N62">
        <v>4</v>
      </c>
      <c r="O62">
        <v>4</v>
      </c>
      <c r="P62" t="s">
        <v>10</v>
      </c>
      <c r="Q62" t="s">
        <v>1</v>
      </c>
      <c r="R62" t="s">
        <v>15</v>
      </c>
      <c r="S62">
        <v>0</v>
      </c>
    </row>
    <row r="63" spans="1:19" x14ac:dyDescent="0.3">
      <c r="A63">
        <v>62</v>
      </c>
      <c r="B63">
        <v>20.6</v>
      </c>
      <c r="C63" t="s">
        <v>5</v>
      </c>
      <c r="D63">
        <v>39191</v>
      </c>
      <c r="E63" t="s">
        <v>4</v>
      </c>
      <c r="F63">
        <v>4.55</v>
      </c>
      <c r="G63">
        <v>81.8</v>
      </c>
      <c r="H63">
        <v>3</v>
      </c>
      <c r="I63">
        <v>40.200000000000003</v>
      </c>
      <c r="J63" t="s">
        <v>4</v>
      </c>
      <c r="K63" t="s">
        <v>4</v>
      </c>
      <c r="L63">
        <v>3.7</v>
      </c>
      <c r="M63">
        <v>2.0299999999999998</v>
      </c>
      <c r="N63">
        <v>2.2999999999999998</v>
      </c>
      <c r="O63">
        <v>2.3199999999999998</v>
      </c>
      <c r="P63" t="s">
        <v>12</v>
      </c>
      <c r="Q63" t="s">
        <v>13</v>
      </c>
      <c r="R63" t="s">
        <v>16</v>
      </c>
      <c r="S63">
        <v>0</v>
      </c>
    </row>
    <row r="64" spans="1:19" x14ac:dyDescent="0.3">
      <c r="A64">
        <v>63</v>
      </c>
      <c r="B64">
        <v>18.600000000000001</v>
      </c>
      <c r="C64" t="s">
        <v>5</v>
      </c>
      <c r="D64">
        <v>25000</v>
      </c>
      <c r="E64" t="s">
        <v>4</v>
      </c>
      <c r="F64">
        <v>6.55</v>
      </c>
      <c r="G64">
        <v>100</v>
      </c>
      <c r="H64">
        <v>0</v>
      </c>
      <c r="I64">
        <v>15.5</v>
      </c>
      <c r="J64" t="s">
        <v>4</v>
      </c>
      <c r="K64" t="s">
        <v>4</v>
      </c>
      <c r="L64">
        <v>5.8</v>
      </c>
      <c r="M64">
        <v>3.17</v>
      </c>
      <c r="N64">
        <v>3.13</v>
      </c>
      <c r="O64">
        <v>3.13</v>
      </c>
      <c r="P64" t="s">
        <v>2</v>
      </c>
      <c r="Q64" t="s">
        <v>6</v>
      </c>
      <c r="R64" t="s">
        <v>9</v>
      </c>
      <c r="S64">
        <v>0</v>
      </c>
    </row>
    <row r="65" spans="1:19" x14ac:dyDescent="0.3">
      <c r="A65">
        <v>64</v>
      </c>
      <c r="B65">
        <v>18.399999999999999</v>
      </c>
      <c r="C65" t="s">
        <v>5</v>
      </c>
      <c r="D65">
        <v>25000</v>
      </c>
      <c r="E65" t="s">
        <v>4</v>
      </c>
      <c r="F65">
        <v>4.7</v>
      </c>
      <c r="G65">
        <v>82.1</v>
      </c>
      <c r="H65">
        <v>1</v>
      </c>
      <c r="I65">
        <v>20.9</v>
      </c>
      <c r="J65" t="s">
        <v>3</v>
      </c>
      <c r="K65" t="s">
        <v>3</v>
      </c>
      <c r="L65">
        <v>6.6</v>
      </c>
      <c r="M65">
        <v>1.52</v>
      </c>
      <c r="N65">
        <v>1.68</v>
      </c>
      <c r="O65">
        <v>1.71</v>
      </c>
      <c r="P65" t="s">
        <v>10</v>
      </c>
      <c r="Q65" t="s">
        <v>6</v>
      </c>
      <c r="R65" t="s">
        <v>16</v>
      </c>
      <c r="S65">
        <v>0</v>
      </c>
    </row>
    <row r="66" spans="1:19" x14ac:dyDescent="0.3">
      <c r="A66">
        <v>65</v>
      </c>
      <c r="B66">
        <v>22.8</v>
      </c>
      <c r="C66" t="s">
        <v>11</v>
      </c>
      <c r="D66">
        <v>32151</v>
      </c>
      <c r="E66" t="s">
        <v>3</v>
      </c>
      <c r="F66">
        <v>4.76</v>
      </c>
      <c r="G66">
        <v>85.6</v>
      </c>
      <c r="H66">
        <v>1</v>
      </c>
      <c r="I66">
        <v>13.9</v>
      </c>
      <c r="J66" t="s">
        <v>3</v>
      </c>
      <c r="K66" t="s">
        <v>3</v>
      </c>
      <c r="L66">
        <v>6.6</v>
      </c>
      <c r="M66">
        <v>1.55</v>
      </c>
      <c r="N66">
        <v>1.61</v>
      </c>
      <c r="O66">
        <v>1.63</v>
      </c>
      <c r="P66" t="s">
        <v>12</v>
      </c>
      <c r="Q66" t="s">
        <v>1</v>
      </c>
      <c r="R66" t="s">
        <v>15</v>
      </c>
      <c r="S66">
        <v>0</v>
      </c>
    </row>
    <row r="67" spans="1:19" x14ac:dyDescent="0.3">
      <c r="A67">
        <v>66</v>
      </c>
      <c r="B67">
        <v>24</v>
      </c>
      <c r="C67" t="s">
        <v>5</v>
      </c>
      <c r="D67">
        <v>31286</v>
      </c>
      <c r="E67" t="s">
        <v>4</v>
      </c>
      <c r="F67">
        <v>3.03</v>
      </c>
      <c r="G67">
        <v>74.099999999999994</v>
      </c>
      <c r="H67">
        <v>2</v>
      </c>
      <c r="I67">
        <v>35.1</v>
      </c>
      <c r="J67" t="s">
        <v>3</v>
      </c>
      <c r="K67" t="s">
        <v>4</v>
      </c>
      <c r="L67">
        <v>4.5</v>
      </c>
      <c r="M67">
        <v>3.64</v>
      </c>
      <c r="N67">
        <v>3.06</v>
      </c>
      <c r="O67">
        <v>3.04</v>
      </c>
      <c r="P67" t="s">
        <v>7</v>
      </c>
      <c r="Q67" t="s">
        <v>14</v>
      </c>
      <c r="R67" t="s">
        <v>9</v>
      </c>
      <c r="S67">
        <v>0</v>
      </c>
    </row>
    <row r="68" spans="1:19" x14ac:dyDescent="0.3">
      <c r="A68">
        <v>67</v>
      </c>
      <c r="B68">
        <v>20.8</v>
      </c>
      <c r="C68" t="s">
        <v>5</v>
      </c>
      <c r="D68">
        <v>37293</v>
      </c>
      <c r="E68" t="s">
        <v>4</v>
      </c>
      <c r="F68">
        <v>2.76</v>
      </c>
      <c r="G68">
        <v>87.8</v>
      </c>
      <c r="H68">
        <v>0</v>
      </c>
      <c r="I68">
        <v>31.5</v>
      </c>
      <c r="J68" t="s">
        <v>3</v>
      </c>
      <c r="K68" t="s">
        <v>3</v>
      </c>
      <c r="L68">
        <v>5.2</v>
      </c>
      <c r="M68">
        <v>3.64</v>
      </c>
      <c r="N68">
        <v>3.63</v>
      </c>
      <c r="O68">
        <v>3.68</v>
      </c>
      <c r="P68" t="s">
        <v>7</v>
      </c>
      <c r="Q68" t="s">
        <v>13</v>
      </c>
      <c r="R68" t="s">
        <v>9</v>
      </c>
      <c r="S68">
        <v>0</v>
      </c>
    </row>
    <row r="69" spans="1:19" x14ac:dyDescent="0.3">
      <c r="A69">
        <v>68</v>
      </c>
      <c r="B69">
        <v>23.2</v>
      </c>
      <c r="C69" t="s">
        <v>5</v>
      </c>
      <c r="D69">
        <v>38801</v>
      </c>
      <c r="E69" t="s">
        <v>4</v>
      </c>
      <c r="F69">
        <v>2.72</v>
      </c>
      <c r="G69">
        <v>93</v>
      </c>
      <c r="H69">
        <v>2</v>
      </c>
      <c r="I69">
        <v>10.8</v>
      </c>
      <c r="J69" t="s">
        <v>4</v>
      </c>
      <c r="K69" t="s">
        <v>3</v>
      </c>
      <c r="L69">
        <v>6.8</v>
      </c>
      <c r="M69">
        <v>4</v>
      </c>
      <c r="N69">
        <v>4</v>
      </c>
      <c r="O69">
        <v>4</v>
      </c>
      <c r="P69" t="s">
        <v>10</v>
      </c>
      <c r="Q69" t="s">
        <v>1</v>
      </c>
      <c r="R69" t="s">
        <v>15</v>
      </c>
      <c r="S69">
        <v>0</v>
      </c>
    </row>
    <row r="70" spans="1:19" x14ac:dyDescent="0.3">
      <c r="A70">
        <v>69</v>
      </c>
      <c r="B70">
        <v>21.8</v>
      </c>
      <c r="C70" t="s">
        <v>5</v>
      </c>
      <c r="D70">
        <v>36430</v>
      </c>
      <c r="E70" t="s">
        <v>4</v>
      </c>
      <c r="F70">
        <v>3.61</v>
      </c>
      <c r="G70">
        <v>80.8</v>
      </c>
      <c r="H70">
        <v>1</v>
      </c>
      <c r="I70">
        <v>22.2</v>
      </c>
      <c r="J70" t="s">
        <v>3</v>
      </c>
      <c r="K70" t="s">
        <v>3</v>
      </c>
      <c r="L70">
        <v>4.5</v>
      </c>
      <c r="M70">
        <v>1.9</v>
      </c>
      <c r="N70">
        <v>1.48</v>
      </c>
      <c r="O70">
        <v>1.48</v>
      </c>
      <c r="P70" t="s">
        <v>2</v>
      </c>
      <c r="Q70" t="s">
        <v>6</v>
      </c>
      <c r="R70" t="s">
        <v>0</v>
      </c>
      <c r="S70">
        <v>0</v>
      </c>
    </row>
    <row r="71" spans="1:19" x14ac:dyDescent="0.3">
      <c r="A71">
        <v>70</v>
      </c>
      <c r="B71">
        <v>19.600000000000001</v>
      </c>
      <c r="C71" t="s">
        <v>11</v>
      </c>
      <c r="D71">
        <v>33396</v>
      </c>
      <c r="E71" t="s">
        <v>4</v>
      </c>
      <c r="F71">
        <v>4.08</v>
      </c>
      <c r="G71">
        <v>86.9</v>
      </c>
      <c r="H71">
        <v>4</v>
      </c>
      <c r="I71">
        <v>33.700000000000003</v>
      </c>
      <c r="J71" t="s">
        <v>3</v>
      </c>
      <c r="K71" t="s">
        <v>3</v>
      </c>
      <c r="L71">
        <v>3.9</v>
      </c>
      <c r="M71">
        <v>2.82</v>
      </c>
      <c r="N71">
        <v>2.97</v>
      </c>
      <c r="O71">
        <v>2.97</v>
      </c>
      <c r="P71" t="s">
        <v>2</v>
      </c>
      <c r="Q71" t="s">
        <v>6</v>
      </c>
      <c r="R71" t="s">
        <v>16</v>
      </c>
      <c r="S71">
        <v>0</v>
      </c>
    </row>
    <row r="72" spans="1:19" x14ac:dyDescent="0.3">
      <c r="A72">
        <v>71</v>
      </c>
      <c r="B72">
        <v>21.8</v>
      </c>
      <c r="C72" t="s">
        <v>11</v>
      </c>
      <c r="D72">
        <v>30744</v>
      </c>
      <c r="E72" t="s">
        <v>4</v>
      </c>
      <c r="F72">
        <v>4.28</v>
      </c>
      <c r="G72">
        <v>86.6</v>
      </c>
      <c r="H72">
        <v>3</v>
      </c>
      <c r="I72">
        <v>31.4</v>
      </c>
      <c r="J72" t="s">
        <v>3</v>
      </c>
      <c r="K72" t="s">
        <v>4</v>
      </c>
      <c r="L72">
        <v>4.3</v>
      </c>
      <c r="M72">
        <v>2.02</v>
      </c>
      <c r="N72">
        <v>2.3199999999999998</v>
      </c>
      <c r="O72">
        <v>2.2799999999999998</v>
      </c>
      <c r="P72" t="s">
        <v>7</v>
      </c>
      <c r="Q72" t="s">
        <v>8</v>
      </c>
      <c r="R72" t="s">
        <v>9</v>
      </c>
      <c r="S72">
        <v>0</v>
      </c>
    </row>
    <row r="73" spans="1:19" x14ac:dyDescent="0.3">
      <c r="A73">
        <v>72</v>
      </c>
      <c r="B73">
        <v>24.4</v>
      </c>
      <c r="C73" t="s">
        <v>11</v>
      </c>
      <c r="D73">
        <v>44305</v>
      </c>
      <c r="E73" t="s">
        <v>4</v>
      </c>
      <c r="F73">
        <v>2.94</v>
      </c>
      <c r="G73">
        <v>82.6</v>
      </c>
      <c r="H73">
        <v>1</v>
      </c>
      <c r="I73">
        <v>44.5</v>
      </c>
      <c r="J73" t="s">
        <v>3</v>
      </c>
      <c r="K73" t="s">
        <v>3</v>
      </c>
      <c r="L73">
        <v>4.4000000000000004</v>
      </c>
      <c r="M73">
        <v>3.87</v>
      </c>
      <c r="N73">
        <v>3.54</v>
      </c>
      <c r="O73">
        <v>3.55</v>
      </c>
      <c r="P73" t="s">
        <v>10</v>
      </c>
      <c r="Q73" t="s">
        <v>14</v>
      </c>
      <c r="R73" t="s">
        <v>9</v>
      </c>
      <c r="S73">
        <v>0</v>
      </c>
    </row>
    <row r="74" spans="1:19" x14ac:dyDescent="0.3">
      <c r="A74">
        <v>73</v>
      </c>
      <c r="B74">
        <v>20.9</v>
      </c>
      <c r="C74" t="s">
        <v>11</v>
      </c>
      <c r="D74">
        <v>25000</v>
      </c>
      <c r="E74" t="s">
        <v>4</v>
      </c>
      <c r="F74">
        <v>1.0900000000000001</v>
      </c>
      <c r="G74">
        <v>92.3</v>
      </c>
      <c r="H74">
        <v>1</v>
      </c>
      <c r="I74">
        <v>16.2</v>
      </c>
      <c r="J74" t="s">
        <v>4</v>
      </c>
      <c r="K74" t="s">
        <v>3</v>
      </c>
      <c r="L74">
        <v>5.6</v>
      </c>
      <c r="M74">
        <v>2.5</v>
      </c>
      <c r="N74">
        <v>2.33</v>
      </c>
      <c r="O74">
        <v>2.33</v>
      </c>
      <c r="P74" t="s">
        <v>2</v>
      </c>
      <c r="Q74" t="s">
        <v>1</v>
      </c>
      <c r="R74" t="s">
        <v>9</v>
      </c>
      <c r="S74">
        <v>0</v>
      </c>
    </row>
    <row r="75" spans="1:19" x14ac:dyDescent="0.3">
      <c r="A75">
        <v>74</v>
      </c>
      <c r="B75">
        <v>24.4</v>
      </c>
      <c r="C75" t="s">
        <v>11</v>
      </c>
      <c r="D75">
        <v>75102</v>
      </c>
      <c r="E75" t="s">
        <v>4</v>
      </c>
      <c r="F75">
        <v>3.45</v>
      </c>
      <c r="G75">
        <v>75.599999999999994</v>
      </c>
      <c r="H75">
        <v>2</v>
      </c>
      <c r="I75">
        <v>29.9</v>
      </c>
      <c r="J75" t="s">
        <v>4</v>
      </c>
      <c r="K75" t="s">
        <v>3</v>
      </c>
      <c r="L75">
        <v>5.5</v>
      </c>
      <c r="M75">
        <v>4</v>
      </c>
      <c r="N75">
        <v>4</v>
      </c>
      <c r="O75">
        <v>4</v>
      </c>
      <c r="P75" t="s">
        <v>2</v>
      </c>
      <c r="Q75" t="s">
        <v>6</v>
      </c>
      <c r="R75" t="s">
        <v>9</v>
      </c>
      <c r="S75">
        <v>0</v>
      </c>
    </row>
    <row r="76" spans="1:19" x14ac:dyDescent="0.3">
      <c r="A76">
        <v>75</v>
      </c>
      <c r="B76">
        <v>17</v>
      </c>
      <c r="C76" t="s">
        <v>5</v>
      </c>
      <c r="D76">
        <v>25000</v>
      </c>
      <c r="E76" t="s">
        <v>3</v>
      </c>
      <c r="F76">
        <v>5.22</v>
      </c>
      <c r="G76">
        <v>75</v>
      </c>
      <c r="H76">
        <v>1</v>
      </c>
      <c r="I76">
        <v>18</v>
      </c>
      <c r="J76" t="s">
        <v>3</v>
      </c>
      <c r="K76" t="s">
        <v>3</v>
      </c>
      <c r="L76">
        <v>5.2</v>
      </c>
      <c r="M76">
        <v>4</v>
      </c>
      <c r="N76">
        <v>4</v>
      </c>
      <c r="O76">
        <v>3.97</v>
      </c>
      <c r="P76" t="s">
        <v>7</v>
      </c>
      <c r="Q76" t="s">
        <v>14</v>
      </c>
      <c r="R76" t="s">
        <v>0</v>
      </c>
      <c r="S76">
        <v>0</v>
      </c>
    </row>
    <row r="77" spans="1:19" x14ac:dyDescent="0.3">
      <c r="A77">
        <v>76</v>
      </c>
      <c r="B77">
        <v>22.8</v>
      </c>
      <c r="C77" t="s">
        <v>5</v>
      </c>
      <c r="D77">
        <v>25000</v>
      </c>
      <c r="E77" t="s">
        <v>4</v>
      </c>
      <c r="F77">
        <v>3.51</v>
      </c>
      <c r="G77">
        <v>82</v>
      </c>
      <c r="H77">
        <v>2</v>
      </c>
      <c r="I77">
        <v>31.3</v>
      </c>
      <c r="J77" t="s">
        <v>4</v>
      </c>
      <c r="K77" t="s">
        <v>3</v>
      </c>
      <c r="L77">
        <v>4.0999999999999996</v>
      </c>
      <c r="M77">
        <v>2.35</v>
      </c>
      <c r="N77">
        <v>2.56</v>
      </c>
      <c r="O77">
        <v>2.52</v>
      </c>
      <c r="P77" t="s">
        <v>12</v>
      </c>
      <c r="Q77" t="s">
        <v>13</v>
      </c>
      <c r="R77" t="s">
        <v>9</v>
      </c>
      <c r="S77">
        <v>0</v>
      </c>
    </row>
    <row r="78" spans="1:19" x14ac:dyDescent="0.3">
      <c r="A78">
        <v>77</v>
      </c>
      <c r="B78">
        <v>21.2</v>
      </c>
      <c r="C78" t="s">
        <v>11</v>
      </c>
      <c r="E78" t="s">
        <v>4</v>
      </c>
      <c r="G78">
        <v>79</v>
      </c>
      <c r="H78">
        <v>2</v>
      </c>
      <c r="I78">
        <v>27.8</v>
      </c>
      <c r="J78" t="s">
        <v>3</v>
      </c>
      <c r="K78" t="s">
        <v>3</v>
      </c>
      <c r="M78">
        <v>3.72</v>
      </c>
      <c r="N78">
        <v>3.67</v>
      </c>
      <c r="O78">
        <v>3.59</v>
      </c>
      <c r="P78" t="s">
        <v>10</v>
      </c>
      <c r="Q78" t="s">
        <v>13</v>
      </c>
      <c r="R78" t="s">
        <v>9</v>
      </c>
      <c r="S78">
        <v>0</v>
      </c>
    </row>
    <row r="79" spans="1:19" x14ac:dyDescent="0.3">
      <c r="A79">
        <v>78</v>
      </c>
      <c r="B79">
        <v>20.3</v>
      </c>
      <c r="C79" t="s">
        <v>5</v>
      </c>
      <c r="D79">
        <v>44514</v>
      </c>
      <c r="E79" t="s">
        <v>4</v>
      </c>
      <c r="F79">
        <v>1.93</v>
      </c>
      <c r="G79">
        <v>58.7</v>
      </c>
      <c r="H79">
        <v>3</v>
      </c>
      <c r="I79">
        <v>33.299999999999997</v>
      </c>
      <c r="J79" t="s">
        <v>4</v>
      </c>
      <c r="K79" t="s">
        <v>3</v>
      </c>
      <c r="L79">
        <v>6.7</v>
      </c>
      <c r="M79">
        <v>1.88</v>
      </c>
      <c r="N79">
        <v>1.8</v>
      </c>
      <c r="O79">
        <v>1.8</v>
      </c>
      <c r="P79" t="s">
        <v>2</v>
      </c>
      <c r="Q79" t="s">
        <v>13</v>
      </c>
      <c r="R79" t="s">
        <v>17</v>
      </c>
      <c r="S79">
        <v>1</v>
      </c>
    </row>
    <row r="80" spans="1:19" x14ac:dyDescent="0.3">
      <c r="A80">
        <v>79</v>
      </c>
      <c r="B80">
        <v>21.2</v>
      </c>
      <c r="C80" t="s">
        <v>5</v>
      </c>
      <c r="D80">
        <v>25000</v>
      </c>
      <c r="E80" t="s">
        <v>4</v>
      </c>
      <c r="F80">
        <v>4.16</v>
      </c>
      <c r="G80">
        <v>76.099999999999994</v>
      </c>
      <c r="H80">
        <v>2</v>
      </c>
      <c r="I80">
        <v>25.1</v>
      </c>
      <c r="J80" t="s">
        <v>3</v>
      </c>
      <c r="K80" t="s">
        <v>3</v>
      </c>
      <c r="L80">
        <v>6.1</v>
      </c>
      <c r="M80">
        <v>0.7</v>
      </c>
      <c r="N80">
        <v>1.08</v>
      </c>
      <c r="O80">
        <v>1.27</v>
      </c>
      <c r="P80" t="s">
        <v>7</v>
      </c>
      <c r="Q80" t="s">
        <v>6</v>
      </c>
      <c r="R80" t="s">
        <v>15</v>
      </c>
      <c r="S80">
        <v>0</v>
      </c>
    </row>
    <row r="81" spans="1:19" x14ac:dyDescent="0.3">
      <c r="A81">
        <v>80</v>
      </c>
      <c r="B81">
        <v>17</v>
      </c>
      <c r="C81" t="s">
        <v>11</v>
      </c>
      <c r="D81">
        <v>29235</v>
      </c>
      <c r="E81" t="s">
        <v>4</v>
      </c>
      <c r="F81">
        <v>4.53</v>
      </c>
      <c r="G81">
        <v>65</v>
      </c>
      <c r="H81">
        <v>0</v>
      </c>
      <c r="I81">
        <v>39.1</v>
      </c>
      <c r="J81" t="s">
        <v>3</v>
      </c>
      <c r="K81" t="s">
        <v>4</v>
      </c>
      <c r="L81">
        <v>4.7</v>
      </c>
      <c r="M81">
        <v>1.57</v>
      </c>
      <c r="N81">
        <v>1.17</v>
      </c>
      <c r="O81">
        <v>1.17</v>
      </c>
      <c r="P81" t="s">
        <v>2</v>
      </c>
      <c r="Q81" t="s">
        <v>14</v>
      </c>
      <c r="R81" t="s">
        <v>15</v>
      </c>
      <c r="S81">
        <v>0</v>
      </c>
    </row>
    <row r="82" spans="1:19" x14ac:dyDescent="0.3">
      <c r="A82">
        <v>81</v>
      </c>
      <c r="B82">
        <v>20.5</v>
      </c>
      <c r="C82" t="s">
        <v>5</v>
      </c>
      <c r="E82" t="s">
        <v>3</v>
      </c>
      <c r="G82">
        <v>79.400000000000006</v>
      </c>
      <c r="H82">
        <v>2</v>
      </c>
      <c r="I82">
        <v>21.4</v>
      </c>
      <c r="J82" t="s">
        <v>3</v>
      </c>
      <c r="K82" t="s">
        <v>3</v>
      </c>
      <c r="M82">
        <v>2.06</v>
      </c>
      <c r="N82">
        <v>1.85</v>
      </c>
      <c r="O82">
        <v>1.85</v>
      </c>
      <c r="P82" t="s">
        <v>2</v>
      </c>
      <c r="Q82" t="s">
        <v>14</v>
      </c>
      <c r="R82" t="s">
        <v>0</v>
      </c>
      <c r="S82">
        <v>0</v>
      </c>
    </row>
    <row r="83" spans="1:19" x14ac:dyDescent="0.3">
      <c r="A83">
        <v>82</v>
      </c>
      <c r="B83">
        <v>21.8</v>
      </c>
      <c r="C83" t="s">
        <v>5</v>
      </c>
      <c r="D83">
        <v>53998</v>
      </c>
      <c r="E83" t="s">
        <v>4</v>
      </c>
      <c r="F83">
        <v>5.25</v>
      </c>
      <c r="G83">
        <v>87.7</v>
      </c>
      <c r="H83">
        <v>1</v>
      </c>
      <c r="I83">
        <v>17.8</v>
      </c>
      <c r="J83" t="s">
        <v>3</v>
      </c>
      <c r="K83" t="s">
        <v>3</v>
      </c>
      <c r="L83">
        <v>7.7</v>
      </c>
      <c r="M83">
        <v>0.87</v>
      </c>
      <c r="N83">
        <v>0.76</v>
      </c>
      <c r="O83">
        <v>0.76</v>
      </c>
      <c r="P83" t="s">
        <v>2</v>
      </c>
      <c r="Q83" t="s">
        <v>14</v>
      </c>
      <c r="R83" t="s">
        <v>0</v>
      </c>
      <c r="S83">
        <v>0</v>
      </c>
    </row>
    <row r="84" spans="1:19" x14ac:dyDescent="0.3">
      <c r="A84">
        <v>83</v>
      </c>
      <c r="B84">
        <v>24.3</v>
      </c>
      <c r="C84" t="s">
        <v>5</v>
      </c>
      <c r="D84">
        <v>25000</v>
      </c>
      <c r="E84" t="s">
        <v>4</v>
      </c>
      <c r="F84">
        <v>5.56</v>
      </c>
      <c r="G84">
        <v>82.4</v>
      </c>
      <c r="H84">
        <v>2</v>
      </c>
      <c r="I84">
        <v>32.700000000000003</v>
      </c>
      <c r="J84" t="s">
        <v>3</v>
      </c>
      <c r="K84" t="s">
        <v>4</v>
      </c>
      <c r="L84">
        <v>5.4</v>
      </c>
      <c r="M84">
        <v>0.83</v>
      </c>
      <c r="N84">
        <v>0.86</v>
      </c>
      <c r="O84">
        <v>0.89</v>
      </c>
      <c r="P84" t="s">
        <v>10</v>
      </c>
      <c r="Q84" t="s">
        <v>6</v>
      </c>
      <c r="R84" t="s">
        <v>9</v>
      </c>
      <c r="S84">
        <v>0</v>
      </c>
    </row>
    <row r="85" spans="1:19" x14ac:dyDescent="0.3">
      <c r="A85">
        <v>84</v>
      </c>
      <c r="B85">
        <v>19.899999999999999</v>
      </c>
      <c r="C85" t="s">
        <v>5</v>
      </c>
      <c r="D85">
        <v>25000</v>
      </c>
      <c r="E85" t="s">
        <v>4</v>
      </c>
      <c r="F85">
        <v>6.75</v>
      </c>
      <c r="G85">
        <v>83.1</v>
      </c>
      <c r="H85">
        <v>0</v>
      </c>
      <c r="I85">
        <v>52.2</v>
      </c>
      <c r="J85" t="s">
        <v>3</v>
      </c>
      <c r="K85" t="s">
        <v>3</v>
      </c>
      <c r="L85">
        <v>5.5</v>
      </c>
      <c r="M85">
        <v>1.96</v>
      </c>
      <c r="N85">
        <v>1.86</v>
      </c>
      <c r="O85">
        <v>1.86</v>
      </c>
      <c r="P85" t="s">
        <v>7</v>
      </c>
      <c r="Q85" t="s">
        <v>13</v>
      </c>
      <c r="R85" t="s">
        <v>0</v>
      </c>
      <c r="S85">
        <v>0</v>
      </c>
    </row>
    <row r="86" spans="1:19" x14ac:dyDescent="0.3">
      <c r="A86">
        <v>85</v>
      </c>
      <c r="B86">
        <v>19.2</v>
      </c>
      <c r="C86" t="s">
        <v>5</v>
      </c>
      <c r="D86">
        <v>25000</v>
      </c>
      <c r="E86" t="s">
        <v>4</v>
      </c>
      <c r="F86">
        <v>2.8</v>
      </c>
      <c r="G86">
        <v>80.8</v>
      </c>
      <c r="H86">
        <v>2</v>
      </c>
      <c r="I86">
        <v>11.7</v>
      </c>
      <c r="J86" t="s">
        <v>3</v>
      </c>
      <c r="K86" t="s">
        <v>3</v>
      </c>
      <c r="L86">
        <v>8.1999999999999993</v>
      </c>
      <c r="M86">
        <v>3</v>
      </c>
      <c r="N86">
        <v>3.11</v>
      </c>
      <c r="O86">
        <v>3.11</v>
      </c>
      <c r="P86" t="s">
        <v>7</v>
      </c>
      <c r="Q86" t="s">
        <v>1</v>
      </c>
      <c r="R86" t="s">
        <v>9</v>
      </c>
      <c r="S86">
        <v>0</v>
      </c>
    </row>
    <row r="87" spans="1:19" x14ac:dyDescent="0.3">
      <c r="A87">
        <v>86</v>
      </c>
      <c r="B87">
        <v>19.899999999999999</v>
      </c>
      <c r="C87" t="s">
        <v>5</v>
      </c>
      <c r="D87">
        <v>25000</v>
      </c>
      <c r="E87" t="s">
        <v>4</v>
      </c>
      <c r="F87">
        <v>4.37</v>
      </c>
      <c r="G87">
        <v>83.7</v>
      </c>
      <c r="H87">
        <v>0</v>
      </c>
      <c r="I87">
        <v>16.3</v>
      </c>
      <c r="J87" t="s">
        <v>3</v>
      </c>
      <c r="K87" t="s">
        <v>3</v>
      </c>
      <c r="L87">
        <v>7.4</v>
      </c>
      <c r="M87">
        <v>3.03</v>
      </c>
      <c r="N87">
        <v>2.94</v>
      </c>
      <c r="O87">
        <v>2.94</v>
      </c>
      <c r="P87" t="s">
        <v>12</v>
      </c>
      <c r="Q87" t="s">
        <v>6</v>
      </c>
      <c r="R87" t="s">
        <v>0</v>
      </c>
      <c r="S87">
        <v>0</v>
      </c>
    </row>
    <row r="88" spans="1:19" x14ac:dyDescent="0.3">
      <c r="A88">
        <v>87</v>
      </c>
      <c r="B88">
        <v>23</v>
      </c>
      <c r="C88" t="s">
        <v>11</v>
      </c>
      <c r="D88">
        <v>25000</v>
      </c>
      <c r="E88" t="s">
        <v>4</v>
      </c>
      <c r="F88">
        <v>2.46</v>
      </c>
      <c r="G88">
        <v>100</v>
      </c>
      <c r="H88">
        <v>1</v>
      </c>
      <c r="I88">
        <v>32.799999999999997</v>
      </c>
      <c r="J88" t="s">
        <v>3</v>
      </c>
      <c r="K88" t="s">
        <v>4</v>
      </c>
      <c r="L88">
        <v>4.3</v>
      </c>
      <c r="M88">
        <v>3.12</v>
      </c>
      <c r="N88">
        <v>3.19</v>
      </c>
      <c r="O88">
        <v>3.2</v>
      </c>
      <c r="P88" t="s">
        <v>10</v>
      </c>
      <c r="Q88" t="s">
        <v>1</v>
      </c>
      <c r="R88" t="s">
        <v>0</v>
      </c>
      <c r="S88">
        <v>0</v>
      </c>
    </row>
    <row r="89" spans="1:19" x14ac:dyDescent="0.3">
      <c r="A89">
        <v>88</v>
      </c>
      <c r="B89">
        <v>21.7</v>
      </c>
      <c r="C89" t="s">
        <v>11</v>
      </c>
      <c r="D89">
        <v>25000</v>
      </c>
      <c r="E89" t="s">
        <v>4</v>
      </c>
      <c r="F89">
        <v>4.79</v>
      </c>
      <c r="G89">
        <v>79.2</v>
      </c>
      <c r="H89">
        <v>3</v>
      </c>
      <c r="I89">
        <v>43.5</v>
      </c>
      <c r="J89" t="s">
        <v>4</v>
      </c>
      <c r="K89" t="s">
        <v>3</v>
      </c>
      <c r="L89">
        <v>7.4</v>
      </c>
      <c r="M89">
        <v>1.22</v>
      </c>
      <c r="N89">
        <v>1.44</v>
      </c>
      <c r="O89">
        <v>1.42</v>
      </c>
      <c r="P89" t="s">
        <v>7</v>
      </c>
      <c r="Q89" t="s">
        <v>14</v>
      </c>
      <c r="R89" t="s">
        <v>0</v>
      </c>
      <c r="S89">
        <v>1</v>
      </c>
    </row>
    <row r="90" spans="1:19" x14ac:dyDescent="0.3">
      <c r="A90">
        <v>89</v>
      </c>
      <c r="B90">
        <v>19.8</v>
      </c>
      <c r="C90" t="s">
        <v>5</v>
      </c>
      <c r="E90" t="s">
        <v>4</v>
      </c>
      <c r="G90">
        <v>81.900000000000006</v>
      </c>
      <c r="H90">
        <v>0</v>
      </c>
      <c r="I90">
        <v>33.700000000000003</v>
      </c>
      <c r="J90" t="s">
        <v>3</v>
      </c>
      <c r="K90" t="s">
        <v>3</v>
      </c>
      <c r="M90">
        <v>2.96</v>
      </c>
      <c r="N90">
        <v>2.79</v>
      </c>
      <c r="O90">
        <v>2.7</v>
      </c>
      <c r="P90" t="s">
        <v>10</v>
      </c>
      <c r="Q90" t="s">
        <v>1</v>
      </c>
      <c r="R90" t="s">
        <v>15</v>
      </c>
      <c r="S90">
        <v>1</v>
      </c>
    </row>
    <row r="91" spans="1:19" x14ac:dyDescent="0.3">
      <c r="A91">
        <v>90</v>
      </c>
      <c r="B91">
        <v>22.1</v>
      </c>
      <c r="C91" t="s">
        <v>11</v>
      </c>
      <c r="D91">
        <v>32176</v>
      </c>
      <c r="E91" t="s">
        <v>4</v>
      </c>
      <c r="F91">
        <v>1.49</v>
      </c>
      <c r="G91">
        <v>75.099999999999994</v>
      </c>
      <c r="H91">
        <v>1</v>
      </c>
      <c r="I91">
        <v>22.7</v>
      </c>
      <c r="J91" t="s">
        <v>3</v>
      </c>
      <c r="K91" t="s">
        <v>3</v>
      </c>
      <c r="L91">
        <v>3.6</v>
      </c>
      <c r="M91">
        <v>2.96</v>
      </c>
      <c r="N91">
        <v>2.94</v>
      </c>
      <c r="O91">
        <v>2.94</v>
      </c>
      <c r="P91" t="s">
        <v>2</v>
      </c>
      <c r="Q91" t="s">
        <v>13</v>
      </c>
      <c r="R91" t="s">
        <v>9</v>
      </c>
      <c r="S91">
        <v>0</v>
      </c>
    </row>
    <row r="92" spans="1:19" x14ac:dyDescent="0.3">
      <c r="A92">
        <v>91</v>
      </c>
      <c r="B92">
        <v>21.2</v>
      </c>
      <c r="C92" t="s">
        <v>5</v>
      </c>
      <c r="D92">
        <v>39933</v>
      </c>
      <c r="E92" t="s">
        <v>4</v>
      </c>
      <c r="F92">
        <v>4.3499999999999996</v>
      </c>
      <c r="G92">
        <v>66.8</v>
      </c>
      <c r="H92">
        <v>1</v>
      </c>
      <c r="I92">
        <v>35</v>
      </c>
      <c r="J92" t="s">
        <v>3</v>
      </c>
      <c r="K92" t="s">
        <v>3</v>
      </c>
      <c r="L92">
        <v>7.8</v>
      </c>
      <c r="M92">
        <v>2.37</v>
      </c>
      <c r="N92">
        <v>2.7</v>
      </c>
      <c r="O92">
        <v>2.64</v>
      </c>
      <c r="P92" t="s">
        <v>10</v>
      </c>
      <c r="Q92" t="s">
        <v>1</v>
      </c>
      <c r="R92" t="s">
        <v>15</v>
      </c>
      <c r="S92">
        <v>0</v>
      </c>
    </row>
    <row r="93" spans="1:19" x14ac:dyDescent="0.3">
      <c r="A93">
        <v>92</v>
      </c>
      <c r="B93">
        <v>23.1</v>
      </c>
      <c r="C93" t="s">
        <v>5</v>
      </c>
      <c r="D93">
        <v>33807</v>
      </c>
      <c r="E93" t="s">
        <v>3</v>
      </c>
      <c r="F93">
        <v>3.74</v>
      </c>
      <c r="G93">
        <v>84.1</v>
      </c>
      <c r="H93">
        <v>0</v>
      </c>
      <c r="I93">
        <v>36.200000000000003</v>
      </c>
      <c r="J93" t="s">
        <v>4</v>
      </c>
      <c r="K93" t="s">
        <v>3</v>
      </c>
      <c r="L93">
        <v>4.2</v>
      </c>
      <c r="M93">
        <v>0.75</v>
      </c>
      <c r="N93">
        <v>0.64</v>
      </c>
      <c r="O93">
        <v>0.67</v>
      </c>
      <c r="P93" t="s">
        <v>7</v>
      </c>
      <c r="Q93" t="s">
        <v>8</v>
      </c>
      <c r="R93" t="s">
        <v>15</v>
      </c>
      <c r="S93">
        <v>1</v>
      </c>
    </row>
    <row r="94" spans="1:19" x14ac:dyDescent="0.3">
      <c r="A94">
        <v>93</v>
      </c>
      <c r="B94">
        <v>19.5</v>
      </c>
      <c r="C94" t="s">
        <v>5</v>
      </c>
      <c r="E94" t="s">
        <v>3</v>
      </c>
      <c r="G94">
        <v>91.1</v>
      </c>
      <c r="H94">
        <v>3</v>
      </c>
      <c r="I94">
        <v>21.8</v>
      </c>
      <c r="J94" t="s">
        <v>3</v>
      </c>
      <c r="K94" t="s">
        <v>3</v>
      </c>
      <c r="M94">
        <v>3.54</v>
      </c>
      <c r="N94">
        <v>3.8</v>
      </c>
      <c r="O94">
        <v>3.8</v>
      </c>
      <c r="P94" t="s">
        <v>2</v>
      </c>
      <c r="Q94" t="s">
        <v>14</v>
      </c>
      <c r="R94" t="s">
        <v>15</v>
      </c>
      <c r="S94">
        <v>0</v>
      </c>
    </row>
    <row r="95" spans="1:19" x14ac:dyDescent="0.3">
      <c r="A95">
        <v>94</v>
      </c>
      <c r="B95">
        <v>20.3</v>
      </c>
      <c r="C95" t="s">
        <v>11</v>
      </c>
      <c r="D95">
        <v>50359</v>
      </c>
      <c r="E95" t="s">
        <v>4</v>
      </c>
      <c r="F95">
        <v>3.62</v>
      </c>
      <c r="G95">
        <v>100</v>
      </c>
      <c r="H95">
        <v>0</v>
      </c>
      <c r="I95">
        <v>39.9</v>
      </c>
      <c r="J95" t="s">
        <v>3</v>
      </c>
      <c r="K95" t="s">
        <v>3</v>
      </c>
      <c r="L95">
        <v>4.8</v>
      </c>
      <c r="M95">
        <v>3.28</v>
      </c>
      <c r="N95">
        <v>3.68</v>
      </c>
      <c r="O95">
        <v>3.63</v>
      </c>
      <c r="P95" t="s">
        <v>10</v>
      </c>
      <c r="Q95" t="s">
        <v>8</v>
      </c>
      <c r="R95" t="s">
        <v>15</v>
      </c>
      <c r="S95">
        <v>0</v>
      </c>
    </row>
    <row r="96" spans="1:19" x14ac:dyDescent="0.3">
      <c r="A96">
        <v>95</v>
      </c>
      <c r="B96">
        <v>20.100000000000001</v>
      </c>
      <c r="C96" t="s">
        <v>5</v>
      </c>
      <c r="D96">
        <v>25000</v>
      </c>
      <c r="E96" t="s">
        <v>4</v>
      </c>
      <c r="F96">
        <v>6.68</v>
      </c>
      <c r="G96">
        <v>80.5</v>
      </c>
      <c r="H96">
        <v>3</v>
      </c>
      <c r="I96">
        <v>29.6</v>
      </c>
      <c r="J96" t="s">
        <v>3</v>
      </c>
      <c r="K96" t="s">
        <v>4</v>
      </c>
      <c r="L96">
        <v>9.1999999999999993</v>
      </c>
      <c r="M96">
        <v>0.32</v>
      </c>
      <c r="N96">
        <v>0.01</v>
      </c>
      <c r="O96">
        <v>0.01</v>
      </c>
      <c r="P96" t="s">
        <v>2</v>
      </c>
      <c r="Q96" t="s">
        <v>1</v>
      </c>
      <c r="R96" t="s">
        <v>15</v>
      </c>
      <c r="S96">
        <v>0</v>
      </c>
    </row>
    <row r="97" spans="1:19" x14ac:dyDescent="0.3">
      <c r="A97">
        <v>96</v>
      </c>
      <c r="B97">
        <v>17.8</v>
      </c>
      <c r="C97" t="s">
        <v>11</v>
      </c>
      <c r="D97">
        <v>25000</v>
      </c>
      <c r="E97" t="s">
        <v>4</v>
      </c>
      <c r="F97">
        <v>4.75</v>
      </c>
      <c r="G97">
        <v>79.900000000000006</v>
      </c>
      <c r="H97">
        <v>0</v>
      </c>
      <c r="I97">
        <v>9</v>
      </c>
      <c r="J97" t="s">
        <v>3</v>
      </c>
      <c r="K97" t="s">
        <v>3</v>
      </c>
      <c r="L97">
        <v>3.8</v>
      </c>
      <c r="M97">
        <v>0.31</v>
      </c>
      <c r="N97">
        <v>0.4</v>
      </c>
      <c r="O97">
        <v>0.43</v>
      </c>
      <c r="P97" t="s">
        <v>7</v>
      </c>
      <c r="Q97" t="s">
        <v>14</v>
      </c>
      <c r="R97" t="s">
        <v>0</v>
      </c>
      <c r="S97">
        <v>1</v>
      </c>
    </row>
    <row r="98" spans="1:19" x14ac:dyDescent="0.3">
      <c r="A98">
        <v>97</v>
      </c>
      <c r="B98">
        <v>21.7</v>
      </c>
      <c r="C98" t="s">
        <v>11</v>
      </c>
      <c r="E98" t="s">
        <v>4</v>
      </c>
      <c r="G98">
        <v>74.5</v>
      </c>
      <c r="H98">
        <v>0</v>
      </c>
      <c r="I98">
        <v>28.4</v>
      </c>
      <c r="J98" t="s">
        <v>4</v>
      </c>
      <c r="K98" t="s">
        <v>3</v>
      </c>
      <c r="M98">
        <v>1.52</v>
      </c>
      <c r="N98">
        <v>1.5</v>
      </c>
      <c r="O98">
        <v>1.5</v>
      </c>
      <c r="P98" t="s">
        <v>7</v>
      </c>
      <c r="Q98" t="s">
        <v>14</v>
      </c>
      <c r="R98" t="s">
        <v>9</v>
      </c>
      <c r="S98">
        <v>0</v>
      </c>
    </row>
    <row r="99" spans="1:19" x14ac:dyDescent="0.3">
      <c r="A99">
        <v>98</v>
      </c>
      <c r="B99">
        <v>21.6</v>
      </c>
      <c r="C99" t="s">
        <v>11</v>
      </c>
      <c r="D99">
        <v>29331</v>
      </c>
      <c r="E99" t="s">
        <v>3</v>
      </c>
      <c r="F99">
        <v>3.57</v>
      </c>
      <c r="G99">
        <v>95.7</v>
      </c>
      <c r="H99">
        <v>4</v>
      </c>
      <c r="I99">
        <v>23.2</v>
      </c>
      <c r="J99" t="s">
        <v>3</v>
      </c>
      <c r="K99" t="s">
        <v>3</v>
      </c>
      <c r="L99">
        <v>4.9000000000000004</v>
      </c>
      <c r="M99">
        <v>2.78</v>
      </c>
      <c r="N99">
        <v>2.59</v>
      </c>
      <c r="O99">
        <v>2.62</v>
      </c>
      <c r="P99" t="s">
        <v>12</v>
      </c>
      <c r="Q99" t="s">
        <v>8</v>
      </c>
      <c r="R99" t="s">
        <v>16</v>
      </c>
      <c r="S99">
        <v>0</v>
      </c>
    </row>
    <row r="100" spans="1:19" x14ac:dyDescent="0.3">
      <c r="A100">
        <v>99</v>
      </c>
      <c r="B100">
        <v>21</v>
      </c>
      <c r="C100" t="s">
        <v>11</v>
      </c>
      <c r="D100">
        <v>25000</v>
      </c>
      <c r="E100" t="s">
        <v>4</v>
      </c>
      <c r="F100">
        <v>1.48</v>
      </c>
      <c r="G100">
        <v>72.099999999999994</v>
      </c>
      <c r="H100">
        <v>2</v>
      </c>
      <c r="I100">
        <v>45.7</v>
      </c>
      <c r="J100" t="s">
        <v>3</v>
      </c>
      <c r="K100" t="s">
        <v>4</v>
      </c>
      <c r="L100">
        <v>6.4</v>
      </c>
      <c r="M100">
        <v>1.86</v>
      </c>
      <c r="N100">
        <v>2.13</v>
      </c>
      <c r="O100">
        <v>2.13</v>
      </c>
      <c r="P100" t="s">
        <v>2</v>
      </c>
      <c r="Q100" t="s">
        <v>6</v>
      </c>
      <c r="R100" t="s">
        <v>16</v>
      </c>
      <c r="S100">
        <v>0</v>
      </c>
    </row>
    <row r="101" spans="1:19" x14ac:dyDescent="0.3">
      <c r="A101">
        <v>100</v>
      </c>
      <c r="B101">
        <v>20.5</v>
      </c>
      <c r="C101" t="s">
        <v>11</v>
      </c>
      <c r="D101">
        <v>51391</v>
      </c>
      <c r="E101" t="s">
        <v>4</v>
      </c>
      <c r="F101">
        <v>2.6</v>
      </c>
      <c r="G101">
        <v>87.3</v>
      </c>
      <c r="H101">
        <v>0</v>
      </c>
      <c r="I101">
        <v>14.1</v>
      </c>
      <c r="J101" t="s">
        <v>4</v>
      </c>
      <c r="K101" t="s">
        <v>4</v>
      </c>
      <c r="L101">
        <v>5.4</v>
      </c>
      <c r="M101">
        <v>1.29</v>
      </c>
      <c r="N101">
        <v>1.4</v>
      </c>
      <c r="O101">
        <v>1.4</v>
      </c>
      <c r="P101" t="s">
        <v>12</v>
      </c>
      <c r="Q101" t="s">
        <v>14</v>
      </c>
      <c r="R101" t="s">
        <v>15</v>
      </c>
      <c r="S101">
        <v>0</v>
      </c>
    </row>
    <row r="102" spans="1:19" x14ac:dyDescent="0.3">
      <c r="A102">
        <v>101</v>
      </c>
      <c r="B102">
        <v>17.899999999999999</v>
      </c>
      <c r="C102" t="s">
        <v>5</v>
      </c>
      <c r="D102">
        <v>97535</v>
      </c>
      <c r="E102" t="s">
        <v>4</v>
      </c>
      <c r="F102">
        <v>6.19</v>
      </c>
      <c r="G102">
        <v>96.6</v>
      </c>
      <c r="H102">
        <v>1</v>
      </c>
      <c r="I102">
        <v>24.2</v>
      </c>
      <c r="J102" t="s">
        <v>3</v>
      </c>
      <c r="K102" t="s">
        <v>4</v>
      </c>
      <c r="L102">
        <v>4.3</v>
      </c>
      <c r="M102">
        <v>4</v>
      </c>
      <c r="N102">
        <v>4</v>
      </c>
      <c r="O102">
        <v>4</v>
      </c>
      <c r="P102" t="s">
        <v>10</v>
      </c>
      <c r="Q102" t="s">
        <v>8</v>
      </c>
      <c r="R102" t="s">
        <v>0</v>
      </c>
      <c r="S102">
        <v>1</v>
      </c>
    </row>
    <row r="103" spans="1:19" x14ac:dyDescent="0.3">
      <c r="A103">
        <v>102</v>
      </c>
      <c r="B103">
        <v>20.100000000000001</v>
      </c>
      <c r="C103" t="s">
        <v>5</v>
      </c>
      <c r="E103" t="s">
        <v>4</v>
      </c>
      <c r="G103">
        <v>80</v>
      </c>
      <c r="H103">
        <v>2</v>
      </c>
      <c r="I103">
        <v>33.1</v>
      </c>
      <c r="J103" t="s">
        <v>4</v>
      </c>
      <c r="K103" t="s">
        <v>4</v>
      </c>
      <c r="M103">
        <v>2.2999999999999998</v>
      </c>
      <c r="N103">
        <v>2.29</v>
      </c>
      <c r="O103">
        <v>2.2999999999999998</v>
      </c>
      <c r="P103" t="s">
        <v>10</v>
      </c>
      <c r="Q103" t="s">
        <v>13</v>
      </c>
      <c r="R103" t="s">
        <v>15</v>
      </c>
      <c r="S103">
        <v>0</v>
      </c>
    </row>
    <row r="104" spans="1:19" x14ac:dyDescent="0.3">
      <c r="A104">
        <v>103</v>
      </c>
      <c r="B104">
        <v>20.2</v>
      </c>
      <c r="C104" t="s">
        <v>11</v>
      </c>
      <c r="D104">
        <v>31276</v>
      </c>
      <c r="E104" t="s">
        <v>4</v>
      </c>
      <c r="F104">
        <v>4.59</v>
      </c>
      <c r="G104">
        <v>72.7</v>
      </c>
      <c r="H104">
        <v>1</v>
      </c>
      <c r="I104">
        <v>59</v>
      </c>
      <c r="J104" t="s">
        <v>4</v>
      </c>
      <c r="K104" t="s">
        <v>3</v>
      </c>
      <c r="L104">
        <v>7.9</v>
      </c>
      <c r="M104">
        <v>2.1</v>
      </c>
      <c r="N104">
        <v>2.2999999999999998</v>
      </c>
      <c r="O104">
        <v>2.2999999999999998</v>
      </c>
      <c r="P104" t="s">
        <v>2</v>
      </c>
      <c r="Q104" t="s">
        <v>6</v>
      </c>
      <c r="R104" t="s">
        <v>9</v>
      </c>
      <c r="S104">
        <v>0</v>
      </c>
    </row>
    <row r="105" spans="1:19" x14ac:dyDescent="0.3">
      <c r="A105">
        <v>104</v>
      </c>
      <c r="B105">
        <v>19.2</v>
      </c>
      <c r="C105" t="s">
        <v>11</v>
      </c>
      <c r="D105">
        <v>49497</v>
      </c>
      <c r="E105" t="s">
        <v>4</v>
      </c>
      <c r="F105">
        <v>4.51</v>
      </c>
      <c r="G105">
        <v>88.3</v>
      </c>
      <c r="H105">
        <v>2</v>
      </c>
      <c r="I105">
        <v>53.5</v>
      </c>
      <c r="J105" t="s">
        <v>3</v>
      </c>
      <c r="K105" t="s">
        <v>4</v>
      </c>
      <c r="L105">
        <v>2.6</v>
      </c>
      <c r="M105">
        <v>3.2</v>
      </c>
      <c r="N105">
        <v>3.28</v>
      </c>
      <c r="O105">
        <v>3.24</v>
      </c>
      <c r="P105" t="s">
        <v>7</v>
      </c>
      <c r="Q105" t="s">
        <v>8</v>
      </c>
      <c r="R105" t="s">
        <v>9</v>
      </c>
      <c r="S105">
        <v>0</v>
      </c>
    </row>
    <row r="106" spans="1:19" x14ac:dyDescent="0.3">
      <c r="A106">
        <v>105</v>
      </c>
      <c r="B106">
        <v>20.6</v>
      </c>
      <c r="C106" t="s">
        <v>5</v>
      </c>
      <c r="D106">
        <v>25000</v>
      </c>
      <c r="E106" t="s">
        <v>4</v>
      </c>
      <c r="F106">
        <v>5.84</v>
      </c>
      <c r="G106">
        <v>71.2</v>
      </c>
      <c r="H106">
        <v>2</v>
      </c>
      <c r="I106">
        <v>29.5</v>
      </c>
      <c r="J106" t="s">
        <v>3</v>
      </c>
      <c r="K106" t="s">
        <v>3</v>
      </c>
      <c r="L106">
        <v>4.3</v>
      </c>
      <c r="M106">
        <v>1.92</v>
      </c>
      <c r="N106">
        <v>1.95</v>
      </c>
      <c r="O106">
        <v>1.92</v>
      </c>
      <c r="P106" t="s">
        <v>7</v>
      </c>
      <c r="Q106" t="s">
        <v>13</v>
      </c>
      <c r="R106" t="s">
        <v>9</v>
      </c>
      <c r="S106">
        <v>0</v>
      </c>
    </row>
    <row r="107" spans="1:19" x14ac:dyDescent="0.3">
      <c r="A107">
        <v>106</v>
      </c>
      <c r="B107">
        <v>21.9</v>
      </c>
      <c r="C107" t="s">
        <v>5</v>
      </c>
      <c r="D107">
        <v>30245</v>
      </c>
      <c r="E107" t="s">
        <v>4</v>
      </c>
      <c r="F107">
        <v>4.42</v>
      </c>
      <c r="G107">
        <v>91.5</v>
      </c>
      <c r="H107">
        <v>0</v>
      </c>
      <c r="I107">
        <v>34.200000000000003</v>
      </c>
      <c r="J107" t="s">
        <v>4</v>
      </c>
      <c r="K107" t="s">
        <v>3</v>
      </c>
      <c r="L107">
        <v>6.4</v>
      </c>
      <c r="M107">
        <v>1.36</v>
      </c>
      <c r="N107">
        <v>1.01</v>
      </c>
      <c r="O107">
        <v>1.01</v>
      </c>
      <c r="P107" t="s">
        <v>2</v>
      </c>
      <c r="Q107" t="s">
        <v>1</v>
      </c>
      <c r="R107" t="s">
        <v>17</v>
      </c>
      <c r="S107">
        <v>0</v>
      </c>
    </row>
    <row r="108" spans="1:19" x14ac:dyDescent="0.3">
      <c r="A108">
        <v>107</v>
      </c>
      <c r="B108">
        <v>25.1</v>
      </c>
      <c r="C108" t="s">
        <v>5</v>
      </c>
      <c r="E108" t="s">
        <v>4</v>
      </c>
      <c r="G108">
        <v>97.9</v>
      </c>
      <c r="H108">
        <v>4</v>
      </c>
      <c r="I108">
        <v>37.200000000000003</v>
      </c>
      <c r="J108" t="s">
        <v>4</v>
      </c>
      <c r="K108" t="s">
        <v>4</v>
      </c>
      <c r="M108">
        <v>3.55</v>
      </c>
      <c r="N108">
        <v>3.36</v>
      </c>
      <c r="O108">
        <v>3.36</v>
      </c>
      <c r="P108" t="s">
        <v>2</v>
      </c>
      <c r="Q108" t="s">
        <v>6</v>
      </c>
      <c r="R108" t="s">
        <v>0</v>
      </c>
      <c r="S108">
        <v>1</v>
      </c>
    </row>
    <row r="109" spans="1:19" x14ac:dyDescent="0.3">
      <c r="A109">
        <v>108</v>
      </c>
      <c r="B109">
        <v>21.4</v>
      </c>
      <c r="C109" t="s">
        <v>5</v>
      </c>
      <c r="E109" t="s">
        <v>4</v>
      </c>
      <c r="G109">
        <v>63</v>
      </c>
      <c r="H109">
        <v>3</v>
      </c>
      <c r="I109">
        <v>17.899999999999999</v>
      </c>
      <c r="J109" t="s">
        <v>4</v>
      </c>
      <c r="K109" t="s">
        <v>3</v>
      </c>
      <c r="M109">
        <v>1.82</v>
      </c>
      <c r="N109">
        <v>1.72</v>
      </c>
      <c r="O109">
        <v>1.66</v>
      </c>
      <c r="P109" t="s">
        <v>12</v>
      </c>
      <c r="Q109" t="s">
        <v>6</v>
      </c>
      <c r="R109" t="s">
        <v>15</v>
      </c>
      <c r="S109">
        <v>1</v>
      </c>
    </row>
    <row r="110" spans="1:19" x14ac:dyDescent="0.3">
      <c r="A110">
        <v>109</v>
      </c>
      <c r="B110">
        <v>21.6</v>
      </c>
      <c r="C110" t="s">
        <v>5</v>
      </c>
      <c r="E110" t="s">
        <v>3</v>
      </c>
      <c r="G110">
        <v>95.3</v>
      </c>
      <c r="H110">
        <v>1</v>
      </c>
      <c r="I110">
        <v>30.1</v>
      </c>
      <c r="J110" t="s">
        <v>3</v>
      </c>
      <c r="K110" t="s">
        <v>3</v>
      </c>
      <c r="M110">
        <v>1.35</v>
      </c>
      <c r="N110">
        <v>1.44</v>
      </c>
      <c r="O110">
        <v>1.55</v>
      </c>
      <c r="P110" t="s">
        <v>12</v>
      </c>
      <c r="Q110" t="s">
        <v>13</v>
      </c>
      <c r="R110" t="s">
        <v>9</v>
      </c>
      <c r="S110">
        <v>0</v>
      </c>
    </row>
    <row r="111" spans="1:19" x14ac:dyDescent="0.3">
      <c r="A111">
        <v>110</v>
      </c>
      <c r="B111">
        <v>20.8</v>
      </c>
      <c r="C111" t="s">
        <v>11</v>
      </c>
      <c r="D111">
        <v>26596</v>
      </c>
      <c r="E111" t="s">
        <v>4</v>
      </c>
      <c r="F111">
        <v>3.64</v>
      </c>
      <c r="G111">
        <v>87.1</v>
      </c>
      <c r="H111">
        <v>2</v>
      </c>
      <c r="I111">
        <v>46.3</v>
      </c>
      <c r="J111" t="s">
        <v>3</v>
      </c>
      <c r="K111" t="s">
        <v>3</v>
      </c>
      <c r="L111">
        <v>6.6</v>
      </c>
      <c r="M111">
        <v>1.59</v>
      </c>
      <c r="N111">
        <v>1.43</v>
      </c>
      <c r="O111">
        <v>1.43</v>
      </c>
      <c r="P111" t="s">
        <v>12</v>
      </c>
      <c r="Q111" t="s">
        <v>8</v>
      </c>
      <c r="R111" t="s">
        <v>9</v>
      </c>
      <c r="S111">
        <v>0</v>
      </c>
    </row>
    <row r="112" spans="1:19" x14ac:dyDescent="0.3">
      <c r="A112">
        <v>111</v>
      </c>
      <c r="B112">
        <v>17</v>
      </c>
      <c r="C112" t="s">
        <v>11</v>
      </c>
      <c r="D112">
        <v>28669</v>
      </c>
      <c r="E112" t="s">
        <v>3</v>
      </c>
      <c r="F112">
        <v>6.21</v>
      </c>
      <c r="G112">
        <v>93.1</v>
      </c>
      <c r="H112">
        <v>0</v>
      </c>
      <c r="I112">
        <v>31.7</v>
      </c>
      <c r="J112" t="s">
        <v>3</v>
      </c>
      <c r="K112" t="s">
        <v>4</v>
      </c>
      <c r="L112">
        <v>6.4</v>
      </c>
      <c r="M112">
        <v>3.82</v>
      </c>
      <c r="N112">
        <v>4</v>
      </c>
      <c r="O112">
        <v>4</v>
      </c>
      <c r="P112" t="s">
        <v>2</v>
      </c>
      <c r="Q112" t="s">
        <v>8</v>
      </c>
      <c r="R112" t="s">
        <v>9</v>
      </c>
      <c r="S112">
        <v>0</v>
      </c>
    </row>
    <row r="113" spans="1:19" x14ac:dyDescent="0.3">
      <c r="A113">
        <v>112</v>
      </c>
      <c r="B113">
        <v>20.9</v>
      </c>
      <c r="C113" t="s">
        <v>5</v>
      </c>
      <c r="D113">
        <v>25000</v>
      </c>
      <c r="E113" t="s">
        <v>3</v>
      </c>
      <c r="F113">
        <v>2.63</v>
      </c>
      <c r="G113">
        <v>76.8</v>
      </c>
      <c r="H113">
        <v>1</v>
      </c>
      <c r="I113">
        <v>53.4</v>
      </c>
      <c r="J113" t="s">
        <v>4</v>
      </c>
      <c r="K113" t="s">
        <v>3</v>
      </c>
      <c r="L113">
        <v>6.8</v>
      </c>
      <c r="M113">
        <v>0.96</v>
      </c>
      <c r="N113">
        <v>1.19</v>
      </c>
      <c r="O113">
        <v>1.19</v>
      </c>
      <c r="P113" t="s">
        <v>2</v>
      </c>
      <c r="Q113" t="s">
        <v>8</v>
      </c>
      <c r="R113" t="s">
        <v>9</v>
      </c>
      <c r="S113">
        <v>1</v>
      </c>
    </row>
    <row r="114" spans="1:19" x14ac:dyDescent="0.3">
      <c r="A114">
        <v>113</v>
      </c>
      <c r="B114">
        <v>21.1</v>
      </c>
      <c r="C114" t="s">
        <v>11</v>
      </c>
      <c r="D114">
        <v>104579</v>
      </c>
      <c r="E114" t="s">
        <v>4</v>
      </c>
      <c r="F114">
        <v>3.34</v>
      </c>
      <c r="G114">
        <v>87</v>
      </c>
      <c r="H114">
        <v>2</v>
      </c>
      <c r="I114">
        <v>24.7</v>
      </c>
      <c r="J114" t="s">
        <v>4</v>
      </c>
      <c r="K114" t="s">
        <v>3</v>
      </c>
      <c r="L114">
        <v>6.1</v>
      </c>
      <c r="M114">
        <v>2.4700000000000002</v>
      </c>
      <c r="N114">
        <v>2.67</v>
      </c>
      <c r="O114">
        <v>2.68</v>
      </c>
      <c r="P114" t="s">
        <v>10</v>
      </c>
      <c r="Q114" t="s">
        <v>13</v>
      </c>
      <c r="R114" t="s">
        <v>0</v>
      </c>
      <c r="S114">
        <v>0</v>
      </c>
    </row>
    <row r="115" spans="1:19" x14ac:dyDescent="0.3">
      <c r="A115">
        <v>114</v>
      </c>
      <c r="B115">
        <v>26.4</v>
      </c>
      <c r="C115" t="s">
        <v>11</v>
      </c>
      <c r="D115">
        <v>25000</v>
      </c>
      <c r="E115" t="s">
        <v>4</v>
      </c>
      <c r="F115">
        <v>1.63</v>
      </c>
      <c r="G115">
        <v>83.9</v>
      </c>
      <c r="H115">
        <v>2</v>
      </c>
      <c r="I115">
        <v>28.9</v>
      </c>
      <c r="J115" t="s">
        <v>3</v>
      </c>
      <c r="K115" t="s">
        <v>3</v>
      </c>
      <c r="L115">
        <v>4.9000000000000004</v>
      </c>
      <c r="M115">
        <v>1.34</v>
      </c>
      <c r="N115">
        <v>2.12</v>
      </c>
      <c r="O115">
        <v>2.13</v>
      </c>
      <c r="P115" t="s">
        <v>12</v>
      </c>
      <c r="Q115" t="s">
        <v>1</v>
      </c>
      <c r="R115" t="s">
        <v>15</v>
      </c>
      <c r="S115">
        <v>1</v>
      </c>
    </row>
    <row r="116" spans="1:19" x14ac:dyDescent="0.3">
      <c r="A116">
        <v>115</v>
      </c>
      <c r="B116">
        <v>20.6</v>
      </c>
      <c r="C116" t="s">
        <v>5</v>
      </c>
      <c r="D116">
        <v>25000</v>
      </c>
      <c r="E116" t="s">
        <v>4</v>
      </c>
      <c r="F116">
        <v>5.31</v>
      </c>
      <c r="G116">
        <v>75.7</v>
      </c>
      <c r="H116">
        <v>1</v>
      </c>
      <c r="I116">
        <v>29</v>
      </c>
      <c r="J116" t="s">
        <v>4</v>
      </c>
      <c r="K116" t="s">
        <v>3</v>
      </c>
      <c r="L116">
        <v>7.2</v>
      </c>
      <c r="M116">
        <v>1.81</v>
      </c>
      <c r="N116">
        <v>1.49</v>
      </c>
      <c r="O116">
        <v>1.49</v>
      </c>
      <c r="P116" t="s">
        <v>7</v>
      </c>
      <c r="Q116" t="s">
        <v>8</v>
      </c>
      <c r="R116" t="s">
        <v>15</v>
      </c>
      <c r="S116">
        <v>0</v>
      </c>
    </row>
    <row r="117" spans="1:19" x14ac:dyDescent="0.3">
      <c r="A117">
        <v>116</v>
      </c>
      <c r="B117">
        <v>21.7</v>
      </c>
      <c r="C117" t="s">
        <v>5</v>
      </c>
      <c r="D117">
        <v>28108</v>
      </c>
      <c r="E117" t="s">
        <v>4</v>
      </c>
      <c r="F117">
        <v>4.45</v>
      </c>
      <c r="G117">
        <v>79.2</v>
      </c>
      <c r="H117">
        <v>3</v>
      </c>
      <c r="I117">
        <v>14.4</v>
      </c>
      <c r="J117" t="s">
        <v>3</v>
      </c>
      <c r="K117" t="s">
        <v>4</v>
      </c>
      <c r="L117">
        <v>4.5999999999999996</v>
      </c>
      <c r="M117">
        <v>3.06</v>
      </c>
      <c r="N117">
        <v>2.83</v>
      </c>
      <c r="O117">
        <v>2.83</v>
      </c>
      <c r="P117" t="s">
        <v>2</v>
      </c>
      <c r="Q117" t="s">
        <v>8</v>
      </c>
      <c r="R117" t="s">
        <v>9</v>
      </c>
      <c r="S117">
        <v>0</v>
      </c>
    </row>
    <row r="118" spans="1:19" x14ac:dyDescent="0.3">
      <c r="A118">
        <v>117</v>
      </c>
      <c r="B118">
        <v>20.9</v>
      </c>
      <c r="C118" t="s">
        <v>11</v>
      </c>
      <c r="D118">
        <v>51263</v>
      </c>
      <c r="E118" t="s">
        <v>4</v>
      </c>
      <c r="F118">
        <v>6.26</v>
      </c>
      <c r="G118">
        <v>86.6</v>
      </c>
      <c r="H118">
        <v>0</v>
      </c>
      <c r="I118">
        <v>43.3</v>
      </c>
      <c r="J118" t="s">
        <v>3</v>
      </c>
      <c r="K118" t="s">
        <v>4</v>
      </c>
      <c r="L118">
        <v>5.2</v>
      </c>
      <c r="M118">
        <v>2.4500000000000002</v>
      </c>
      <c r="N118">
        <v>2.48</v>
      </c>
      <c r="O118">
        <v>2.48</v>
      </c>
      <c r="P118" t="s">
        <v>7</v>
      </c>
      <c r="Q118" t="s">
        <v>14</v>
      </c>
      <c r="R118" t="s">
        <v>15</v>
      </c>
      <c r="S118">
        <v>0</v>
      </c>
    </row>
    <row r="119" spans="1:19" x14ac:dyDescent="0.3">
      <c r="A119">
        <v>118</v>
      </c>
      <c r="B119">
        <v>18.399999999999999</v>
      </c>
      <c r="C119" t="s">
        <v>11</v>
      </c>
      <c r="D119">
        <v>30045</v>
      </c>
      <c r="E119" t="s">
        <v>3</v>
      </c>
      <c r="F119">
        <v>3.17</v>
      </c>
      <c r="G119">
        <v>73</v>
      </c>
      <c r="H119">
        <v>2</v>
      </c>
      <c r="I119">
        <v>26</v>
      </c>
      <c r="J119" t="s">
        <v>4</v>
      </c>
      <c r="K119" t="s">
        <v>3</v>
      </c>
      <c r="L119">
        <v>2.5</v>
      </c>
      <c r="M119">
        <v>3.4</v>
      </c>
      <c r="N119">
        <v>2.71</v>
      </c>
      <c r="O119">
        <v>2.69</v>
      </c>
      <c r="P119" t="s">
        <v>7</v>
      </c>
      <c r="Q119" t="s">
        <v>13</v>
      </c>
      <c r="R119" t="s">
        <v>0</v>
      </c>
      <c r="S119">
        <v>0</v>
      </c>
    </row>
    <row r="120" spans="1:19" x14ac:dyDescent="0.3">
      <c r="A120">
        <v>119</v>
      </c>
      <c r="B120">
        <v>23.5</v>
      </c>
      <c r="C120" t="s">
        <v>5</v>
      </c>
      <c r="D120">
        <v>39789</v>
      </c>
      <c r="E120" t="s">
        <v>4</v>
      </c>
      <c r="F120">
        <v>2.97</v>
      </c>
      <c r="G120">
        <v>72.400000000000006</v>
      </c>
      <c r="H120">
        <v>2</v>
      </c>
      <c r="I120">
        <v>33.1</v>
      </c>
      <c r="J120" t="s">
        <v>4</v>
      </c>
      <c r="K120" t="s">
        <v>4</v>
      </c>
      <c r="L120">
        <v>4.5999999999999996</v>
      </c>
      <c r="M120">
        <v>2.9</v>
      </c>
      <c r="N120">
        <v>2.99</v>
      </c>
      <c r="O120">
        <v>2.96</v>
      </c>
      <c r="P120" t="s">
        <v>10</v>
      </c>
      <c r="Q120" t="s">
        <v>13</v>
      </c>
      <c r="R120" t="s">
        <v>9</v>
      </c>
      <c r="S120">
        <v>0</v>
      </c>
    </row>
    <row r="121" spans="1:19" x14ac:dyDescent="0.3">
      <c r="A121">
        <v>120</v>
      </c>
      <c r="B121">
        <v>22.7</v>
      </c>
      <c r="C121" t="s">
        <v>11</v>
      </c>
      <c r="E121" t="s">
        <v>4</v>
      </c>
      <c r="G121">
        <v>56.8</v>
      </c>
      <c r="H121">
        <v>0</v>
      </c>
      <c r="I121">
        <v>22.8</v>
      </c>
      <c r="J121" t="s">
        <v>4</v>
      </c>
      <c r="K121" t="s">
        <v>4</v>
      </c>
      <c r="M121">
        <v>0.5</v>
      </c>
      <c r="N121">
        <v>0</v>
      </c>
      <c r="O121">
        <v>0</v>
      </c>
      <c r="P121" t="s">
        <v>2</v>
      </c>
      <c r="Q121" t="s">
        <v>6</v>
      </c>
      <c r="R121" t="s">
        <v>0</v>
      </c>
      <c r="S121">
        <v>0</v>
      </c>
    </row>
    <row r="122" spans="1:19" x14ac:dyDescent="0.3">
      <c r="A122">
        <v>121</v>
      </c>
      <c r="B122">
        <v>22.7</v>
      </c>
      <c r="C122" t="s">
        <v>5</v>
      </c>
      <c r="D122">
        <v>72592</v>
      </c>
      <c r="E122" t="s">
        <v>3</v>
      </c>
      <c r="F122">
        <v>4.59</v>
      </c>
      <c r="G122">
        <v>75.8</v>
      </c>
      <c r="H122">
        <v>3</v>
      </c>
      <c r="I122">
        <v>50.7</v>
      </c>
      <c r="J122" t="s">
        <v>3</v>
      </c>
      <c r="K122" t="s">
        <v>4</v>
      </c>
      <c r="L122">
        <v>5.5</v>
      </c>
      <c r="M122">
        <v>2.31</v>
      </c>
      <c r="N122">
        <v>1.81</v>
      </c>
      <c r="O122">
        <v>1.83</v>
      </c>
      <c r="P122" t="s">
        <v>12</v>
      </c>
      <c r="Q122" t="s">
        <v>1</v>
      </c>
      <c r="R122" t="s">
        <v>9</v>
      </c>
      <c r="S122">
        <v>1</v>
      </c>
    </row>
    <row r="123" spans="1:19" x14ac:dyDescent="0.3">
      <c r="A123">
        <v>122</v>
      </c>
      <c r="B123">
        <v>19</v>
      </c>
      <c r="C123" t="s">
        <v>5</v>
      </c>
      <c r="D123">
        <v>41649</v>
      </c>
      <c r="E123" t="s">
        <v>4</v>
      </c>
      <c r="F123">
        <v>3.54</v>
      </c>
      <c r="G123">
        <v>84.3</v>
      </c>
      <c r="H123">
        <v>4</v>
      </c>
      <c r="I123">
        <v>44.8</v>
      </c>
      <c r="J123" t="s">
        <v>3</v>
      </c>
      <c r="K123" t="s">
        <v>3</v>
      </c>
      <c r="L123">
        <v>7.2</v>
      </c>
      <c r="M123">
        <v>2.54</v>
      </c>
      <c r="N123">
        <v>2.61</v>
      </c>
      <c r="O123">
        <v>2.67</v>
      </c>
      <c r="P123" t="s">
        <v>12</v>
      </c>
      <c r="Q123" t="s">
        <v>6</v>
      </c>
      <c r="R123" t="s">
        <v>17</v>
      </c>
      <c r="S123">
        <v>1</v>
      </c>
    </row>
    <row r="124" spans="1:19" x14ac:dyDescent="0.3">
      <c r="A124">
        <v>123</v>
      </c>
      <c r="B124">
        <v>24.1</v>
      </c>
      <c r="C124" t="s">
        <v>5</v>
      </c>
      <c r="D124">
        <v>55749</v>
      </c>
      <c r="E124" t="s">
        <v>4</v>
      </c>
      <c r="F124">
        <v>4.3899999999999997</v>
      </c>
      <c r="G124">
        <v>77.900000000000006</v>
      </c>
      <c r="H124">
        <v>0</v>
      </c>
      <c r="I124">
        <v>30.7</v>
      </c>
      <c r="J124" t="s">
        <v>3</v>
      </c>
      <c r="K124" t="s">
        <v>3</v>
      </c>
      <c r="L124">
        <v>4.7</v>
      </c>
      <c r="M124">
        <v>0</v>
      </c>
      <c r="N124">
        <v>0</v>
      </c>
      <c r="O124">
        <v>0</v>
      </c>
      <c r="P124" t="s">
        <v>7</v>
      </c>
      <c r="Q124" t="s">
        <v>1</v>
      </c>
      <c r="R124" t="s">
        <v>9</v>
      </c>
      <c r="S124">
        <v>0</v>
      </c>
    </row>
    <row r="125" spans="1:19" x14ac:dyDescent="0.3">
      <c r="A125">
        <v>124</v>
      </c>
      <c r="B125">
        <v>17.899999999999999</v>
      </c>
      <c r="C125" t="s">
        <v>5</v>
      </c>
      <c r="D125">
        <v>37016</v>
      </c>
      <c r="E125" t="s">
        <v>4</v>
      </c>
      <c r="F125">
        <v>3.45</v>
      </c>
      <c r="G125">
        <v>92.2</v>
      </c>
      <c r="H125">
        <v>1</v>
      </c>
      <c r="I125">
        <v>15.3</v>
      </c>
      <c r="J125" t="s">
        <v>4</v>
      </c>
      <c r="K125" t="s">
        <v>3</v>
      </c>
      <c r="L125">
        <v>4.8</v>
      </c>
      <c r="M125">
        <v>1.42</v>
      </c>
      <c r="N125">
        <v>1.18</v>
      </c>
      <c r="O125">
        <v>1.18</v>
      </c>
      <c r="P125" t="s">
        <v>2</v>
      </c>
      <c r="Q125" t="s">
        <v>14</v>
      </c>
      <c r="R125" t="s">
        <v>9</v>
      </c>
      <c r="S125">
        <v>0</v>
      </c>
    </row>
    <row r="126" spans="1:19" x14ac:dyDescent="0.3">
      <c r="A126">
        <v>125</v>
      </c>
      <c r="B126">
        <v>22.3</v>
      </c>
      <c r="C126" t="s">
        <v>11</v>
      </c>
      <c r="D126">
        <v>48773</v>
      </c>
      <c r="E126" t="s">
        <v>4</v>
      </c>
      <c r="F126">
        <v>5.87</v>
      </c>
      <c r="G126">
        <v>70.400000000000006</v>
      </c>
      <c r="H126">
        <v>2</v>
      </c>
      <c r="I126">
        <v>38.9</v>
      </c>
      <c r="J126" t="s">
        <v>3</v>
      </c>
      <c r="K126" t="s">
        <v>3</v>
      </c>
      <c r="L126">
        <v>4.5</v>
      </c>
      <c r="M126">
        <v>1.96</v>
      </c>
      <c r="N126">
        <v>1.85</v>
      </c>
      <c r="O126">
        <v>1.87</v>
      </c>
      <c r="P126" t="s">
        <v>7</v>
      </c>
      <c r="Q126" t="s">
        <v>1</v>
      </c>
      <c r="R126" t="s">
        <v>15</v>
      </c>
      <c r="S126">
        <v>1</v>
      </c>
    </row>
    <row r="127" spans="1:19" x14ac:dyDescent="0.3">
      <c r="A127">
        <v>126</v>
      </c>
      <c r="B127">
        <v>25.8</v>
      </c>
      <c r="C127" t="s">
        <v>11</v>
      </c>
      <c r="D127">
        <v>25000</v>
      </c>
      <c r="E127" t="s">
        <v>4</v>
      </c>
      <c r="F127">
        <v>5.64</v>
      </c>
      <c r="G127">
        <v>86.1</v>
      </c>
      <c r="H127">
        <v>3</v>
      </c>
      <c r="I127">
        <v>43</v>
      </c>
      <c r="J127" t="s">
        <v>4</v>
      </c>
      <c r="K127" t="s">
        <v>3</v>
      </c>
      <c r="L127">
        <v>5.9</v>
      </c>
      <c r="M127">
        <v>3.4</v>
      </c>
      <c r="N127">
        <v>3.39</v>
      </c>
      <c r="O127">
        <v>3.41</v>
      </c>
      <c r="P127" t="s">
        <v>7</v>
      </c>
      <c r="Q127" t="s">
        <v>13</v>
      </c>
      <c r="R127" t="s">
        <v>0</v>
      </c>
      <c r="S127">
        <v>0</v>
      </c>
    </row>
    <row r="128" spans="1:19" x14ac:dyDescent="0.3">
      <c r="A128">
        <v>127</v>
      </c>
      <c r="B128">
        <v>18.8</v>
      </c>
      <c r="C128" t="s">
        <v>5</v>
      </c>
      <c r="D128">
        <v>25000</v>
      </c>
      <c r="E128" t="s">
        <v>4</v>
      </c>
      <c r="F128">
        <v>4.1100000000000003</v>
      </c>
      <c r="G128">
        <v>79.099999999999994</v>
      </c>
      <c r="H128">
        <v>1</v>
      </c>
      <c r="I128">
        <v>18.899999999999999</v>
      </c>
      <c r="J128" t="s">
        <v>4</v>
      </c>
      <c r="K128" t="s">
        <v>3</v>
      </c>
      <c r="L128">
        <v>8.3000000000000007</v>
      </c>
      <c r="M128">
        <v>2.14</v>
      </c>
      <c r="N128">
        <v>1.9</v>
      </c>
      <c r="O128">
        <v>1.92</v>
      </c>
      <c r="P128" t="s">
        <v>12</v>
      </c>
      <c r="Q128" t="s">
        <v>14</v>
      </c>
      <c r="R128" t="s">
        <v>0</v>
      </c>
      <c r="S128">
        <v>0</v>
      </c>
    </row>
    <row r="129" spans="1:19" x14ac:dyDescent="0.3">
      <c r="A129">
        <v>128</v>
      </c>
      <c r="B129">
        <v>19.8</v>
      </c>
      <c r="C129" t="s">
        <v>11</v>
      </c>
      <c r="D129">
        <v>66695</v>
      </c>
      <c r="E129" t="s">
        <v>4</v>
      </c>
      <c r="F129">
        <v>5.37</v>
      </c>
      <c r="G129">
        <v>81.2</v>
      </c>
      <c r="H129">
        <v>0</v>
      </c>
      <c r="I129">
        <v>28.3</v>
      </c>
      <c r="J129" t="s">
        <v>3</v>
      </c>
      <c r="K129" t="s">
        <v>3</v>
      </c>
      <c r="L129">
        <v>1.3</v>
      </c>
      <c r="M129">
        <v>3.86</v>
      </c>
      <c r="N129">
        <v>4</v>
      </c>
      <c r="O129">
        <v>4</v>
      </c>
      <c r="P129" t="s">
        <v>2</v>
      </c>
      <c r="Q129" t="s">
        <v>13</v>
      </c>
      <c r="R129" t="s">
        <v>9</v>
      </c>
      <c r="S129">
        <v>0</v>
      </c>
    </row>
    <row r="130" spans="1:19" x14ac:dyDescent="0.3">
      <c r="A130">
        <v>129</v>
      </c>
      <c r="B130">
        <v>21.2</v>
      </c>
      <c r="C130" t="s">
        <v>11</v>
      </c>
      <c r="D130">
        <v>75799</v>
      </c>
      <c r="E130" t="s">
        <v>4</v>
      </c>
      <c r="F130">
        <v>3.83</v>
      </c>
      <c r="G130">
        <v>87.5</v>
      </c>
      <c r="H130">
        <v>1</v>
      </c>
      <c r="I130">
        <v>30.9</v>
      </c>
      <c r="J130" t="s">
        <v>3</v>
      </c>
      <c r="K130" t="s">
        <v>4</v>
      </c>
      <c r="L130">
        <v>4.5999999999999996</v>
      </c>
      <c r="M130">
        <v>1.93</v>
      </c>
      <c r="N130">
        <v>1.85</v>
      </c>
      <c r="O130">
        <v>1.8</v>
      </c>
      <c r="P130" t="s">
        <v>12</v>
      </c>
      <c r="Q130" t="s">
        <v>1</v>
      </c>
      <c r="R130" t="s">
        <v>15</v>
      </c>
      <c r="S130">
        <v>0</v>
      </c>
    </row>
    <row r="131" spans="1:19" x14ac:dyDescent="0.3">
      <c r="A131">
        <v>130</v>
      </c>
      <c r="B131">
        <v>19.899999999999999</v>
      </c>
      <c r="C131" t="s">
        <v>5</v>
      </c>
      <c r="D131">
        <v>25000</v>
      </c>
      <c r="E131" t="s">
        <v>4</v>
      </c>
      <c r="F131">
        <v>3.94</v>
      </c>
      <c r="G131">
        <v>60.9</v>
      </c>
      <c r="H131">
        <v>2</v>
      </c>
      <c r="I131">
        <v>43</v>
      </c>
      <c r="J131" t="s">
        <v>3</v>
      </c>
      <c r="K131" t="s">
        <v>3</v>
      </c>
      <c r="L131">
        <v>4.9000000000000004</v>
      </c>
      <c r="M131">
        <v>1.89</v>
      </c>
      <c r="N131">
        <v>1.9</v>
      </c>
      <c r="O131">
        <v>1.92</v>
      </c>
      <c r="P131" t="s">
        <v>10</v>
      </c>
      <c r="Q131" t="s">
        <v>1</v>
      </c>
      <c r="R131" t="s">
        <v>15</v>
      </c>
      <c r="S131">
        <v>1</v>
      </c>
    </row>
    <row r="132" spans="1:19" x14ac:dyDescent="0.3">
      <c r="A132">
        <v>131</v>
      </c>
      <c r="B132">
        <v>17.600000000000001</v>
      </c>
      <c r="C132" t="s">
        <v>11</v>
      </c>
      <c r="D132">
        <v>34539</v>
      </c>
      <c r="E132" t="s">
        <v>4</v>
      </c>
      <c r="F132">
        <v>1.19</v>
      </c>
      <c r="G132">
        <v>64.900000000000006</v>
      </c>
      <c r="H132">
        <v>1</v>
      </c>
      <c r="I132">
        <v>28.2</v>
      </c>
      <c r="J132" t="s">
        <v>3</v>
      </c>
      <c r="K132" t="s">
        <v>3</v>
      </c>
      <c r="L132">
        <v>1.7</v>
      </c>
      <c r="M132">
        <v>1.94</v>
      </c>
      <c r="N132">
        <v>1.85</v>
      </c>
      <c r="O132">
        <v>1.93</v>
      </c>
      <c r="P132" t="s">
        <v>10</v>
      </c>
      <c r="Q132" t="s">
        <v>8</v>
      </c>
      <c r="R132" t="s">
        <v>9</v>
      </c>
      <c r="S132">
        <v>0</v>
      </c>
    </row>
    <row r="133" spans="1:19" x14ac:dyDescent="0.3">
      <c r="A133">
        <v>132</v>
      </c>
      <c r="B133">
        <v>21.2</v>
      </c>
      <c r="C133" t="s">
        <v>5</v>
      </c>
      <c r="D133">
        <v>25000</v>
      </c>
      <c r="E133" t="s">
        <v>4</v>
      </c>
      <c r="F133">
        <v>4.66</v>
      </c>
      <c r="G133">
        <v>81.5</v>
      </c>
      <c r="H133">
        <v>2</v>
      </c>
      <c r="I133">
        <v>41.5</v>
      </c>
      <c r="J133" t="s">
        <v>3</v>
      </c>
      <c r="K133" t="s">
        <v>3</v>
      </c>
      <c r="L133">
        <v>5.3</v>
      </c>
      <c r="M133">
        <v>1.7</v>
      </c>
      <c r="N133">
        <v>1.5</v>
      </c>
      <c r="O133">
        <v>1.5</v>
      </c>
      <c r="P133" t="s">
        <v>7</v>
      </c>
      <c r="Q133" t="s">
        <v>14</v>
      </c>
      <c r="R133" t="s">
        <v>9</v>
      </c>
      <c r="S133">
        <v>0</v>
      </c>
    </row>
    <row r="134" spans="1:19" x14ac:dyDescent="0.3">
      <c r="A134">
        <v>133</v>
      </c>
      <c r="B134">
        <v>18.7</v>
      </c>
      <c r="C134" t="s">
        <v>11</v>
      </c>
      <c r="D134">
        <v>25000</v>
      </c>
      <c r="E134" t="s">
        <v>4</v>
      </c>
      <c r="F134">
        <v>4.03</v>
      </c>
      <c r="G134">
        <v>80.2</v>
      </c>
      <c r="H134">
        <v>2</v>
      </c>
      <c r="I134">
        <v>20.7</v>
      </c>
      <c r="J134" t="s">
        <v>3</v>
      </c>
      <c r="K134" t="s">
        <v>4</v>
      </c>
      <c r="L134">
        <v>4.9000000000000004</v>
      </c>
      <c r="M134">
        <v>2.2999999999999998</v>
      </c>
      <c r="N134">
        <v>2.2799999999999998</v>
      </c>
      <c r="O134">
        <v>2.2799999999999998</v>
      </c>
      <c r="P134" t="s">
        <v>2</v>
      </c>
      <c r="Q134" t="s">
        <v>1</v>
      </c>
      <c r="R134" t="s">
        <v>15</v>
      </c>
      <c r="S134">
        <v>0</v>
      </c>
    </row>
    <row r="135" spans="1:19" x14ac:dyDescent="0.3">
      <c r="A135">
        <v>134</v>
      </c>
      <c r="B135">
        <v>22</v>
      </c>
      <c r="C135" t="s">
        <v>5</v>
      </c>
      <c r="D135">
        <v>35274</v>
      </c>
      <c r="E135" t="s">
        <v>4</v>
      </c>
      <c r="F135">
        <v>5.14</v>
      </c>
      <c r="G135">
        <v>70.599999999999994</v>
      </c>
      <c r="H135">
        <v>3</v>
      </c>
      <c r="I135">
        <v>17.3</v>
      </c>
      <c r="J135" t="s">
        <v>3</v>
      </c>
      <c r="K135" t="s">
        <v>3</v>
      </c>
      <c r="L135">
        <v>4.7</v>
      </c>
      <c r="M135">
        <v>2.4500000000000002</v>
      </c>
      <c r="N135">
        <v>2.56</v>
      </c>
      <c r="O135">
        <v>2.56</v>
      </c>
      <c r="P135" t="s">
        <v>2</v>
      </c>
      <c r="Q135" t="s">
        <v>6</v>
      </c>
      <c r="R135" t="s">
        <v>15</v>
      </c>
      <c r="S135">
        <v>0</v>
      </c>
    </row>
    <row r="136" spans="1:19" x14ac:dyDescent="0.3">
      <c r="A136">
        <v>135</v>
      </c>
      <c r="B136">
        <v>19</v>
      </c>
      <c r="C136" t="s">
        <v>11</v>
      </c>
      <c r="D136">
        <v>58958</v>
      </c>
      <c r="E136" t="s">
        <v>4</v>
      </c>
      <c r="F136">
        <v>4.93</v>
      </c>
      <c r="G136">
        <v>98</v>
      </c>
      <c r="H136">
        <v>1</v>
      </c>
      <c r="I136">
        <v>52</v>
      </c>
      <c r="J136" t="s">
        <v>3</v>
      </c>
      <c r="K136" t="s">
        <v>3</v>
      </c>
      <c r="L136">
        <v>3.5</v>
      </c>
      <c r="M136">
        <v>2.8</v>
      </c>
      <c r="N136">
        <v>2.78</v>
      </c>
      <c r="O136">
        <v>2.72</v>
      </c>
      <c r="P136" t="s">
        <v>7</v>
      </c>
      <c r="Q136" t="s">
        <v>13</v>
      </c>
      <c r="R136" t="s">
        <v>0</v>
      </c>
      <c r="S136">
        <v>0</v>
      </c>
    </row>
    <row r="137" spans="1:19" x14ac:dyDescent="0.3">
      <c r="A137">
        <v>136</v>
      </c>
      <c r="B137">
        <v>24.4</v>
      </c>
      <c r="C137" t="s">
        <v>5</v>
      </c>
      <c r="D137">
        <v>38988</v>
      </c>
      <c r="E137" t="s">
        <v>4</v>
      </c>
      <c r="F137">
        <v>3.03</v>
      </c>
      <c r="G137">
        <v>72.7</v>
      </c>
      <c r="H137">
        <v>1</v>
      </c>
      <c r="I137">
        <v>14.3</v>
      </c>
      <c r="J137" t="s">
        <v>4</v>
      </c>
      <c r="K137" t="s">
        <v>4</v>
      </c>
      <c r="L137">
        <v>5.3</v>
      </c>
      <c r="M137">
        <v>1.89</v>
      </c>
      <c r="N137">
        <v>1.78</v>
      </c>
      <c r="O137">
        <v>1.79</v>
      </c>
      <c r="P137" t="s">
        <v>10</v>
      </c>
      <c r="Q137" t="s">
        <v>6</v>
      </c>
      <c r="R137" t="s">
        <v>0</v>
      </c>
      <c r="S137">
        <v>0</v>
      </c>
    </row>
    <row r="138" spans="1:19" x14ac:dyDescent="0.3">
      <c r="A138">
        <v>137</v>
      </c>
      <c r="B138">
        <v>19.3</v>
      </c>
      <c r="C138" t="s">
        <v>11</v>
      </c>
      <c r="D138">
        <v>25000</v>
      </c>
      <c r="E138" t="s">
        <v>4</v>
      </c>
      <c r="F138">
        <v>3.75</v>
      </c>
      <c r="G138">
        <v>77.7</v>
      </c>
      <c r="H138">
        <v>2</v>
      </c>
      <c r="I138">
        <v>21</v>
      </c>
      <c r="J138" t="s">
        <v>4</v>
      </c>
      <c r="K138" t="s">
        <v>3</v>
      </c>
      <c r="L138">
        <v>3.4</v>
      </c>
      <c r="M138">
        <v>2.1800000000000002</v>
      </c>
      <c r="N138">
        <v>2.2999999999999998</v>
      </c>
      <c r="O138">
        <v>2.29</v>
      </c>
      <c r="P138" t="s">
        <v>10</v>
      </c>
      <c r="Q138" t="s">
        <v>14</v>
      </c>
      <c r="R138" t="s">
        <v>16</v>
      </c>
      <c r="S138">
        <v>0</v>
      </c>
    </row>
    <row r="139" spans="1:19" x14ac:dyDescent="0.3">
      <c r="A139">
        <v>138</v>
      </c>
      <c r="B139">
        <v>20.3</v>
      </c>
      <c r="C139" t="s">
        <v>11</v>
      </c>
      <c r="D139">
        <v>40494</v>
      </c>
      <c r="E139" t="s">
        <v>3</v>
      </c>
      <c r="F139">
        <v>3.38</v>
      </c>
      <c r="G139">
        <v>91.2</v>
      </c>
      <c r="H139">
        <v>2</v>
      </c>
      <c r="I139">
        <v>39.4</v>
      </c>
      <c r="J139" t="s">
        <v>3</v>
      </c>
      <c r="K139" t="s">
        <v>4</v>
      </c>
      <c r="L139">
        <v>4</v>
      </c>
      <c r="M139">
        <v>1.9</v>
      </c>
      <c r="N139">
        <v>1.89</v>
      </c>
      <c r="O139">
        <v>1.88</v>
      </c>
      <c r="P139" t="s">
        <v>12</v>
      </c>
      <c r="Q139" t="s">
        <v>14</v>
      </c>
      <c r="R139" t="s">
        <v>9</v>
      </c>
      <c r="S139">
        <v>0</v>
      </c>
    </row>
    <row r="140" spans="1:19" x14ac:dyDescent="0.3">
      <c r="A140">
        <v>139</v>
      </c>
      <c r="B140">
        <v>22.8</v>
      </c>
      <c r="C140" t="s">
        <v>5</v>
      </c>
      <c r="D140">
        <v>25000</v>
      </c>
      <c r="E140" t="s">
        <v>4</v>
      </c>
      <c r="F140">
        <v>5.36</v>
      </c>
      <c r="G140">
        <v>76.599999999999994</v>
      </c>
      <c r="H140">
        <v>3</v>
      </c>
      <c r="I140">
        <v>23.6</v>
      </c>
      <c r="J140" t="s">
        <v>3</v>
      </c>
      <c r="K140" t="s">
        <v>3</v>
      </c>
      <c r="L140">
        <v>5.0999999999999996</v>
      </c>
      <c r="M140">
        <v>3.36</v>
      </c>
      <c r="N140">
        <v>3.88</v>
      </c>
      <c r="O140">
        <v>3.95</v>
      </c>
      <c r="P140" t="s">
        <v>10</v>
      </c>
      <c r="Q140" t="s">
        <v>1</v>
      </c>
      <c r="R140" t="s">
        <v>9</v>
      </c>
      <c r="S140">
        <v>0</v>
      </c>
    </row>
    <row r="141" spans="1:19" x14ac:dyDescent="0.3">
      <c r="A141">
        <v>140</v>
      </c>
      <c r="B141">
        <v>18.3</v>
      </c>
      <c r="C141" t="s">
        <v>5</v>
      </c>
      <c r="D141">
        <v>38073</v>
      </c>
      <c r="E141" t="s">
        <v>4</v>
      </c>
      <c r="F141">
        <v>6.05</v>
      </c>
      <c r="G141">
        <v>75.099999999999994</v>
      </c>
      <c r="H141">
        <v>1</v>
      </c>
      <c r="I141">
        <v>23.3</v>
      </c>
      <c r="J141" t="s">
        <v>3</v>
      </c>
      <c r="K141" t="s">
        <v>3</v>
      </c>
      <c r="L141">
        <v>7.3</v>
      </c>
      <c r="M141">
        <v>1.17</v>
      </c>
      <c r="N141">
        <v>0.89</v>
      </c>
      <c r="O141">
        <v>1.01</v>
      </c>
      <c r="P141" t="s">
        <v>10</v>
      </c>
      <c r="Q141" t="s">
        <v>8</v>
      </c>
      <c r="R141" t="s">
        <v>15</v>
      </c>
      <c r="S141">
        <v>0</v>
      </c>
    </row>
    <row r="142" spans="1:19" x14ac:dyDescent="0.3">
      <c r="A142">
        <v>141</v>
      </c>
      <c r="B142">
        <v>21.5</v>
      </c>
      <c r="C142" t="s">
        <v>5</v>
      </c>
      <c r="D142">
        <v>68726</v>
      </c>
      <c r="E142" t="s">
        <v>4</v>
      </c>
      <c r="F142">
        <v>5.04</v>
      </c>
      <c r="G142">
        <v>85.1</v>
      </c>
      <c r="H142">
        <v>1</v>
      </c>
      <c r="I142">
        <v>27.6</v>
      </c>
      <c r="J142" t="s">
        <v>4</v>
      </c>
      <c r="K142" t="s">
        <v>3</v>
      </c>
      <c r="L142">
        <v>6.2</v>
      </c>
      <c r="M142">
        <v>0.72</v>
      </c>
      <c r="N142">
        <v>0.87</v>
      </c>
      <c r="O142">
        <v>0.83</v>
      </c>
      <c r="P142" t="s">
        <v>10</v>
      </c>
      <c r="Q142" t="s">
        <v>14</v>
      </c>
      <c r="R142" t="s">
        <v>9</v>
      </c>
      <c r="S142">
        <v>1</v>
      </c>
    </row>
    <row r="143" spans="1:19" x14ac:dyDescent="0.3">
      <c r="A143">
        <v>142</v>
      </c>
      <c r="B143">
        <v>23.9</v>
      </c>
      <c r="C143" t="s">
        <v>11</v>
      </c>
      <c r="D143">
        <v>25000</v>
      </c>
      <c r="E143" t="s">
        <v>3</v>
      </c>
      <c r="F143">
        <v>6.58</v>
      </c>
      <c r="G143">
        <v>76.099999999999994</v>
      </c>
      <c r="H143">
        <v>1</v>
      </c>
      <c r="I143">
        <v>5</v>
      </c>
      <c r="J143" t="s">
        <v>3</v>
      </c>
      <c r="K143" t="s">
        <v>3</v>
      </c>
      <c r="L143">
        <v>6.6</v>
      </c>
      <c r="M143">
        <v>3.6</v>
      </c>
      <c r="N143">
        <v>3.93</v>
      </c>
      <c r="O143">
        <v>3.93</v>
      </c>
      <c r="P143" t="s">
        <v>2</v>
      </c>
      <c r="Q143" t="s">
        <v>14</v>
      </c>
      <c r="R143" t="s">
        <v>9</v>
      </c>
      <c r="S143">
        <v>0</v>
      </c>
    </row>
    <row r="144" spans="1:19" x14ac:dyDescent="0.3">
      <c r="A144">
        <v>143</v>
      </c>
      <c r="B144">
        <v>17.5</v>
      </c>
      <c r="C144" t="s">
        <v>5</v>
      </c>
      <c r="D144">
        <v>47971</v>
      </c>
      <c r="E144" t="s">
        <v>4</v>
      </c>
      <c r="F144">
        <v>4.68</v>
      </c>
      <c r="G144">
        <v>85.2</v>
      </c>
      <c r="H144">
        <v>2</v>
      </c>
      <c r="I144">
        <v>43.4</v>
      </c>
      <c r="J144" t="s">
        <v>3</v>
      </c>
      <c r="K144" t="s">
        <v>3</v>
      </c>
      <c r="L144">
        <v>9</v>
      </c>
      <c r="M144">
        <v>3.09</v>
      </c>
      <c r="N144">
        <v>3.01</v>
      </c>
      <c r="O144">
        <v>2.96</v>
      </c>
      <c r="P144" t="s">
        <v>12</v>
      </c>
      <c r="Q144" t="s">
        <v>13</v>
      </c>
      <c r="R144" t="s">
        <v>9</v>
      </c>
      <c r="S144">
        <v>0</v>
      </c>
    </row>
    <row r="145" spans="1:19" x14ac:dyDescent="0.3">
      <c r="A145">
        <v>144</v>
      </c>
      <c r="B145">
        <v>21.4</v>
      </c>
      <c r="C145" t="s">
        <v>11</v>
      </c>
      <c r="D145">
        <v>25000</v>
      </c>
      <c r="E145" t="s">
        <v>4</v>
      </c>
      <c r="F145">
        <v>2.73</v>
      </c>
      <c r="G145">
        <v>86.1</v>
      </c>
      <c r="H145">
        <v>1</v>
      </c>
      <c r="I145">
        <v>32.1</v>
      </c>
      <c r="J145" t="s">
        <v>3</v>
      </c>
      <c r="K145" t="s">
        <v>4</v>
      </c>
      <c r="L145">
        <v>6.3</v>
      </c>
      <c r="M145">
        <v>2.39</v>
      </c>
      <c r="N145">
        <v>2.62</v>
      </c>
      <c r="O145">
        <v>2.63</v>
      </c>
      <c r="P145" t="s">
        <v>10</v>
      </c>
      <c r="Q145" t="s">
        <v>8</v>
      </c>
      <c r="R145" t="s">
        <v>15</v>
      </c>
      <c r="S145">
        <v>0</v>
      </c>
    </row>
    <row r="146" spans="1:19" x14ac:dyDescent="0.3">
      <c r="A146">
        <v>145</v>
      </c>
      <c r="B146">
        <v>21.6</v>
      </c>
      <c r="C146" t="s">
        <v>5</v>
      </c>
      <c r="D146">
        <v>62131</v>
      </c>
      <c r="E146" t="s">
        <v>4</v>
      </c>
      <c r="F146">
        <v>2.2000000000000002</v>
      </c>
      <c r="G146">
        <v>85</v>
      </c>
      <c r="H146">
        <v>4</v>
      </c>
      <c r="I146">
        <v>20.3</v>
      </c>
      <c r="J146" t="s">
        <v>4</v>
      </c>
      <c r="K146" t="s">
        <v>3</v>
      </c>
      <c r="L146">
        <v>3.6</v>
      </c>
      <c r="M146">
        <v>0.9</v>
      </c>
      <c r="N146">
        <v>0.97</v>
      </c>
      <c r="O146">
        <v>0.97</v>
      </c>
      <c r="P146" t="s">
        <v>7</v>
      </c>
      <c r="Q146" t="s">
        <v>1</v>
      </c>
      <c r="R146" t="s">
        <v>15</v>
      </c>
      <c r="S146">
        <v>0</v>
      </c>
    </row>
    <row r="147" spans="1:19" x14ac:dyDescent="0.3">
      <c r="A147">
        <v>146</v>
      </c>
      <c r="B147">
        <v>22.7</v>
      </c>
      <c r="C147" t="s">
        <v>5</v>
      </c>
      <c r="D147">
        <v>25000</v>
      </c>
      <c r="E147" t="s">
        <v>4</v>
      </c>
      <c r="F147">
        <v>2.8</v>
      </c>
      <c r="G147">
        <v>91.4</v>
      </c>
      <c r="H147">
        <v>3</v>
      </c>
      <c r="I147">
        <v>9.4</v>
      </c>
      <c r="J147" t="s">
        <v>3</v>
      </c>
      <c r="K147" t="s">
        <v>4</v>
      </c>
      <c r="L147">
        <v>4.5</v>
      </c>
      <c r="M147">
        <v>2.11</v>
      </c>
      <c r="N147">
        <v>2.71</v>
      </c>
      <c r="O147">
        <v>2.73</v>
      </c>
      <c r="P147" t="s">
        <v>12</v>
      </c>
      <c r="Q147" t="s">
        <v>6</v>
      </c>
      <c r="R147" t="s">
        <v>0</v>
      </c>
      <c r="S147">
        <v>0</v>
      </c>
    </row>
    <row r="148" spans="1:19" x14ac:dyDescent="0.3">
      <c r="A148">
        <v>147</v>
      </c>
      <c r="B148">
        <v>18.3</v>
      </c>
      <c r="C148" t="s">
        <v>5</v>
      </c>
      <c r="D148">
        <v>25000</v>
      </c>
      <c r="E148" t="s">
        <v>4</v>
      </c>
      <c r="F148">
        <v>3.41</v>
      </c>
      <c r="G148">
        <v>78.900000000000006</v>
      </c>
      <c r="H148">
        <v>1</v>
      </c>
      <c r="I148">
        <v>13.6</v>
      </c>
      <c r="J148" t="s">
        <v>3</v>
      </c>
      <c r="K148" t="s">
        <v>4</v>
      </c>
      <c r="L148">
        <v>4</v>
      </c>
      <c r="M148">
        <v>1.81</v>
      </c>
      <c r="N148">
        <v>1.98</v>
      </c>
      <c r="O148">
        <v>1.91</v>
      </c>
      <c r="P148" t="s">
        <v>12</v>
      </c>
      <c r="Q148" t="s">
        <v>8</v>
      </c>
      <c r="R148" t="s">
        <v>15</v>
      </c>
      <c r="S148">
        <v>0</v>
      </c>
    </row>
    <row r="149" spans="1:19" x14ac:dyDescent="0.3">
      <c r="A149">
        <v>148</v>
      </c>
      <c r="B149">
        <v>18.100000000000001</v>
      </c>
      <c r="C149" t="s">
        <v>5</v>
      </c>
      <c r="D149">
        <v>45124</v>
      </c>
      <c r="E149" t="s">
        <v>4</v>
      </c>
      <c r="F149">
        <v>3.12</v>
      </c>
      <c r="G149">
        <v>78</v>
      </c>
      <c r="H149">
        <v>0</v>
      </c>
      <c r="I149">
        <v>10.9</v>
      </c>
      <c r="J149" t="s">
        <v>3</v>
      </c>
      <c r="K149" t="s">
        <v>4</v>
      </c>
      <c r="L149">
        <v>5.3</v>
      </c>
      <c r="M149">
        <v>2.68</v>
      </c>
      <c r="N149">
        <v>2.23</v>
      </c>
      <c r="O149">
        <v>2.27</v>
      </c>
      <c r="P149" t="s">
        <v>12</v>
      </c>
      <c r="Q149" t="s">
        <v>6</v>
      </c>
      <c r="R149" t="s">
        <v>0</v>
      </c>
      <c r="S149">
        <v>0</v>
      </c>
    </row>
    <row r="150" spans="1:19" x14ac:dyDescent="0.3">
      <c r="A150">
        <v>149</v>
      </c>
      <c r="B150">
        <v>22.1</v>
      </c>
      <c r="C150" t="s">
        <v>11</v>
      </c>
      <c r="D150">
        <v>36994</v>
      </c>
      <c r="E150" t="s">
        <v>4</v>
      </c>
      <c r="F150">
        <v>4.07</v>
      </c>
      <c r="G150">
        <v>81.3</v>
      </c>
      <c r="H150">
        <v>3</v>
      </c>
      <c r="I150">
        <v>32.700000000000003</v>
      </c>
      <c r="J150" t="s">
        <v>3</v>
      </c>
      <c r="K150" t="s">
        <v>3</v>
      </c>
      <c r="L150">
        <v>4.8</v>
      </c>
      <c r="M150">
        <v>2.89</v>
      </c>
      <c r="N150">
        <v>3.07</v>
      </c>
      <c r="O150">
        <v>3.09</v>
      </c>
      <c r="P150" t="s">
        <v>12</v>
      </c>
      <c r="Q150" t="s">
        <v>13</v>
      </c>
      <c r="R150" t="s">
        <v>15</v>
      </c>
      <c r="S150">
        <v>0</v>
      </c>
    </row>
    <row r="151" spans="1:19" x14ac:dyDescent="0.3">
      <c r="A151">
        <v>150</v>
      </c>
      <c r="B151">
        <v>21.7</v>
      </c>
      <c r="C151" t="s">
        <v>11</v>
      </c>
      <c r="D151">
        <v>25000</v>
      </c>
      <c r="E151" t="s">
        <v>4</v>
      </c>
      <c r="F151">
        <v>3.77</v>
      </c>
      <c r="G151">
        <v>59.4</v>
      </c>
      <c r="H151">
        <v>5</v>
      </c>
      <c r="I151">
        <v>32.799999999999997</v>
      </c>
      <c r="J151" t="s">
        <v>3</v>
      </c>
      <c r="K151" t="s">
        <v>3</v>
      </c>
      <c r="L151">
        <v>3.8</v>
      </c>
      <c r="M151">
        <v>3.15</v>
      </c>
      <c r="N151">
        <v>3.26</v>
      </c>
      <c r="O151">
        <v>3.26</v>
      </c>
      <c r="P151" t="s">
        <v>2</v>
      </c>
      <c r="Q151" t="s">
        <v>14</v>
      </c>
      <c r="R151" t="s">
        <v>9</v>
      </c>
      <c r="S151">
        <v>0</v>
      </c>
    </row>
    <row r="152" spans="1:19" x14ac:dyDescent="0.3">
      <c r="A152">
        <v>151</v>
      </c>
      <c r="B152">
        <v>21.6</v>
      </c>
      <c r="C152" t="s">
        <v>5</v>
      </c>
      <c r="D152">
        <v>25000</v>
      </c>
      <c r="E152" t="s">
        <v>4</v>
      </c>
      <c r="F152">
        <v>4.0999999999999996</v>
      </c>
      <c r="G152">
        <v>83.7</v>
      </c>
      <c r="H152">
        <v>0</v>
      </c>
      <c r="I152">
        <v>37.299999999999997</v>
      </c>
      <c r="J152" t="s">
        <v>4</v>
      </c>
      <c r="K152" t="s">
        <v>4</v>
      </c>
      <c r="L152">
        <v>7.2</v>
      </c>
      <c r="M152">
        <v>2.21</v>
      </c>
      <c r="N152">
        <v>2.5499999999999998</v>
      </c>
      <c r="O152">
        <v>2.5299999999999998</v>
      </c>
      <c r="P152" t="s">
        <v>7</v>
      </c>
      <c r="Q152" t="s">
        <v>14</v>
      </c>
      <c r="R152" t="s">
        <v>15</v>
      </c>
      <c r="S152">
        <v>0</v>
      </c>
    </row>
    <row r="153" spans="1:19" x14ac:dyDescent="0.3">
      <c r="A153">
        <v>152</v>
      </c>
      <c r="B153">
        <v>21.8</v>
      </c>
      <c r="C153" t="s">
        <v>11</v>
      </c>
      <c r="D153">
        <v>26569</v>
      </c>
      <c r="E153" t="s">
        <v>4</v>
      </c>
      <c r="F153">
        <v>7.17</v>
      </c>
      <c r="G153">
        <v>79.400000000000006</v>
      </c>
      <c r="H153">
        <v>2</v>
      </c>
      <c r="I153">
        <v>38.799999999999997</v>
      </c>
      <c r="J153" t="s">
        <v>4</v>
      </c>
      <c r="K153" t="s">
        <v>4</v>
      </c>
      <c r="L153">
        <v>7.3</v>
      </c>
      <c r="M153">
        <v>0.92</v>
      </c>
      <c r="N153">
        <v>1.25</v>
      </c>
      <c r="O153">
        <v>1.25</v>
      </c>
      <c r="P153" t="s">
        <v>2</v>
      </c>
      <c r="Q153" t="s">
        <v>8</v>
      </c>
      <c r="R153" t="s">
        <v>9</v>
      </c>
      <c r="S153">
        <v>0</v>
      </c>
    </row>
    <row r="154" spans="1:19" x14ac:dyDescent="0.3">
      <c r="A154">
        <v>153</v>
      </c>
      <c r="B154">
        <v>19.5</v>
      </c>
      <c r="C154" t="s">
        <v>5</v>
      </c>
      <c r="D154">
        <v>25000</v>
      </c>
      <c r="E154" t="s">
        <v>4</v>
      </c>
      <c r="F154">
        <v>5.14</v>
      </c>
      <c r="G154">
        <v>85.1</v>
      </c>
      <c r="H154">
        <v>1</v>
      </c>
      <c r="I154">
        <v>37.5</v>
      </c>
      <c r="J154" t="s">
        <v>4</v>
      </c>
      <c r="K154" t="s">
        <v>4</v>
      </c>
      <c r="L154">
        <v>5.8</v>
      </c>
      <c r="M154">
        <v>3.84</v>
      </c>
      <c r="N154">
        <v>3.78</v>
      </c>
      <c r="O154">
        <v>3.86</v>
      </c>
      <c r="P154" t="s">
        <v>7</v>
      </c>
      <c r="Q154" t="s">
        <v>6</v>
      </c>
      <c r="R154" t="s">
        <v>0</v>
      </c>
      <c r="S154">
        <v>0</v>
      </c>
    </row>
    <row r="155" spans="1:19" x14ac:dyDescent="0.3">
      <c r="A155">
        <v>154</v>
      </c>
      <c r="B155">
        <v>21.5</v>
      </c>
      <c r="C155" t="s">
        <v>11</v>
      </c>
      <c r="D155">
        <v>25000</v>
      </c>
      <c r="E155" t="s">
        <v>4</v>
      </c>
      <c r="F155">
        <v>4.3499999999999996</v>
      </c>
      <c r="G155">
        <v>74.8</v>
      </c>
      <c r="H155">
        <v>1</v>
      </c>
      <c r="I155">
        <v>48.5</v>
      </c>
      <c r="J155" t="s">
        <v>3</v>
      </c>
      <c r="K155" t="s">
        <v>3</v>
      </c>
      <c r="L155">
        <v>3.7</v>
      </c>
      <c r="M155">
        <v>3.68</v>
      </c>
      <c r="N155">
        <v>3.49</v>
      </c>
      <c r="O155">
        <v>3.42</v>
      </c>
      <c r="P155" t="s">
        <v>12</v>
      </c>
      <c r="Q155" t="s">
        <v>1</v>
      </c>
      <c r="R155" t="s">
        <v>9</v>
      </c>
      <c r="S155">
        <v>0</v>
      </c>
    </row>
    <row r="156" spans="1:19" x14ac:dyDescent="0.3">
      <c r="A156">
        <v>155</v>
      </c>
      <c r="B156">
        <v>21.6</v>
      </c>
      <c r="C156" t="s">
        <v>5</v>
      </c>
      <c r="D156">
        <v>31868</v>
      </c>
      <c r="E156" t="s">
        <v>4</v>
      </c>
      <c r="F156">
        <v>5.38</v>
      </c>
      <c r="G156">
        <v>92.8</v>
      </c>
      <c r="H156">
        <v>4</v>
      </c>
      <c r="I156">
        <v>44.3</v>
      </c>
      <c r="J156" t="s">
        <v>3</v>
      </c>
      <c r="K156" t="s">
        <v>4</v>
      </c>
      <c r="L156">
        <v>5.7</v>
      </c>
      <c r="M156">
        <v>4</v>
      </c>
      <c r="N156">
        <v>4</v>
      </c>
      <c r="O156">
        <v>4</v>
      </c>
      <c r="P156" t="s">
        <v>2</v>
      </c>
      <c r="Q156" t="s">
        <v>8</v>
      </c>
      <c r="R156" t="s">
        <v>9</v>
      </c>
      <c r="S156">
        <v>0</v>
      </c>
    </row>
    <row r="157" spans="1:19" x14ac:dyDescent="0.3">
      <c r="A157">
        <v>156</v>
      </c>
      <c r="B157">
        <v>19.399999999999999</v>
      </c>
      <c r="C157" t="s">
        <v>11</v>
      </c>
      <c r="D157">
        <v>25000</v>
      </c>
      <c r="E157" t="s">
        <v>3</v>
      </c>
      <c r="F157">
        <v>2.95</v>
      </c>
      <c r="G157">
        <v>80.3</v>
      </c>
      <c r="H157">
        <v>2</v>
      </c>
      <c r="I157">
        <v>41.5</v>
      </c>
      <c r="J157" t="s">
        <v>4</v>
      </c>
      <c r="K157" t="s">
        <v>3</v>
      </c>
      <c r="L157">
        <v>4.4000000000000004</v>
      </c>
      <c r="M157">
        <v>3.72</v>
      </c>
      <c r="N157">
        <v>3.87</v>
      </c>
      <c r="O157">
        <v>3.87</v>
      </c>
      <c r="P157" t="s">
        <v>2</v>
      </c>
      <c r="Q157" t="s">
        <v>8</v>
      </c>
      <c r="R157" t="s">
        <v>0</v>
      </c>
      <c r="S157">
        <v>0</v>
      </c>
    </row>
    <row r="158" spans="1:19" x14ac:dyDescent="0.3">
      <c r="A158">
        <v>157</v>
      </c>
      <c r="B158">
        <v>25.1</v>
      </c>
      <c r="C158" t="s">
        <v>11</v>
      </c>
      <c r="D158">
        <v>38404</v>
      </c>
      <c r="E158" t="s">
        <v>4</v>
      </c>
      <c r="F158">
        <v>2.9</v>
      </c>
      <c r="G158">
        <v>88.7</v>
      </c>
      <c r="H158">
        <v>1</v>
      </c>
      <c r="I158">
        <v>32.799999999999997</v>
      </c>
      <c r="J158" t="s">
        <v>3</v>
      </c>
      <c r="K158" t="s">
        <v>3</v>
      </c>
      <c r="L158">
        <v>7.8</v>
      </c>
      <c r="M158">
        <v>0.63</v>
      </c>
      <c r="N158">
        <v>0.88</v>
      </c>
      <c r="O158">
        <v>0.88</v>
      </c>
      <c r="P158" t="s">
        <v>2</v>
      </c>
      <c r="Q158" t="s">
        <v>8</v>
      </c>
      <c r="R158" t="s">
        <v>16</v>
      </c>
      <c r="S158">
        <v>1</v>
      </c>
    </row>
    <row r="159" spans="1:19" x14ac:dyDescent="0.3">
      <c r="A159">
        <v>158</v>
      </c>
      <c r="B159">
        <v>22</v>
      </c>
      <c r="C159" t="s">
        <v>5</v>
      </c>
      <c r="D159">
        <v>72699</v>
      </c>
      <c r="E159" t="s">
        <v>4</v>
      </c>
      <c r="F159">
        <v>5.19</v>
      </c>
      <c r="G159">
        <v>77.900000000000006</v>
      </c>
      <c r="H159">
        <v>2</v>
      </c>
      <c r="I159">
        <v>38.6</v>
      </c>
      <c r="J159" t="s">
        <v>3</v>
      </c>
      <c r="K159" t="s">
        <v>3</v>
      </c>
      <c r="L159">
        <v>3.3</v>
      </c>
      <c r="M159">
        <v>3.6</v>
      </c>
      <c r="N159">
        <v>3.55</v>
      </c>
      <c r="O159">
        <v>3.55</v>
      </c>
      <c r="P159" t="s">
        <v>2</v>
      </c>
      <c r="Q159" t="s">
        <v>13</v>
      </c>
      <c r="R159" t="s">
        <v>0</v>
      </c>
      <c r="S159">
        <v>0</v>
      </c>
    </row>
    <row r="160" spans="1:19" x14ac:dyDescent="0.3">
      <c r="A160">
        <v>159</v>
      </c>
      <c r="B160">
        <v>18.399999999999999</v>
      </c>
      <c r="C160" t="s">
        <v>11</v>
      </c>
      <c r="D160">
        <v>27197</v>
      </c>
      <c r="E160" t="s">
        <v>4</v>
      </c>
      <c r="F160">
        <v>4</v>
      </c>
      <c r="G160">
        <v>85.7</v>
      </c>
      <c r="H160">
        <v>2</v>
      </c>
      <c r="I160">
        <v>25.1</v>
      </c>
      <c r="J160" t="s">
        <v>3</v>
      </c>
      <c r="K160" t="s">
        <v>3</v>
      </c>
      <c r="L160">
        <v>6.7</v>
      </c>
      <c r="M160">
        <v>2.34</v>
      </c>
      <c r="N160">
        <v>2.4500000000000002</v>
      </c>
      <c r="O160">
        <v>2.42</v>
      </c>
      <c r="P160" t="s">
        <v>10</v>
      </c>
      <c r="Q160" t="s">
        <v>6</v>
      </c>
      <c r="R160" t="s">
        <v>17</v>
      </c>
      <c r="S160">
        <v>0</v>
      </c>
    </row>
    <row r="161" spans="1:19" x14ac:dyDescent="0.3">
      <c r="A161">
        <v>160</v>
      </c>
      <c r="B161">
        <v>22.4</v>
      </c>
      <c r="C161" t="s">
        <v>5</v>
      </c>
      <c r="D161">
        <v>32148</v>
      </c>
      <c r="E161" t="s">
        <v>4</v>
      </c>
      <c r="F161">
        <v>4.16</v>
      </c>
      <c r="G161">
        <v>69.599999999999994</v>
      </c>
      <c r="H161">
        <v>0</v>
      </c>
      <c r="I161">
        <v>27.3</v>
      </c>
      <c r="J161" t="s">
        <v>4</v>
      </c>
      <c r="K161" t="s">
        <v>4</v>
      </c>
      <c r="L161">
        <v>6.6</v>
      </c>
      <c r="M161">
        <v>1.7</v>
      </c>
      <c r="N161">
        <v>1.54</v>
      </c>
      <c r="O161">
        <v>1.54</v>
      </c>
      <c r="P161" t="s">
        <v>2</v>
      </c>
      <c r="Q161" t="s">
        <v>8</v>
      </c>
      <c r="R161" t="s">
        <v>15</v>
      </c>
      <c r="S161">
        <v>0</v>
      </c>
    </row>
    <row r="162" spans="1:19" x14ac:dyDescent="0.3">
      <c r="A162">
        <v>161</v>
      </c>
      <c r="B162">
        <v>18.899999999999999</v>
      </c>
      <c r="C162" t="s">
        <v>5</v>
      </c>
      <c r="D162">
        <v>99793</v>
      </c>
      <c r="E162" t="s">
        <v>4</v>
      </c>
      <c r="F162">
        <v>2.5099999999999998</v>
      </c>
      <c r="G162">
        <v>64.400000000000006</v>
      </c>
      <c r="H162">
        <v>4</v>
      </c>
      <c r="I162">
        <v>50.7</v>
      </c>
      <c r="J162" t="s">
        <v>3</v>
      </c>
      <c r="K162" t="s">
        <v>4</v>
      </c>
      <c r="L162">
        <v>7.1</v>
      </c>
      <c r="M162">
        <v>2.5099999999999998</v>
      </c>
      <c r="N162">
        <v>2.29</v>
      </c>
      <c r="O162">
        <v>2.29</v>
      </c>
      <c r="P162" t="s">
        <v>2</v>
      </c>
      <c r="Q162" t="s">
        <v>13</v>
      </c>
      <c r="R162" t="s">
        <v>15</v>
      </c>
      <c r="S162">
        <v>0</v>
      </c>
    </row>
    <row r="163" spans="1:19" x14ac:dyDescent="0.3">
      <c r="A163">
        <v>162</v>
      </c>
      <c r="B163">
        <v>22.7</v>
      </c>
      <c r="C163" t="s">
        <v>5</v>
      </c>
      <c r="D163">
        <v>25000</v>
      </c>
      <c r="E163" t="s">
        <v>4</v>
      </c>
      <c r="F163">
        <v>3.38</v>
      </c>
      <c r="G163">
        <v>80.3</v>
      </c>
      <c r="H163">
        <v>1</v>
      </c>
      <c r="I163">
        <v>23.3</v>
      </c>
      <c r="J163" t="s">
        <v>3</v>
      </c>
      <c r="K163" t="s">
        <v>3</v>
      </c>
      <c r="L163">
        <v>5.9</v>
      </c>
      <c r="M163">
        <v>2.79</v>
      </c>
      <c r="N163">
        <v>2.78</v>
      </c>
      <c r="O163">
        <v>2.77</v>
      </c>
      <c r="P163" t="s">
        <v>10</v>
      </c>
      <c r="Q163" t="s">
        <v>8</v>
      </c>
      <c r="R163" t="s">
        <v>0</v>
      </c>
      <c r="S163">
        <v>0</v>
      </c>
    </row>
    <row r="164" spans="1:19" x14ac:dyDescent="0.3">
      <c r="A164">
        <v>163</v>
      </c>
      <c r="B164">
        <v>23.5</v>
      </c>
      <c r="C164" t="s">
        <v>5</v>
      </c>
      <c r="D164">
        <v>60763</v>
      </c>
      <c r="E164" t="s">
        <v>4</v>
      </c>
      <c r="F164">
        <v>3.47</v>
      </c>
      <c r="G164">
        <v>81.8</v>
      </c>
      <c r="H164">
        <v>1</v>
      </c>
      <c r="I164">
        <v>22.4</v>
      </c>
      <c r="J164" t="s">
        <v>4</v>
      </c>
      <c r="K164" t="s">
        <v>3</v>
      </c>
      <c r="L164">
        <v>4.9000000000000004</v>
      </c>
      <c r="M164">
        <v>1.29</v>
      </c>
      <c r="N164">
        <v>1.0900000000000001</v>
      </c>
      <c r="O164">
        <v>1.1599999999999999</v>
      </c>
      <c r="P164" t="s">
        <v>12</v>
      </c>
      <c r="Q164" t="s">
        <v>14</v>
      </c>
      <c r="R164" t="s">
        <v>9</v>
      </c>
      <c r="S164">
        <v>0</v>
      </c>
    </row>
    <row r="165" spans="1:19" x14ac:dyDescent="0.3">
      <c r="A165">
        <v>164</v>
      </c>
      <c r="B165">
        <v>19.2</v>
      </c>
      <c r="C165" t="s">
        <v>5</v>
      </c>
      <c r="D165">
        <v>56529</v>
      </c>
      <c r="E165" t="s">
        <v>4</v>
      </c>
      <c r="F165">
        <v>3.37</v>
      </c>
      <c r="G165">
        <v>81.2</v>
      </c>
      <c r="H165">
        <v>1</v>
      </c>
      <c r="I165">
        <v>25.7</v>
      </c>
      <c r="J165" t="s">
        <v>3</v>
      </c>
      <c r="K165" t="s">
        <v>3</v>
      </c>
      <c r="L165">
        <v>9.8000000000000007</v>
      </c>
      <c r="M165">
        <v>1.17</v>
      </c>
      <c r="N165">
        <v>1.01</v>
      </c>
      <c r="O165">
        <v>1.06</v>
      </c>
      <c r="P165" t="s">
        <v>12</v>
      </c>
      <c r="Q165" t="s">
        <v>8</v>
      </c>
      <c r="R165" t="s">
        <v>9</v>
      </c>
      <c r="S165">
        <v>1</v>
      </c>
    </row>
    <row r="166" spans="1:19" x14ac:dyDescent="0.3">
      <c r="A166">
        <v>165</v>
      </c>
      <c r="B166">
        <v>23.1</v>
      </c>
      <c r="C166" t="s">
        <v>5</v>
      </c>
      <c r="D166">
        <v>49642</v>
      </c>
      <c r="E166" t="s">
        <v>4</v>
      </c>
      <c r="F166">
        <v>6.79</v>
      </c>
      <c r="G166">
        <v>79.7</v>
      </c>
      <c r="H166">
        <v>3</v>
      </c>
      <c r="I166">
        <v>23.4</v>
      </c>
      <c r="J166" t="s">
        <v>4</v>
      </c>
      <c r="K166" t="s">
        <v>3</v>
      </c>
      <c r="L166">
        <v>3.9</v>
      </c>
      <c r="M166">
        <v>2.11</v>
      </c>
      <c r="N166">
        <v>2.14</v>
      </c>
      <c r="O166">
        <v>2.1800000000000002</v>
      </c>
      <c r="P166" t="s">
        <v>10</v>
      </c>
      <c r="Q166" t="s">
        <v>13</v>
      </c>
      <c r="R166" t="s">
        <v>0</v>
      </c>
      <c r="S166">
        <v>0</v>
      </c>
    </row>
    <row r="167" spans="1:19" x14ac:dyDescent="0.3">
      <c r="A167">
        <v>166</v>
      </c>
      <c r="B167">
        <v>21.9</v>
      </c>
      <c r="C167" t="s">
        <v>5</v>
      </c>
      <c r="D167">
        <v>64541</v>
      </c>
      <c r="E167" t="s">
        <v>4</v>
      </c>
      <c r="F167">
        <v>6.76</v>
      </c>
      <c r="G167">
        <v>78.8</v>
      </c>
      <c r="H167">
        <v>2</v>
      </c>
      <c r="I167">
        <v>24.4</v>
      </c>
      <c r="J167" t="s">
        <v>3</v>
      </c>
      <c r="K167" t="s">
        <v>3</v>
      </c>
      <c r="L167">
        <v>6.8</v>
      </c>
      <c r="M167">
        <v>2.74</v>
      </c>
      <c r="N167">
        <v>2.61</v>
      </c>
      <c r="O167">
        <v>2.62</v>
      </c>
      <c r="P167" t="s">
        <v>10</v>
      </c>
      <c r="Q167" t="s">
        <v>14</v>
      </c>
      <c r="R167" t="s">
        <v>9</v>
      </c>
      <c r="S167">
        <v>0</v>
      </c>
    </row>
    <row r="168" spans="1:19" x14ac:dyDescent="0.3">
      <c r="A168">
        <v>167</v>
      </c>
      <c r="B168">
        <v>22.8</v>
      </c>
      <c r="C168" t="s">
        <v>5</v>
      </c>
      <c r="D168">
        <v>35184</v>
      </c>
      <c r="E168" t="s">
        <v>4</v>
      </c>
      <c r="F168">
        <v>5.48</v>
      </c>
      <c r="G168">
        <v>87.4</v>
      </c>
      <c r="H168">
        <v>1</v>
      </c>
      <c r="I168">
        <v>32.9</v>
      </c>
      <c r="J168" t="s">
        <v>4</v>
      </c>
      <c r="K168" t="s">
        <v>4</v>
      </c>
      <c r="L168">
        <v>5.5</v>
      </c>
      <c r="M168">
        <v>2.56</v>
      </c>
      <c r="N168">
        <v>3.08</v>
      </c>
      <c r="O168">
        <v>3.08</v>
      </c>
      <c r="P168" t="s">
        <v>2</v>
      </c>
      <c r="Q168" t="s">
        <v>1</v>
      </c>
      <c r="R168" t="s">
        <v>15</v>
      </c>
      <c r="S168">
        <v>0</v>
      </c>
    </row>
    <row r="169" spans="1:19" x14ac:dyDescent="0.3">
      <c r="A169">
        <v>168</v>
      </c>
      <c r="B169">
        <v>25.2</v>
      </c>
      <c r="C169" t="s">
        <v>11</v>
      </c>
      <c r="D169">
        <v>25000</v>
      </c>
      <c r="E169" t="s">
        <v>4</v>
      </c>
      <c r="F169">
        <v>4.13</v>
      </c>
      <c r="G169">
        <v>96.3</v>
      </c>
      <c r="H169">
        <v>0</v>
      </c>
      <c r="I169">
        <v>33.299999999999997</v>
      </c>
      <c r="J169" t="s">
        <v>3</v>
      </c>
      <c r="K169" t="s">
        <v>3</v>
      </c>
      <c r="L169">
        <v>6.1</v>
      </c>
      <c r="M169">
        <v>2.2400000000000002</v>
      </c>
      <c r="N169">
        <v>2.25</v>
      </c>
      <c r="O169">
        <v>2.2400000000000002</v>
      </c>
      <c r="P169" t="s">
        <v>10</v>
      </c>
      <c r="Q169" t="s">
        <v>6</v>
      </c>
      <c r="R169" t="s">
        <v>17</v>
      </c>
      <c r="S169">
        <v>1</v>
      </c>
    </row>
    <row r="170" spans="1:19" x14ac:dyDescent="0.3">
      <c r="A170">
        <v>169</v>
      </c>
      <c r="B170">
        <v>20.5</v>
      </c>
      <c r="C170" t="s">
        <v>11</v>
      </c>
      <c r="D170">
        <v>57339</v>
      </c>
      <c r="E170" t="s">
        <v>4</v>
      </c>
      <c r="F170">
        <v>3.24</v>
      </c>
      <c r="G170">
        <v>100</v>
      </c>
      <c r="H170">
        <v>2</v>
      </c>
      <c r="I170">
        <v>40.9</v>
      </c>
      <c r="J170" t="s">
        <v>3</v>
      </c>
      <c r="K170" t="s">
        <v>4</v>
      </c>
      <c r="L170">
        <v>6.1</v>
      </c>
      <c r="M170">
        <v>4</v>
      </c>
      <c r="N170">
        <v>4</v>
      </c>
      <c r="O170">
        <v>4</v>
      </c>
      <c r="P170" t="s">
        <v>12</v>
      </c>
      <c r="Q170" t="s">
        <v>1</v>
      </c>
      <c r="R170" t="s">
        <v>9</v>
      </c>
      <c r="S170">
        <v>0</v>
      </c>
    </row>
    <row r="171" spans="1:19" x14ac:dyDescent="0.3">
      <c r="A171">
        <v>170</v>
      </c>
      <c r="B171">
        <v>19.3</v>
      </c>
      <c r="C171" t="s">
        <v>5</v>
      </c>
      <c r="D171">
        <v>58671</v>
      </c>
      <c r="E171" t="s">
        <v>4</v>
      </c>
      <c r="F171">
        <v>2.65</v>
      </c>
      <c r="G171">
        <v>90.8</v>
      </c>
      <c r="H171">
        <v>1</v>
      </c>
      <c r="I171">
        <v>56.3</v>
      </c>
      <c r="J171" t="s">
        <v>4</v>
      </c>
      <c r="K171" t="s">
        <v>3</v>
      </c>
      <c r="L171">
        <v>3.6</v>
      </c>
      <c r="M171">
        <v>4</v>
      </c>
      <c r="N171">
        <v>3.78</v>
      </c>
      <c r="O171">
        <v>3.81</v>
      </c>
      <c r="P171" t="s">
        <v>10</v>
      </c>
      <c r="Q171" t="s">
        <v>1</v>
      </c>
      <c r="R171" t="s">
        <v>9</v>
      </c>
      <c r="S171">
        <v>0</v>
      </c>
    </row>
    <row r="172" spans="1:19" x14ac:dyDescent="0.3">
      <c r="A172">
        <v>171</v>
      </c>
      <c r="B172">
        <v>19</v>
      </c>
      <c r="C172" t="s">
        <v>5</v>
      </c>
      <c r="D172">
        <v>57710</v>
      </c>
      <c r="E172" t="s">
        <v>4</v>
      </c>
      <c r="F172">
        <v>4.4400000000000004</v>
      </c>
      <c r="G172">
        <v>63.7</v>
      </c>
      <c r="H172">
        <v>0</v>
      </c>
      <c r="I172">
        <v>25.6</v>
      </c>
      <c r="J172" t="s">
        <v>4</v>
      </c>
      <c r="K172" t="s">
        <v>4</v>
      </c>
      <c r="L172">
        <v>3.1</v>
      </c>
      <c r="M172">
        <v>0.91</v>
      </c>
      <c r="N172">
        <v>1.01</v>
      </c>
      <c r="O172">
        <v>0.97</v>
      </c>
      <c r="P172" t="s">
        <v>10</v>
      </c>
      <c r="Q172" t="s">
        <v>13</v>
      </c>
      <c r="R172" t="s">
        <v>9</v>
      </c>
      <c r="S172">
        <v>0</v>
      </c>
    </row>
    <row r="173" spans="1:19" x14ac:dyDescent="0.3">
      <c r="A173">
        <v>172</v>
      </c>
      <c r="B173">
        <v>19.2</v>
      </c>
      <c r="C173" t="s">
        <v>5</v>
      </c>
      <c r="D173">
        <v>30537</v>
      </c>
      <c r="E173" t="s">
        <v>3</v>
      </c>
      <c r="F173">
        <v>5.66</v>
      </c>
      <c r="G173">
        <v>90.4</v>
      </c>
      <c r="H173">
        <v>0</v>
      </c>
      <c r="I173">
        <v>29.2</v>
      </c>
      <c r="J173" t="s">
        <v>4</v>
      </c>
      <c r="K173" t="s">
        <v>4</v>
      </c>
      <c r="L173">
        <v>3.2</v>
      </c>
      <c r="M173">
        <v>4</v>
      </c>
      <c r="N173">
        <v>3.73</v>
      </c>
      <c r="O173">
        <v>3.73</v>
      </c>
      <c r="P173" t="s">
        <v>7</v>
      </c>
      <c r="Q173" t="s">
        <v>6</v>
      </c>
      <c r="R173" t="s">
        <v>9</v>
      </c>
      <c r="S173">
        <v>0</v>
      </c>
    </row>
    <row r="174" spans="1:19" x14ac:dyDescent="0.3">
      <c r="A174">
        <v>173</v>
      </c>
      <c r="B174">
        <v>20.8</v>
      </c>
      <c r="C174" t="s">
        <v>11</v>
      </c>
      <c r="D174">
        <v>25000</v>
      </c>
      <c r="E174" t="s">
        <v>4</v>
      </c>
      <c r="F174">
        <v>5.01</v>
      </c>
      <c r="G174">
        <v>90.3</v>
      </c>
      <c r="H174">
        <v>3</v>
      </c>
      <c r="I174">
        <v>7.9</v>
      </c>
      <c r="J174" t="s">
        <v>3</v>
      </c>
      <c r="K174" t="s">
        <v>3</v>
      </c>
      <c r="L174">
        <v>4.7</v>
      </c>
      <c r="M174">
        <v>4</v>
      </c>
      <c r="N174">
        <v>3.7</v>
      </c>
      <c r="O174">
        <v>3.7</v>
      </c>
      <c r="P174" t="s">
        <v>12</v>
      </c>
      <c r="Q174" t="s">
        <v>14</v>
      </c>
      <c r="R174" t="s">
        <v>17</v>
      </c>
      <c r="S174">
        <v>0</v>
      </c>
    </row>
    <row r="175" spans="1:19" x14ac:dyDescent="0.3">
      <c r="A175">
        <v>174</v>
      </c>
      <c r="B175">
        <v>21.8</v>
      </c>
      <c r="C175" t="s">
        <v>11</v>
      </c>
      <c r="D175">
        <v>33350</v>
      </c>
      <c r="E175" t="s">
        <v>4</v>
      </c>
      <c r="F175">
        <v>4.13</v>
      </c>
      <c r="G175">
        <v>81.2</v>
      </c>
      <c r="H175">
        <v>1</v>
      </c>
      <c r="I175">
        <v>14.5</v>
      </c>
      <c r="J175" t="s">
        <v>4</v>
      </c>
      <c r="K175" t="s">
        <v>4</v>
      </c>
      <c r="L175">
        <v>5.9</v>
      </c>
      <c r="M175">
        <v>1.01</v>
      </c>
      <c r="N175">
        <v>0.8</v>
      </c>
      <c r="O175">
        <v>0.8</v>
      </c>
      <c r="P175" t="s">
        <v>2</v>
      </c>
      <c r="Q175" t="s">
        <v>6</v>
      </c>
      <c r="R175" t="s">
        <v>15</v>
      </c>
      <c r="S175">
        <v>0</v>
      </c>
    </row>
    <row r="176" spans="1:19" x14ac:dyDescent="0.3">
      <c r="A176">
        <v>175</v>
      </c>
      <c r="B176">
        <v>21.6</v>
      </c>
      <c r="C176" t="s">
        <v>5</v>
      </c>
      <c r="D176">
        <v>52331</v>
      </c>
      <c r="E176" t="s">
        <v>4</v>
      </c>
      <c r="F176">
        <v>4.87</v>
      </c>
      <c r="G176">
        <v>89.4</v>
      </c>
      <c r="H176">
        <v>2</v>
      </c>
      <c r="I176">
        <v>28.2</v>
      </c>
      <c r="J176" t="s">
        <v>3</v>
      </c>
      <c r="K176" t="s">
        <v>4</v>
      </c>
      <c r="L176">
        <v>4.3</v>
      </c>
      <c r="M176">
        <v>3.97</v>
      </c>
      <c r="N176">
        <v>3.53</v>
      </c>
      <c r="O176">
        <v>3.54</v>
      </c>
      <c r="P176" t="s">
        <v>10</v>
      </c>
      <c r="Q176" t="s">
        <v>6</v>
      </c>
      <c r="R176" t="s">
        <v>15</v>
      </c>
      <c r="S176">
        <v>0</v>
      </c>
    </row>
    <row r="177" spans="1:19" x14ac:dyDescent="0.3">
      <c r="A177">
        <v>176</v>
      </c>
      <c r="B177">
        <v>22.8</v>
      </c>
      <c r="C177" t="s">
        <v>5</v>
      </c>
      <c r="D177">
        <v>54974</v>
      </c>
      <c r="E177" t="s">
        <v>3</v>
      </c>
      <c r="F177">
        <v>3.98</v>
      </c>
      <c r="G177">
        <v>84.9</v>
      </c>
      <c r="H177">
        <v>1</v>
      </c>
      <c r="I177">
        <v>35.6</v>
      </c>
      <c r="J177" t="s">
        <v>3</v>
      </c>
      <c r="K177" t="s">
        <v>3</v>
      </c>
      <c r="L177">
        <v>2.9</v>
      </c>
      <c r="M177">
        <v>2.2400000000000002</v>
      </c>
      <c r="N177">
        <v>2.68</v>
      </c>
      <c r="O177">
        <v>2.68</v>
      </c>
      <c r="P177" t="s">
        <v>2</v>
      </c>
      <c r="Q177" t="s">
        <v>13</v>
      </c>
      <c r="R177" t="s">
        <v>0</v>
      </c>
      <c r="S177">
        <v>0</v>
      </c>
    </row>
    <row r="178" spans="1:19" x14ac:dyDescent="0.3">
      <c r="A178">
        <v>177</v>
      </c>
      <c r="B178">
        <v>21</v>
      </c>
      <c r="C178" t="s">
        <v>5</v>
      </c>
      <c r="D178">
        <v>25000</v>
      </c>
      <c r="E178" t="s">
        <v>4</v>
      </c>
      <c r="F178">
        <v>3.64</v>
      </c>
      <c r="G178">
        <v>81.900000000000006</v>
      </c>
      <c r="H178">
        <v>0</v>
      </c>
      <c r="I178">
        <v>35.9</v>
      </c>
      <c r="J178" t="s">
        <v>3</v>
      </c>
      <c r="K178" t="s">
        <v>3</v>
      </c>
      <c r="L178">
        <v>7.2</v>
      </c>
      <c r="M178">
        <v>2.2200000000000002</v>
      </c>
      <c r="N178">
        <v>2.25</v>
      </c>
      <c r="O178">
        <v>2.23</v>
      </c>
      <c r="P178" t="s">
        <v>12</v>
      </c>
      <c r="Q178" t="s">
        <v>8</v>
      </c>
      <c r="R178" t="s">
        <v>9</v>
      </c>
      <c r="S178">
        <v>0</v>
      </c>
    </row>
    <row r="179" spans="1:19" x14ac:dyDescent="0.3">
      <c r="A179">
        <v>178</v>
      </c>
      <c r="B179">
        <v>24.2</v>
      </c>
      <c r="C179" t="s">
        <v>5</v>
      </c>
      <c r="D179">
        <v>35926</v>
      </c>
      <c r="E179" t="s">
        <v>4</v>
      </c>
      <c r="F179">
        <v>2.68</v>
      </c>
      <c r="G179">
        <v>84</v>
      </c>
      <c r="H179">
        <v>4</v>
      </c>
      <c r="I179">
        <v>37.4</v>
      </c>
      <c r="J179" t="s">
        <v>3</v>
      </c>
      <c r="K179" t="s">
        <v>3</v>
      </c>
      <c r="L179">
        <v>2.7</v>
      </c>
      <c r="M179">
        <v>1.21</v>
      </c>
      <c r="N179">
        <v>1.66</v>
      </c>
      <c r="O179">
        <v>1.71</v>
      </c>
      <c r="P179" t="s">
        <v>12</v>
      </c>
      <c r="Q179" t="s">
        <v>8</v>
      </c>
      <c r="R179" t="s">
        <v>15</v>
      </c>
      <c r="S179">
        <v>0</v>
      </c>
    </row>
    <row r="180" spans="1:19" x14ac:dyDescent="0.3">
      <c r="A180">
        <v>179</v>
      </c>
      <c r="B180">
        <v>20.399999999999999</v>
      </c>
      <c r="C180" t="s">
        <v>11</v>
      </c>
      <c r="D180">
        <v>25000</v>
      </c>
      <c r="E180" t="s">
        <v>4</v>
      </c>
      <c r="F180">
        <v>3.57</v>
      </c>
      <c r="G180">
        <v>77.599999999999994</v>
      </c>
      <c r="H180">
        <v>1</v>
      </c>
      <c r="I180">
        <v>45.1</v>
      </c>
      <c r="J180" t="s">
        <v>3</v>
      </c>
      <c r="K180" t="s">
        <v>3</v>
      </c>
      <c r="L180">
        <v>6.4</v>
      </c>
      <c r="M180">
        <v>2.34</v>
      </c>
      <c r="N180">
        <v>2.0499999999999998</v>
      </c>
      <c r="O180">
        <v>1.99</v>
      </c>
      <c r="P180" t="s">
        <v>7</v>
      </c>
      <c r="Q180" t="s">
        <v>8</v>
      </c>
      <c r="R180" t="s">
        <v>9</v>
      </c>
      <c r="S180">
        <v>0</v>
      </c>
    </row>
    <row r="181" spans="1:19" x14ac:dyDescent="0.3">
      <c r="A181">
        <v>180</v>
      </c>
      <c r="B181">
        <v>27</v>
      </c>
      <c r="C181" t="s">
        <v>11</v>
      </c>
      <c r="D181">
        <v>53689</v>
      </c>
      <c r="E181" t="s">
        <v>4</v>
      </c>
      <c r="F181">
        <v>4.3899999999999997</v>
      </c>
      <c r="G181">
        <v>67.3</v>
      </c>
      <c r="H181">
        <v>2</v>
      </c>
      <c r="I181">
        <v>50.5</v>
      </c>
      <c r="J181" t="s">
        <v>4</v>
      </c>
      <c r="K181" t="s">
        <v>3</v>
      </c>
      <c r="L181">
        <v>4.0999999999999996</v>
      </c>
      <c r="M181">
        <v>3.47</v>
      </c>
      <c r="N181">
        <v>3.57</v>
      </c>
      <c r="O181">
        <v>3.54</v>
      </c>
      <c r="P181" t="s">
        <v>10</v>
      </c>
      <c r="Q181" t="s">
        <v>8</v>
      </c>
      <c r="R181" t="s">
        <v>9</v>
      </c>
      <c r="S181">
        <v>0</v>
      </c>
    </row>
    <row r="182" spans="1:19" x14ac:dyDescent="0.3">
      <c r="A182">
        <v>181</v>
      </c>
      <c r="B182">
        <v>22.4</v>
      </c>
      <c r="C182" t="s">
        <v>5</v>
      </c>
      <c r="D182">
        <v>25000</v>
      </c>
      <c r="E182" t="s">
        <v>4</v>
      </c>
      <c r="F182">
        <v>3.46</v>
      </c>
      <c r="G182">
        <v>67</v>
      </c>
      <c r="H182">
        <v>6</v>
      </c>
      <c r="I182">
        <v>27.1</v>
      </c>
      <c r="J182" t="s">
        <v>3</v>
      </c>
      <c r="K182" t="s">
        <v>4</v>
      </c>
      <c r="L182">
        <v>7.7</v>
      </c>
      <c r="M182">
        <v>0.02</v>
      </c>
      <c r="N182">
        <v>0.28999999999999998</v>
      </c>
      <c r="O182">
        <v>0.28999999999999998</v>
      </c>
      <c r="P182" t="s">
        <v>2</v>
      </c>
      <c r="Q182" t="s">
        <v>6</v>
      </c>
      <c r="R182" t="s">
        <v>9</v>
      </c>
      <c r="S182">
        <v>1</v>
      </c>
    </row>
    <row r="183" spans="1:19" x14ac:dyDescent="0.3">
      <c r="A183">
        <v>182</v>
      </c>
      <c r="B183">
        <v>19.100000000000001</v>
      </c>
      <c r="C183" t="s">
        <v>11</v>
      </c>
      <c r="D183">
        <v>47627</v>
      </c>
      <c r="E183" t="s">
        <v>4</v>
      </c>
      <c r="F183">
        <v>2.5099999999999998</v>
      </c>
      <c r="G183">
        <v>89.3</v>
      </c>
      <c r="H183">
        <v>5</v>
      </c>
      <c r="I183">
        <v>20.399999999999999</v>
      </c>
      <c r="J183" t="s">
        <v>3</v>
      </c>
      <c r="K183" t="s">
        <v>3</v>
      </c>
      <c r="L183">
        <v>4.5999999999999996</v>
      </c>
      <c r="M183">
        <v>2.0099999999999998</v>
      </c>
      <c r="N183">
        <v>2.09</v>
      </c>
      <c r="O183">
        <v>2.11</v>
      </c>
      <c r="P183" t="s">
        <v>10</v>
      </c>
      <c r="Q183" t="s">
        <v>13</v>
      </c>
      <c r="R183" t="s">
        <v>15</v>
      </c>
      <c r="S183">
        <v>0</v>
      </c>
    </row>
    <row r="184" spans="1:19" x14ac:dyDescent="0.3">
      <c r="A184">
        <v>183</v>
      </c>
      <c r="B184">
        <v>18.600000000000001</v>
      </c>
      <c r="C184" t="s">
        <v>5</v>
      </c>
      <c r="D184">
        <v>25000</v>
      </c>
      <c r="E184" t="s">
        <v>4</v>
      </c>
      <c r="F184">
        <v>4.1500000000000004</v>
      </c>
      <c r="G184">
        <v>73.8</v>
      </c>
      <c r="H184">
        <v>1</v>
      </c>
      <c r="I184">
        <v>37.9</v>
      </c>
      <c r="J184" t="s">
        <v>3</v>
      </c>
      <c r="K184" t="s">
        <v>3</v>
      </c>
      <c r="L184">
        <v>2.2999999999999998</v>
      </c>
      <c r="M184">
        <v>2.5499999999999998</v>
      </c>
      <c r="N184">
        <v>2.2599999999999998</v>
      </c>
      <c r="O184">
        <v>2.2599999999999998</v>
      </c>
      <c r="P184" t="s">
        <v>2</v>
      </c>
      <c r="Q184" t="s">
        <v>1</v>
      </c>
      <c r="R184" t="s">
        <v>9</v>
      </c>
      <c r="S184">
        <v>0</v>
      </c>
    </row>
    <row r="185" spans="1:19" x14ac:dyDescent="0.3">
      <c r="A185">
        <v>184</v>
      </c>
      <c r="B185">
        <v>22.1</v>
      </c>
      <c r="C185" t="s">
        <v>5</v>
      </c>
      <c r="D185">
        <v>55207</v>
      </c>
      <c r="E185" t="s">
        <v>3</v>
      </c>
      <c r="F185">
        <v>4.3899999999999997</v>
      </c>
      <c r="G185">
        <v>69.8</v>
      </c>
      <c r="H185">
        <v>2</v>
      </c>
      <c r="I185">
        <v>41.2</v>
      </c>
      <c r="J185" t="s">
        <v>3</v>
      </c>
      <c r="K185" t="s">
        <v>3</v>
      </c>
      <c r="L185">
        <v>5.4</v>
      </c>
      <c r="M185">
        <v>3.18</v>
      </c>
      <c r="N185">
        <v>2.81</v>
      </c>
      <c r="O185">
        <v>2.8</v>
      </c>
      <c r="P185" t="s">
        <v>12</v>
      </c>
      <c r="Q185" t="s">
        <v>8</v>
      </c>
      <c r="R185" t="s">
        <v>15</v>
      </c>
      <c r="S185">
        <v>0</v>
      </c>
    </row>
    <row r="186" spans="1:19" x14ac:dyDescent="0.3">
      <c r="A186">
        <v>185</v>
      </c>
      <c r="B186">
        <v>20.5</v>
      </c>
      <c r="C186" t="s">
        <v>11</v>
      </c>
      <c r="D186">
        <v>36066</v>
      </c>
      <c r="E186" t="s">
        <v>4</v>
      </c>
      <c r="F186">
        <v>3.52</v>
      </c>
      <c r="G186">
        <v>69.599999999999994</v>
      </c>
      <c r="H186">
        <v>3</v>
      </c>
      <c r="I186">
        <v>31.6</v>
      </c>
      <c r="J186" t="s">
        <v>4</v>
      </c>
      <c r="K186" t="s">
        <v>4</v>
      </c>
      <c r="L186">
        <v>4</v>
      </c>
      <c r="M186">
        <v>1.87</v>
      </c>
      <c r="N186">
        <v>1.74</v>
      </c>
      <c r="O186">
        <v>1.77</v>
      </c>
      <c r="P186" t="s">
        <v>12</v>
      </c>
      <c r="Q186" t="s">
        <v>13</v>
      </c>
      <c r="R186" t="s">
        <v>9</v>
      </c>
      <c r="S186">
        <v>0</v>
      </c>
    </row>
    <row r="187" spans="1:19" x14ac:dyDescent="0.3">
      <c r="A187">
        <v>186</v>
      </c>
      <c r="B187">
        <v>22.6</v>
      </c>
      <c r="C187" t="s">
        <v>11</v>
      </c>
      <c r="D187">
        <v>25000</v>
      </c>
      <c r="E187" t="s">
        <v>4</v>
      </c>
      <c r="F187">
        <v>3.97</v>
      </c>
      <c r="G187">
        <v>78.2</v>
      </c>
      <c r="H187">
        <v>0</v>
      </c>
      <c r="I187">
        <v>27.9</v>
      </c>
      <c r="J187" t="s">
        <v>3</v>
      </c>
      <c r="K187" t="s">
        <v>4</v>
      </c>
      <c r="L187">
        <v>7</v>
      </c>
      <c r="M187">
        <v>2.61</v>
      </c>
      <c r="N187">
        <v>2.35</v>
      </c>
      <c r="O187">
        <v>2.3199999999999998</v>
      </c>
      <c r="P187" t="s">
        <v>12</v>
      </c>
      <c r="Q187" t="s">
        <v>6</v>
      </c>
      <c r="R187" t="s">
        <v>0</v>
      </c>
      <c r="S187">
        <v>0</v>
      </c>
    </row>
    <row r="188" spans="1:19" x14ac:dyDescent="0.3">
      <c r="A188">
        <v>187</v>
      </c>
      <c r="B188">
        <v>22</v>
      </c>
      <c r="C188" t="s">
        <v>5</v>
      </c>
      <c r="D188">
        <v>45018</v>
      </c>
      <c r="E188" t="s">
        <v>4</v>
      </c>
      <c r="F188">
        <v>0.71</v>
      </c>
      <c r="G188">
        <v>94.1</v>
      </c>
      <c r="H188">
        <v>1</v>
      </c>
      <c r="I188">
        <v>24</v>
      </c>
      <c r="J188" t="s">
        <v>3</v>
      </c>
      <c r="K188" t="s">
        <v>4</v>
      </c>
      <c r="L188">
        <v>6.1</v>
      </c>
      <c r="M188">
        <v>1.06</v>
      </c>
      <c r="N188">
        <v>1.43</v>
      </c>
      <c r="O188">
        <v>1.41</v>
      </c>
      <c r="P188" t="s">
        <v>10</v>
      </c>
      <c r="Q188" t="s">
        <v>1</v>
      </c>
      <c r="R188" t="s">
        <v>0</v>
      </c>
      <c r="S188">
        <v>0</v>
      </c>
    </row>
    <row r="189" spans="1:19" x14ac:dyDescent="0.3">
      <c r="A189">
        <v>188</v>
      </c>
      <c r="B189">
        <v>20.8</v>
      </c>
      <c r="C189" t="s">
        <v>5</v>
      </c>
      <c r="D189">
        <v>25000</v>
      </c>
      <c r="E189" t="s">
        <v>4</v>
      </c>
      <c r="F189">
        <v>4.96</v>
      </c>
      <c r="G189">
        <v>80.8</v>
      </c>
      <c r="H189">
        <v>1</v>
      </c>
      <c r="I189">
        <v>29.5</v>
      </c>
      <c r="J189" t="s">
        <v>4</v>
      </c>
      <c r="K189" t="s">
        <v>3</v>
      </c>
      <c r="L189">
        <v>4.4000000000000004</v>
      </c>
      <c r="M189">
        <v>3.54</v>
      </c>
      <c r="N189">
        <v>3.43</v>
      </c>
      <c r="O189">
        <v>3.43</v>
      </c>
      <c r="P189" t="s">
        <v>12</v>
      </c>
      <c r="Q189" t="s">
        <v>14</v>
      </c>
      <c r="R189" t="s">
        <v>15</v>
      </c>
      <c r="S189">
        <v>0</v>
      </c>
    </row>
    <row r="190" spans="1:19" x14ac:dyDescent="0.3">
      <c r="A190">
        <v>189</v>
      </c>
      <c r="B190">
        <v>19.100000000000001</v>
      </c>
      <c r="C190" t="s">
        <v>11</v>
      </c>
      <c r="D190">
        <v>46618</v>
      </c>
      <c r="E190" t="s">
        <v>4</v>
      </c>
      <c r="F190">
        <v>4.37</v>
      </c>
      <c r="G190">
        <v>70.599999999999994</v>
      </c>
      <c r="H190">
        <v>2</v>
      </c>
      <c r="I190">
        <v>38.299999999999997</v>
      </c>
      <c r="J190" t="s">
        <v>3</v>
      </c>
      <c r="K190" t="s">
        <v>4</v>
      </c>
      <c r="L190">
        <v>3.7</v>
      </c>
      <c r="M190">
        <v>4</v>
      </c>
      <c r="N190">
        <v>3.93</v>
      </c>
      <c r="O190">
        <v>4</v>
      </c>
      <c r="P190" t="s">
        <v>12</v>
      </c>
      <c r="Q190" t="s">
        <v>1</v>
      </c>
      <c r="R190" t="s">
        <v>9</v>
      </c>
      <c r="S190">
        <v>0</v>
      </c>
    </row>
    <row r="191" spans="1:19" x14ac:dyDescent="0.3">
      <c r="A191">
        <v>190</v>
      </c>
      <c r="B191">
        <v>17.7</v>
      </c>
      <c r="C191" t="s">
        <v>11</v>
      </c>
      <c r="D191">
        <v>25224</v>
      </c>
      <c r="E191" t="s">
        <v>3</v>
      </c>
      <c r="F191">
        <v>5.84</v>
      </c>
      <c r="G191">
        <v>93.9</v>
      </c>
      <c r="H191">
        <v>1</v>
      </c>
      <c r="I191">
        <v>22</v>
      </c>
      <c r="J191" t="s">
        <v>4</v>
      </c>
      <c r="K191" t="s">
        <v>3</v>
      </c>
      <c r="L191">
        <v>3.5</v>
      </c>
      <c r="M191">
        <v>3.77</v>
      </c>
      <c r="N191">
        <v>3.79</v>
      </c>
      <c r="O191">
        <v>3.73</v>
      </c>
      <c r="P191" t="s">
        <v>7</v>
      </c>
      <c r="Q191" t="s">
        <v>6</v>
      </c>
      <c r="R191" t="s">
        <v>9</v>
      </c>
      <c r="S191">
        <v>0</v>
      </c>
    </row>
    <row r="192" spans="1:19" x14ac:dyDescent="0.3">
      <c r="A192">
        <v>191</v>
      </c>
      <c r="B192">
        <v>20</v>
      </c>
      <c r="C192" t="s">
        <v>5</v>
      </c>
      <c r="D192">
        <v>25000</v>
      </c>
      <c r="E192" t="s">
        <v>4</v>
      </c>
      <c r="F192">
        <v>3.72</v>
      </c>
      <c r="G192">
        <v>84.6</v>
      </c>
      <c r="H192">
        <v>1</v>
      </c>
      <c r="I192">
        <v>20.399999999999999</v>
      </c>
      <c r="J192" t="s">
        <v>3</v>
      </c>
      <c r="K192" t="s">
        <v>3</v>
      </c>
      <c r="L192">
        <v>4.4000000000000004</v>
      </c>
      <c r="M192">
        <v>2.4500000000000002</v>
      </c>
      <c r="N192">
        <v>2.5099999999999998</v>
      </c>
      <c r="O192">
        <v>2.5099999999999998</v>
      </c>
      <c r="P192" t="s">
        <v>2</v>
      </c>
      <c r="Q192" t="s">
        <v>8</v>
      </c>
      <c r="R192" t="s">
        <v>15</v>
      </c>
      <c r="S192">
        <v>0</v>
      </c>
    </row>
    <row r="193" spans="1:19" x14ac:dyDescent="0.3">
      <c r="A193">
        <v>192</v>
      </c>
      <c r="B193">
        <v>22.9</v>
      </c>
      <c r="C193" t="s">
        <v>5</v>
      </c>
      <c r="D193">
        <v>25000</v>
      </c>
      <c r="E193" t="s">
        <v>4</v>
      </c>
      <c r="F193">
        <v>4.95</v>
      </c>
      <c r="G193">
        <v>79.2</v>
      </c>
      <c r="H193">
        <v>1</v>
      </c>
      <c r="I193">
        <v>37.200000000000003</v>
      </c>
      <c r="J193" t="s">
        <v>3</v>
      </c>
      <c r="K193" t="s">
        <v>3</v>
      </c>
      <c r="L193">
        <v>8</v>
      </c>
      <c r="M193">
        <v>1.96</v>
      </c>
      <c r="N193">
        <v>1.95</v>
      </c>
      <c r="O193">
        <v>2.0099999999999998</v>
      </c>
      <c r="P193" t="s">
        <v>7</v>
      </c>
      <c r="Q193" t="s">
        <v>8</v>
      </c>
      <c r="R193" t="s">
        <v>15</v>
      </c>
      <c r="S193">
        <v>0</v>
      </c>
    </row>
    <row r="194" spans="1:19" x14ac:dyDescent="0.3">
      <c r="A194">
        <v>193</v>
      </c>
      <c r="B194">
        <v>21.5</v>
      </c>
      <c r="C194" t="s">
        <v>5</v>
      </c>
      <c r="D194">
        <v>25000</v>
      </c>
      <c r="E194" t="s">
        <v>3</v>
      </c>
      <c r="F194">
        <v>5.53</v>
      </c>
      <c r="G194">
        <v>85.9</v>
      </c>
      <c r="H194">
        <v>3</v>
      </c>
      <c r="I194">
        <v>19.8</v>
      </c>
      <c r="J194" t="s">
        <v>3</v>
      </c>
      <c r="K194" t="s">
        <v>3</v>
      </c>
      <c r="L194">
        <v>5.2</v>
      </c>
      <c r="M194">
        <v>2.93</v>
      </c>
      <c r="N194">
        <v>2.67</v>
      </c>
      <c r="O194">
        <v>2.67</v>
      </c>
      <c r="P194" t="s">
        <v>2</v>
      </c>
      <c r="Q194" t="s">
        <v>14</v>
      </c>
      <c r="R194" t="s">
        <v>16</v>
      </c>
      <c r="S194">
        <v>0</v>
      </c>
    </row>
    <row r="195" spans="1:19" x14ac:dyDescent="0.3">
      <c r="A195">
        <v>194</v>
      </c>
      <c r="B195">
        <v>18.3</v>
      </c>
      <c r="C195" t="s">
        <v>11</v>
      </c>
      <c r="D195">
        <v>67570</v>
      </c>
      <c r="E195" t="s">
        <v>4</v>
      </c>
      <c r="F195">
        <v>4.03</v>
      </c>
      <c r="G195">
        <v>82.1</v>
      </c>
      <c r="H195">
        <v>0</v>
      </c>
      <c r="I195">
        <v>31.8</v>
      </c>
      <c r="J195" t="s">
        <v>4</v>
      </c>
      <c r="K195" t="s">
        <v>4</v>
      </c>
      <c r="L195">
        <v>7.2</v>
      </c>
      <c r="M195">
        <v>2.08</v>
      </c>
      <c r="N195">
        <v>2.29</v>
      </c>
      <c r="O195">
        <v>2.29</v>
      </c>
      <c r="P195" t="s">
        <v>7</v>
      </c>
      <c r="Q195" t="s">
        <v>14</v>
      </c>
      <c r="R195" t="s">
        <v>0</v>
      </c>
      <c r="S195">
        <v>0</v>
      </c>
    </row>
    <row r="196" spans="1:19" x14ac:dyDescent="0.3">
      <c r="A196">
        <v>195</v>
      </c>
      <c r="B196">
        <v>21.4</v>
      </c>
      <c r="C196" t="s">
        <v>11</v>
      </c>
      <c r="D196">
        <v>51056</v>
      </c>
      <c r="E196" t="s">
        <v>4</v>
      </c>
      <c r="F196">
        <v>4.45</v>
      </c>
      <c r="G196">
        <v>76.3</v>
      </c>
      <c r="H196">
        <v>1</v>
      </c>
      <c r="I196">
        <v>31.2</v>
      </c>
      <c r="J196" t="s">
        <v>4</v>
      </c>
      <c r="K196" t="s">
        <v>3</v>
      </c>
      <c r="L196">
        <v>2.8</v>
      </c>
      <c r="M196">
        <v>2.71</v>
      </c>
      <c r="N196">
        <v>2.94</v>
      </c>
      <c r="O196">
        <v>2.97</v>
      </c>
      <c r="P196" t="s">
        <v>10</v>
      </c>
      <c r="Q196" t="s">
        <v>13</v>
      </c>
      <c r="R196" t="s">
        <v>15</v>
      </c>
      <c r="S196">
        <v>0</v>
      </c>
    </row>
    <row r="197" spans="1:19" x14ac:dyDescent="0.3">
      <c r="A197">
        <v>196</v>
      </c>
      <c r="B197">
        <v>21.8</v>
      </c>
      <c r="C197" t="s">
        <v>5</v>
      </c>
      <c r="D197">
        <v>78772</v>
      </c>
      <c r="E197" t="s">
        <v>4</v>
      </c>
      <c r="F197">
        <v>4.1900000000000004</v>
      </c>
      <c r="G197">
        <v>77.599999999999994</v>
      </c>
      <c r="H197">
        <v>2</v>
      </c>
      <c r="I197">
        <v>30</v>
      </c>
      <c r="J197" t="s">
        <v>3</v>
      </c>
      <c r="K197" t="s">
        <v>3</v>
      </c>
      <c r="L197">
        <v>2</v>
      </c>
      <c r="M197">
        <v>3.06</v>
      </c>
      <c r="N197">
        <v>2.95</v>
      </c>
      <c r="O197">
        <v>2.95</v>
      </c>
      <c r="P197" t="s">
        <v>2</v>
      </c>
      <c r="Q197" t="s">
        <v>1</v>
      </c>
      <c r="R197" t="s">
        <v>15</v>
      </c>
      <c r="S197">
        <v>0</v>
      </c>
    </row>
    <row r="198" spans="1:19" x14ac:dyDescent="0.3">
      <c r="A198">
        <v>197</v>
      </c>
      <c r="B198">
        <v>19.100000000000001</v>
      </c>
      <c r="C198" t="s">
        <v>11</v>
      </c>
      <c r="D198">
        <v>80192</v>
      </c>
      <c r="E198" t="s">
        <v>4</v>
      </c>
      <c r="F198">
        <v>1.92</v>
      </c>
      <c r="G198">
        <v>72.099999999999994</v>
      </c>
      <c r="H198">
        <v>4</v>
      </c>
      <c r="I198">
        <v>22.3</v>
      </c>
      <c r="J198" t="s">
        <v>4</v>
      </c>
      <c r="K198" t="s">
        <v>4</v>
      </c>
      <c r="L198">
        <v>3.8</v>
      </c>
      <c r="M198">
        <v>3.19</v>
      </c>
      <c r="N198">
        <v>3.29</v>
      </c>
      <c r="O198">
        <v>3.22</v>
      </c>
      <c r="P198" t="s">
        <v>7</v>
      </c>
      <c r="Q198" t="s">
        <v>1</v>
      </c>
      <c r="R198" t="s">
        <v>9</v>
      </c>
      <c r="S198">
        <v>0</v>
      </c>
    </row>
    <row r="199" spans="1:19" x14ac:dyDescent="0.3">
      <c r="A199">
        <v>198</v>
      </c>
      <c r="B199">
        <v>21.3</v>
      </c>
      <c r="C199" t="s">
        <v>11</v>
      </c>
      <c r="D199">
        <v>25000</v>
      </c>
      <c r="E199" t="s">
        <v>4</v>
      </c>
      <c r="F199">
        <v>4.5</v>
      </c>
      <c r="G199">
        <v>78.2</v>
      </c>
      <c r="H199">
        <v>3</v>
      </c>
      <c r="I199">
        <v>50.8</v>
      </c>
      <c r="J199" t="s">
        <v>4</v>
      </c>
      <c r="K199" t="s">
        <v>4</v>
      </c>
      <c r="L199">
        <v>6.7</v>
      </c>
      <c r="M199">
        <v>0.51</v>
      </c>
      <c r="N199">
        <v>0.22</v>
      </c>
      <c r="O199">
        <v>0.19</v>
      </c>
      <c r="P199" t="s">
        <v>7</v>
      </c>
      <c r="Q199" t="s">
        <v>8</v>
      </c>
      <c r="R199" t="s">
        <v>15</v>
      </c>
      <c r="S199">
        <v>1</v>
      </c>
    </row>
    <row r="200" spans="1:19" x14ac:dyDescent="0.3">
      <c r="A200">
        <v>199</v>
      </c>
      <c r="B200">
        <v>21.1</v>
      </c>
      <c r="C200" t="s">
        <v>5</v>
      </c>
      <c r="D200">
        <v>26553</v>
      </c>
      <c r="E200" t="s">
        <v>3</v>
      </c>
      <c r="F200">
        <v>2.78</v>
      </c>
      <c r="G200">
        <v>89.4</v>
      </c>
      <c r="H200">
        <v>0</v>
      </c>
      <c r="I200">
        <v>34.799999999999997</v>
      </c>
      <c r="J200" t="s">
        <v>3</v>
      </c>
      <c r="K200" t="s">
        <v>3</v>
      </c>
      <c r="L200">
        <v>5</v>
      </c>
      <c r="M200">
        <v>2.63</v>
      </c>
      <c r="N200">
        <v>3.2</v>
      </c>
      <c r="O200">
        <v>3.24</v>
      </c>
      <c r="P200" t="s">
        <v>10</v>
      </c>
      <c r="Q200" t="s">
        <v>1</v>
      </c>
      <c r="R200" t="s">
        <v>15</v>
      </c>
      <c r="S200">
        <v>0</v>
      </c>
    </row>
    <row r="201" spans="1:19" x14ac:dyDescent="0.3">
      <c r="A201">
        <v>200</v>
      </c>
      <c r="B201">
        <v>18.5</v>
      </c>
      <c r="C201" t="s">
        <v>5</v>
      </c>
      <c r="D201">
        <v>25000</v>
      </c>
      <c r="E201" t="s">
        <v>4</v>
      </c>
      <c r="F201">
        <v>2.88</v>
      </c>
      <c r="G201">
        <v>89.2</v>
      </c>
      <c r="H201">
        <v>0</v>
      </c>
      <c r="I201">
        <v>23.8</v>
      </c>
      <c r="J201" t="s">
        <v>4</v>
      </c>
      <c r="K201" t="s">
        <v>3</v>
      </c>
      <c r="L201">
        <v>7.1</v>
      </c>
      <c r="M201">
        <v>1.1000000000000001</v>
      </c>
      <c r="N201">
        <v>1.4</v>
      </c>
      <c r="O201">
        <v>1.4</v>
      </c>
      <c r="P201" t="s">
        <v>2</v>
      </c>
      <c r="Q201" t="s">
        <v>1</v>
      </c>
      <c r="R201" t="s">
        <v>15</v>
      </c>
      <c r="S201">
        <v>0</v>
      </c>
    </row>
    <row r="202" spans="1:19" x14ac:dyDescent="0.3">
      <c r="A202">
        <v>201</v>
      </c>
      <c r="B202">
        <v>21.8</v>
      </c>
      <c r="C202" t="s">
        <v>11</v>
      </c>
      <c r="D202">
        <v>25000</v>
      </c>
      <c r="E202" t="s">
        <v>4</v>
      </c>
      <c r="F202">
        <v>4.68</v>
      </c>
      <c r="G202">
        <v>80.599999999999994</v>
      </c>
      <c r="H202">
        <v>2</v>
      </c>
      <c r="I202">
        <v>34</v>
      </c>
      <c r="J202" t="s">
        <v>3</v>
      </c>
      <c r="K202" t="s">
        <v>3</v>
      </c>
      <c r="L202">
        <v>7.8</v>
      </c>
      <c r="M202">
        <v>1.81</v>
      </c>
      <c r="N202">
        <v>2.04</v>
      </c>
      <c r="O202">
        <v>2.15</v>
      </c>
      <c r="P202" t="s">
        <v>12</v>
      </c>
      <c r="Q202" t="s">
        <v>6</v>
      </c>
      <c r="R202" t="s">
        <v>0</v>
      </c>
      <c r="S202">
        <v>0</v>
      </c>
    </row>
    <row r="203" spans="1:19" x14ac:dyDescent="0.3">
      <c r="A203">
        <v>202</v>
      </c>
      <c r="B203">
        <v>22.2</v>
      </c>
      <c r="C203" t="s">
        <v>11</v>
      </c>
      <c r="D203">
        <v>25000</v>
      </c>
      <c r="E203" t="s">
        <v>4</v>
      </c>
      <c r="F203">
        <v>5.68</v>
      </c>
      <c r="G203">
        <v>80.7</v>
      </c>
      <c r="H203">
        <v>3</v>
      </c>
      <c r="I203">
        <v>52</v>
      </c>
      <c r="J203" t="s">
        <v>4</v>
      </c>
      <c r="K203" t="s">
        <v>3</v>
      </c>
      <c r="L203">
        <v>3.8</v>
      </c>
      <c r="M203">
        <v>2</v>
      </c>
      <c r="N203">
        <v>2.0699999999999998</v>
      </c>
      <c r="O203">
        <v>2.0699999999999998</v>
      </c>
      <c r="P203" t="s">
        <v>2</v>
      </c>
      <c r="Q203" t="s">
        <v>13</v>
      </c>
      <c r="R203" t="s">
        <v>0</v>
      </c>
      <c r="S203">
        <v>1</v>
      </c>
    </row>
    <row r="204" spans="1:19" x14ac:dyDescent="0.3">
      <c r="A204">
        <v>203</v>
      </c>
      <c r="B204">
        <v>23.4</v>
      </c>
      <c r="C204" t="s">
        <v>11</v>
      </c>
      <c r="D204">
        <v>29471</v>
      </c>
      <c r="E204" t="s">
        <v>4</v>
      </c>
      <c r="F204">
        <v>5.0199999999999996</v>
      </c>
      <c r="G204">
        <v>73.7</v>
      </c>
      <c r="H204">
        <v>1</v>
      </c>
      <c r="I204">
        <v>31.1</v>
      </c>
      <c r="J204" t="s">
        <v>3</v>
      </c>
      <c r="K204" t="s">
        <v>3</v>
      </c>
      <c r="L204">
        <v>7</v>
      </c>
      <c r="M204">
        <v>2.12</v>
      </c>
      <c r="N204">
        <v>2.0699999999999998</v>
      </c>
      <c r="O204">
        <v>2.0699999999999998</v>
      </c>
      <c r="P204" t="s">
        <v>2</v>
      </c>
      <c r="Q204" t="s">
        <v>13</v>
      </c>
      <c r="R204" t="s">
        <v>17</v>
      </c>
      <c r="S204">
        <v>0</v>
      </c>
    </row>
    <row r="205" spans="1:19" x14ac:dyDescent="0.3">
      <c r="A205">
        <v>204</v>
      </c>
      <c r="B205">
        <v>23.3</v>
      </c>
      <c r="C205" t="s">
        <v>11</v>
      </c>
      <c r="D205">
        <v>25000</v>
      </c>
      <c r="E205" t="s">
        <v>4</v>
      </c>
      <c r="F205">
        <v>4.76</v>
      </c>
      <c r="G205">
        <v>85.2</v>
      </c>
      <c r="H205">
        <v>1</v>
      </c>
      <c r="I205">
        <v>48.4</v>
      </c>
      <c r="J205" t="s">
        <v>4</v>
      </c>
      <c r="K205" t="s">
        <v>4</v>
      </c>
      <c r="L205">
        <v>8</v>
      </c>
      <c r="M205">
        <v>3.14</v>
      </c>
      <c r="N205">
        <v>2.85</v>
      </c>
      <c r="O205">
        <v>2.97</v>
      </c>
      <c r="P205" t="s">
        <v>10</v>
      </c>
      <c r="Q205" t="s">
        <v>1</v>
      </c>
      <c r="R205" t="s">
        <v>9</v>
      </c>
      <c r="S205">
        <v>0</v>
      </c>
    </row>
    <row r="206" spans="1:19" x14ac:dyDescent="0.3">
      <c r="A206">
        <v>205</v>
      </c>
      <c r="B206">
        <v>18</v>
      </c>
      <c r="C206" t="s">
        <v>5</v>
      </c>
      <c r="D206">
        <v>29129</v>
      </c>
      <c r="E206" t="s">
        <v>3</v>
      </c>
      <c r="F206">
        <v>4.4400000000000004</v>
      </c>
      <c r="G206">
        <v>70.900000000000006</v>
      </c>
      <c r="H206">
        <v>4</v>
      </c>
      <c r="I206">
        <v>16.2</v>
      </c>
      <c r="J206" t="s">
        <v>3</v>
      </c>
      <c r="K206" t="s">
        <v>3</v>
      </c>
      <c r="L206">
        <v>7.4</v>
      </c>
      <c r="M206">
        <v>2.38</v>
      </c>
      <c r="N206">
        <v>2.25</v>
      </c>
      <c r="O206">
        <v>2.25</v>
      </c>
      <c r="P206" t="s">
        <v>2</v>
      </c>
      <c r="Q206" t="s">
        <v>14</v>
      </c>
      <c r="R206" t="s">
        <v>15</v>
      </c>
      <c r="S206">
        <v>0</v>
      </c>
    </row>
    <row r="207" spans="1:19" x14ac:dyDescent="0.3">
      <c r="A207">
        <v>206</v>
      </c>
      <c r="B207">
        <v>18.899999999999999</v>
      </c>
      <c r="C207" t="s">
        <v>5</v>
      </c>
      <c r="D207">
        <v>105817</v>
      </c>
      <c r="E207" t="s">
        <v>3</v>
      </c>
      <c r="F207">
        <v>5.13</v>
      </c>
      <c r="G207">
        <v>88.7</v>
      </c>
      <c r="H207">
        <v>5</v>
      </c>
      <c r="I207">
        <v>19.8</v>
      </c>
      <c r="J207" t="s">
        <v>3</v>
      </c>
      <c r="K207" t="s">
        <v>3</v>
      </c>
      <c r="L207">
        <v>2.6</v>
      </c>
      <c r="M207">
        <v>2.2000000000000002</v>
      </c>
      <c r="N207">
        <v>2.06</v>
      </c>
      <c r="O207">
        <v>2.11</v>
      </c>
      <c r="P207" t="s">
        <v>7</v>
      </c>
      <c r="Q207" t="s">
        <v>14</v>
      </c>
      <c r="R207" t="s">
        <v>15</v>
      </c>
      <c r="S207">
        <v>0</v>
      </c>
    </row>
    <row r="208" spans="1:19" x14ac:dyDescent="0.3">
      <c r="A208">
        <v>207</v>
      </c>
      <c r="B208">
        <v>22.1</v>
      </c>
      <c r="C208" t="s">
        <v>11</v>
      </c>
      <c r="D208">
        <v>25000</v>
      </c>
      <c r="E208" t="s">
        <v>3</v>
      </c>
      <c r="F208">
        <v>6.19</v>
      </c>
      <c r="G208">
        <v>85.3</v>
      </c>
      <c r="H208">
        <v>2</v>
      </c>
      <c r="I208">
        <v>5</v>
      </c>
      <c r="J208" t="s">
        <v>3</v>
      </c>
      <c r="K208" t="s">
        <v>4</v>
      </c>
      <c r="L208">
        <v>2.2000000000000002</v>
      </c>
      <c r="M208">
        <v>4</v>
      </c>
      <c r="N208">
        <v>3.81</v>
      </c>
      <c r="O208">
        <v>3.82</v>
      </c>
      <c r="P208" t="s">
        <v>12</v>
      </c>
      <c r="Q208" t="s">
        <v>1</v>
      </c>
      <c r="R208" t="s">
        <v>15</v>
      </c>
      <c r="S208">
        <v>0</v>
      </c>
    </row>
    <row r="209" spans="1:19" x14ac:dyDescent="0.3">
      <c r="A209">
        <v>208</v>
      </c>
      <c r="B209">
        <v>22.1</v>
      </c>
      <c r="C209" t="s">
        <v>5</v>
      </c>
      <c r="D209">
        <v>33418</v>
      </c>
      <c r="E209" t="s">
        <v>4</v>
      </c>
      <c r="F209">
        <v>3.25</v>
      </c>
      <c r="G209">
        <v>79.900000000000006</v>
      </c>
      <c r="H209">
        <v>2</v>
      </c>
      <c r="I209">
        <v>53.7</v>
      </c>
      <c r="J209" t="s">
        <v>3</v>
      </c>
      <c r="K209" t="s">
        <v>3</v>
      </c>
      <c r="L209">
        <v>4.7</v>
      </c>
      <c r="M209">
        <v>1.84</v>
      </c>
      <c r="N209">
        <v>2.04</v>
      </c>
      <c r="O209">
        <v>2.0099999999999998</v>
      </c>
      <c r="P209" t="s">
        <v>7</v>
      </c>
      <c r="Q209" t="s">
        <v>8</v>
      </c>
      <c r="R209" t="s">
        <v>0</v>
      </c>
      <c r="S209">
        <v>0</v>
      </c>
    </row>
    <row r="210" spans="1:19" x14ac:dyDescent="0.3">
      <c r="A210">
        <v>209</v>
      </c>
      <c r="B210">
        <v>22.1</v>
      </c>
      <c r="C210" t="s">
        <v>11</v>
      </c>
      <c r="D210">
        <v>51225</v>
      </c>
      <c r="E210" t="s">
        <v>4</v>
      </c>
      <c r="F210">
        <v>3.29</v>
      </c>
      <c r="G210">
        <v>85.5</v>
      </c>
      <c r="H210">
        <v>0</v>
      </c>
      <c r="I210">
        <v>9.6</v>
      </c>
      <c r="J210" t="s">
        <v>4</v>
      </c>
      <c r="K210" t="s">
        <v>3</v>
      </c>
      <c r="L210">
        <v>4.8</v>
      </c>
      <c r="M210">
        <v>1.59</v>
      </c>
      <c r="N210">
        <v>1.56</v>
      </c>
      <c r="O210">
        <v>1.56</v>
      </c>
      <c r="P210" t="s">
        <v>2</v>
      </c>
      <c r="Q210" t="s">
        <v>1</v>
      </c>
      <c r="R210" t="s">
        <v>15</v>
      </c>
      <c r="S210">
        <v>0</v>
      </c>
    </row>
    <row r="211" spans="1:19" x14ac:dyDescent="0.3">
      <c r="A211">
        <v>210</v>
      </c>
      <c r="B211">
        <v>29.5</v>
      </c>
      <c r="C211" t="s">
        <v>11</v>
      </c>
      <c r="D211">
        <v>35178</v>
      </c>
      <c r="E211" t="s">
        <v>4</v>
      </c>
      <c r="F211">
        <v>4.95</v>
      </c>
      <c r="G211">
        <v>79.3</v>
      </c>
      <c r="H211">
        <v>2</v>
      </c>
      <c r="I211">
        <v>32.1</v>
      </c>
      <c r="J211" t="s">
        <v>4</v>
      </c>
      <c r="K211" t="s">
        <v>3</v>
      </c>
      <c r="L211">
        <v>7</v>
      </c>
      <c r="M211">
        <v>2.72</v>
      </c>
      <c r="N211">
        <v>2.76</v>
      </c>
      <c r="O211">
        <v>2.65</v>
      </c>
      <c r="P211" t="s">
        <v>10</v>
      </c>
      <c r="Q211" t="s">
        <v>8</v>
      </c>
      <c r="R211" t="s">
        <v>9</v>
      </c>
      <c r="S211">
        <v>0</v>
      </c>
    </row>
    <row r="212" spans="1:19" x14ac:dyDescent="0.3">
      <c r="A212">
        <v>211</v>
      </c>
      <c r="B212">
        <v>22.3</v>
      </c>
      <c r="C212" t="s">
        <v>11</v>
      </c>
      <c r="D212">
        <v>35436</v>
      </c>
      <c r="E212" t="s">
        <v>4</v>
      </c>
      <c r="F212">
        <v>1.78</v>
      </c>
      <c r="G212">
        <v>83.5</v>
      </c>
      <c r="H212">
        <v>1</v>
      </c>
      <c r="I212">
        <v>50.9</v>
      </c>
      <c r="J212" t="s">
        <v>3</v>
      </c>
      <c r="K212" t="s">
        <v>3</v>
      </c>
      <c r="L212">
        <v>3.8</v>
      </c>
      <c r="M212">
        <v>2.86</v>
      </c>
      <c r="N212">
        <v>2.69</v>
      </c>
      <c r="O212">
        <v>2.73</v>
      </c>
      <c r="P212" t="s">
        <v>12</v>
      </c>
      <c r="Q212" t="s">
        <v>6</v>
      </c>
      <c r="R212" t="s">
        <v>0</v>
      </c>
      <c r="S212">
        <v>0</v>
      </c>
    </row>
    <row r="213" spans="1:19" x14ac:dyDescent="0.3">
      <c r="A213">
        <v>212</v>
      </c>
      <c r="B213">
        <v>23.5</v>
      </c>
      <c r="C213" t="s">
        <v>5</v>
      </c>
      <c r="D213">
        <v>25000</v>
      </c>
      <c r="E213" t="s">
        <v>4</v>
      </c>
      <c r="F213">
        <v>3.87</v>
      </c>
      <c r="G213">
        <v>83.7</v>
      </c>
      <c r="H213">
        <v>1</v>
      </c>
      <c r="I213">
        <v>41.7</v>
      </c>
      <c r="J213" t="s">
        <v>3</v>
      </c>
      <c r="K213" t="s">
        <v>3</v>
      </c>
      <c r="L213">
        <v>6.2</v>
      </c>
      <c r="M213">
        <v>1.51</v>
      </c>
      <c r="N213">
        <v>1.37</v>
      </c>
      <c r="O213">
        <v>1.29</v>
      </c>
      <c r="P213" t="s">
        <v>12</v>
      </c>
      <c r="Q213" t="s">
        <v>6</v>
      </c>
      <c r="R213" t="s">
        <v>0</v>
      </c>
      <c r="S213">
        <v>0</v>
      </c>
    </row>
    <row r="214" spans="1:19" x14ac:dyDescent="0.3">
      <c r="A214">
        <v>213</v>
      </c>
      <c r="B214">
        <v>23.1</v>
      </c>
      <c r="C214" t="s">
        <v>11</v>
      </c>
      <c r="D214">
        <v>25871</v>
      </c>
      <c r="E214" t="s">
        <v>4</v>
      </c>
      <c r="F214">
        <v>4.34</v>
      </c>
      <c r="G214">
        <v>91.3</v>
      </c>
      <c r="H214">
        <v>2</v>
      </c>
      <c r="I214">
        <v>34.5</v>
      </c>
      <c r="J214" t="s">
        <v>3</v>
      </c>
      <c r="K214" t="s">
        <v>4</v>
      </c>
      <c r="L214">
        <v>3.6</v>
      </c>
      <c r="M214">
        <v>3.78</v>
      </c>
      <c r="N214">
        <v>3.79</v>
      </c>
      <c r="O214">
        <v>3.81</v>
      </c>
      <c r="P214" t="s">
        <v>7</v>
      </c>
      <c r="Q214" t="s">
        <v>1</v>
      </c>
      <c r="R214" t="s">
        <v>9</v>
      </c>
      <c r="S214">
        <v>0</v>
      </c>
    </row>
    <row r="215" spans="1:19" x14ac:dyDescent="0.3">
      <c r="A215">
        <v>214</v>
      </c>
      <c r="B215">
        <v>22.4</v>
      </c>
      <c r="C215" t="s">
        <v>11</v>
      </c>
      <c r="D215">
        <v>25000</v>
      </c>
      <c r="E215" t="s">
        <v>3</v>
      </c>
      <c r="F215">
        <v>3.29</v>
      </c>
      <c r="G215">
        <v>85.9</v>
      </c>
      <c r="H215">
        <v>2</v>
      </c>
      <c r="I215">
        <v>45.4</v>
      </c>
      <c r="J215" t="s">
        <v>3</v>
      </c>
      <c r="K215" t="s">
        <v>3</v>
      </c>
      <c r="L215">
        <v>6.1</v>
      </c>
      <c r="M215">
        <v>1.57</v>
      </c>
      <c r="N215">
        <v>1.48</v>
      </c>
      <c r="O215">
        <v>1.5</v>
      </c>
      <c r="P215" t="s">
        <v>12</v>
      </c>
      <c r="Q215" t="s">
        <v>1</v>
      </c>
      <c r="R215" t="s">
        <v>9</v>
      </c>
      <c r="S215">
        <v>1</v>
      </c>
    </row>
    <row r="216" spans="1:19" x14ac:dyDescent="0.3">
      <c r="A216">
        <v>215</v>
      </c>
      <c r="B216">
        <v>20.3</v>
      </c>
      <c r="C216" t="s">
        <v>11</v>
      </c>
      <c r="D216">
        <v>49396</v>
      </c>
      <c r="E216" t="s">
        <v>4</v>
      </c>
      <c r="F216">
        <v>1.51</v>
      </c>
      <c r="G216">
        <v>90.4</v>
      </c>
      <c r="H216">
        <v>1</v>
      </c>
      <c r="I216">
        <v>22</v>
      </c>
      <c r="J216" t="s">
        <v>4</v>
      </c>
      <c r="K216" t="s">
        <v>4</v>
      </c>
      <c r="L216">
        <v>4.7</v>
      </c>
      <c r="M216">
        <v>1.74</v>
      </c>
      <c r="N216">
        <v>2.44</v>
      </c>
      <c r="O216">
        <v>2.44</v>
      </c>
      <c r="P216" t="s">
        <v>2</v>
      </c>
      <c r="Q216" t="s">
        <v>1</v>
      </c>
      <c r="R216" t="s">
        <v>15</v>
      </c>
      <c r="S216">
        <v>1</v>
      </c>
    </row>
    <row r="217" spans="1:19" x14ac:dyDescent="0.3">
      <c r="A217">
        <v>216</v>
      </c>
      <c r="B217">
        <v>22.7</v>
      </c>
      <c r="C217" t="s">
        <v>5</v>
      </c>
      <c r="D217">
        <v>25000</v>
      </c>
      <c r="E217" t="s">
        <v>4</v>
      </c>
      <c r="F217">
        <v>5.8</v>
      </c>
      <c r="G217">
        <v>85.1</v>
      </c>
      <c r="H217">
        <v>5</v>
      </c>
      <c r="I217">
        <v>36.200000000000003</v>
      </c>
      <c r="J217" t="s">
        <v>3</v>
      </c>
      <c r="K217" t="s">
        <v>4</v>
      </c>
      <c r="L217">
        <v>6.1</v>
      </c>
      <c r="M217">
        <v>4</v>
      </c>
      <c r="N217">
        <v>4</v>
      </c>
      <c r="O217">
        <v>4</v>
      </c>
      <c r="P217" t="s">
        <v>7</v>
      </c>
      <c r="Q217" t="s">
        <v>13</v>
      </c>
      <c r="R217" t="s">
        <v>0</v>
      </c>
      <c r="S217">
        <v>0</v>
      </c>
    </row>
    <row r="218" spans="1:19" x14ac:dyDescent="0.3">
      <c r="A218">
        <v>217</v>
      </c>
      <c r="B218">
        <v>19.3</v>
      </c>
      <c r="C218" t="s">
        <v>5</v>
      </c>
      <c r="D218">
        <v>53245</v>
      </c>
      <c r="E218" t="s">
        <v>4</v>
      </c>
      <c r="F218">
        <v>3.22</v>
      </c>
      <c r="G218">
        <v>81.5</v>
      </c>
      <c r="H218">
        <v>0</v>
      </c>
      <c r="I218">
        <v>28.6</v>
      </c>
      <c r="J218" t="s">
        <v>4</v>
      </c>
      <c r="K218" t="s">
        <v>4</v>
      </c>
      <c r="L218">
        <v>4.8</v>
      </c>
      <c r="M218">
        <v>2.1</v>
      </c>
      <c r="N218">
        <v>2.2200000000000002</v>
      </c>
      <c r="O218">
        <v>2.23</v>
      </c>
      <c r="P218" t="s">
        <v>10</v>
      </c>
      <c r="Q218" t="s">
        <v>1</v>
      </c>
      <c r="R218" t="s">
        <v>9</v>
      </c>
      <c r="S218">
        <v>0</v>
      </c>
    </row>
    <row r="219" spans="1:19" x14ac:dyDescent="0.3">
      <c r="A219">
        <v>218</v>
      </c>
      <c r="B219">
        <v>20.5</v>
      </c>
      <c r="C219" t="s">
        <v>5</v>
      </c>
      <c r="D219">
        <v>25000</v>
      </c>
      <c r="E219" t="s">
        <v>4</v>
      </c>
      <c r="F219">
        <v>3.28</v>
      </c>
      <c r="G219">
        <v>86.1</v>
      </c>
      <c r="H219">
        <v>1</v>
      </c>
      <c r="I219">
        <v>28.4</v>
      </c>
      <c r="J219" t="s">
        <v>4</v>
      </c>
      <c r="K219" t="s">
        <v>3</v>
      </c>
      <c r="L219">
        <v>1.5</v>
      </c>
      <c r="M219">
        <v>3.29</v>
      </c>
      <c r="N219">
        <v>3.33</v>
      </c>
      <c r="O219">
        <v>3.33</v>
      </c>
      <c r="P219" t="s">
        <v>2</v>
      </c>
      <c r="Q219" t="s">
        <v>6</v>
      </c>
      <c r="R219" t="s">
        <v>16</v>
      </c>
      <c r="S219">
        <v>0</v>
      </c>
    </row>
    <row r="220" spans="1:19" x14ac:dyDescent="0.3">
      <c r="A220">
        <v>219</v>
      </c>
      <c r="B220">
        <v>19.899999999999999</v>
      </c>
      <c r="C220" t="s">
        <v>5</v>
      </c>
      <c r="D220">
        <v>52974</v>
      </c>
      <c r="E220" t="s">
        <v>4</v>
      </c>
      <c r="F220">
        <v>5.73</v>
      </c>
      <c r="G220">
        <v>84.8</v>
      </c>
      <c r="H220">
        <v>2</v>
      </c>
      <c r="I220">
        <v>32.299999999999997</v>
      </c>
      <c r="J220" t="s">
        <v>4</v>
      </c>
      <c r="K220" t="s">
        <v>3</v>
      </c>
      <c r="L220">
        <v>6.4</v>
      </c>
      <c r="M220">
        <v>1.88</v>
      </c>
      <c r="N220">
        <v>1.72</v>
      </c>
      <c r="O220">
        <v>1.72</v>
      </c>
      <c r="P220" t="s">
        <v>2</v>
      </c>
      <c r="Q220" t="s">
        <v>6</v>
      </c>
      <c r="R220" t="s">
        <v>9</v>
      </c>
      <c r="S220">
        <v>0</v>
      </c>
    </row>
    <row r="221" spans="1:19" x14ac:dyDescent="0.3">
      <c r="A221">
        <v>220</v>
      </c>
      <c r="B221">
        <v>21.2</v>
      </c>
      <c r="C221" t="s">
        <v>5</v>
      </c>
      <c r="D221">
        <v>25000</v>
      </c>
      <c r="E221" t="s">
        <v>4</v>
      </c>
      <c r="F221">
        <v>0.5</v>
      </c>
      <c r="G221">
        <v>79.099999999999994</v>
      </c>
      <c r="H221">
        <v>0</v>
      </c>
      <c r="I221">
        <v>44.1</v>
      </c>
      <c r="J221" t="s">
        <v>3</v>
      </c>
      <c r="K221" t="s">
        <v>3</v>
      </c>
      <c r="L221">
        <v>7.6</v>
      </c>
      <c r="M221">
        <v>1.87</v>
      </c>
      <c r="N221">
        <v>1.27</v>
      </c>
      <c r="O221">
        <v>1.27</v>
      </c>
      <c r="P221" t="s">
        <v>2</v>
      </c>
      <c r="Q221" t="s">
        <v>8</v>
      </c>
      <c r="R221" t="s">
        <v>15</v>
      </c>
      <c r="S221">
        <v>0</v>
      </c>
    </row>
    <row r="222" spans="1:19" x14ac:dyDescent="0.3">
      <c r="A222">
        <v>221</v>
      </c>
      <c r="B222">
        <v>26.1</v>
      </c>
      <c r="C222" t="s">
        <v>11</v>
      </c>
      <c r="D222">
        <v>25000</v>
      </c>
      <c r="E222" t="s">
        <v>4</v>
      </c>
      <c r="F222">
        <v>5.96</v>
      </c>
      <c r="G222">
        <v>70.7</v>
      </c>
      <c r="H222">
        <v>3</v>
      </c>
      <c r="I222">
        <v>48.8</v>
      </c>
      <c r="J222" t="s">
        <v>4</v>
      </c>
      <c r="K222" t="s">
        <v>3</v>
      </c>
      <c r="L222">
        <v>4</v>
      </c>
      <c r="M222">
        <v>2.38</v>
      </c>
      <c r="N222">
        <v>1.77</v>
      </c>
      <c r="O222">
        <v>1.77</v>
      </c>
      <c r="P222" t="s">
        <v>2</v>
      </c>
      <c r="Q222" t="s">
        <v>1</v>
      </c>
      <c r="R222" t="s">
        <v>9</v>
      </c>
      <c r="S222">
        <v>0</v>
      </c>
    </row>
    <row r="223" spans="1:19" x14ac:dyDescent="0.3">
      <c r="A223">
        <v>222</v>
      </c>
      <c r="B223">
        <v>17</v>
      </c>
      <c r="C223" t="s">
        <v>11</v>
      </c>
      <c r="D223">
        <v>42091</v>
      </c>
      <c r="E223" t="s">
        <v>3</v>
      </c>
      <c r="F223">
        <v>6.89</v>
      </c>
      <c r="G223">
        <v>77.8</v>
      </c>
      <c r="H223">
        <v>3</v>
      </c>
      <c r="I223">
        <v>26.8</v>
      </c>
      <c r="J223" t="s">
        <v>4</v>
      </c>
      <c r="K223" t="s">
        <v>3</v>
      </c>
      <c r="L223">
        <v>7</v>
      </c>
      <c r="M223">
        <v>3.04</v>
      </c>
      <c r="N223">
        <v>3.42</v>
      </c>
      <c r="O223">
        <v>3.46</v>
      </c>
      <c r="P223" t="s">
        <v>10</v>
      </c>
      <c r="Q223" t="s">
        <v>6</v>
      </c>
      <c r="R223" t="s">
        <v>15</v>
      </c>
      <c r="S223">
        <v>0</v>
      </c>
    </row>
    <row r="224" spans="1:19" x14ac:dyDescent="0.3">
      <c r="A224">
        <v>223</v>
      </c>
      <c r="B224">
        <v>22.5</v>
      </c>
      <c r="C224" t="s">
        <v>11</v>
      </c>
      <c r="D224">
        <v>51910</v>
      </c>
      <c r="E224" t="s">
        <v>4</v>
      </c>
      <c r="F224">
        <v>2.84</v>
      </c>
      <c r="G224">
        <v>77.8</v>
      </c>
      <c r="H224">
        <v>0</v>
      </c>
      <c r="I224">
        <v>16.899999999999999</v>
      </c>
      <c r="J224" t="s">
        <v>4</v>
      </c>
      <c r="K224" t="s">
        <v>3</v>
      </c>
      <c r="L224">
        <v>4.4000000000000004</v>
      </c>
      <c r="M224">
        <v>2.2999999999999998</v>
      </c>
      <c r="N224">
        <v>2.39</v>
      </c>
      <c r="O224">
        <v>2.4300000000000002</v>
      </c>
      <c r="P224" t="s">
        <v>7</v>
      </c>
      <c r="Q224" t="s">
        <v>14</v>
      </c>
      <c r="R224" t="s">
        <v>9</v>
      </c>
      <c r="S224">
        <v>0</v>
      </c>
    </row>
    <row r="225" spans="1:19" x14ac:dyDescent="0.3">
      <c r="A225">
        <v>224</v>
      </c>
      <c r="B225">
        <v>17.5</v>
      </c>
      <c r="C225" t="s">
        <v>11</v>
      </c>
      <c r="D225">
        <v>25000</v>
      </c>
      <c r="E225" t="s">
        <v>4</v>
      </c>
      <c r="F225">
        <v>3.36</v>
      </c>
      <c r="G225">
        <v>86.4</v>
      </c>
      <c r="H225">
        <v>1</v>
      </c>
      <c r="I225">
        <v>20.2</v>
      </c>
      <c r="J225" t="s">
        <v>4</v>
      </c>
      <c r="K225" t="s">
        <v>4</v>
      </c>
      <c r="L225">
        <v>3.1</v>
      </c>
      <c r="M225">
        <v>2.88</v>
      </c>
      <c r="N225">
        <v>2.8</v>
      </c>
      <c r="O225">
        <v>2.8</v>
      </c>
      <c r="P225" t="s">
        <v>2</v>
      </c>
      <c r="Q225" t="s">
        <v>14</v>
      </c>
      <c r="R225" t="s">
        <v>15</v>
      </c>
      <c r="S225">
        <v>0</v>
      </c>
    </row>
    <row r="226" spans="1:19" x14ac:dyDescent="0.3">
      <c r="A226">
        <v>225</v>
      </c>
      <c r="B226">
        <v>20</v>
      </c>
      <c r="C226" t="s">
        <v>5</v>
      </c>
      <c r="D226">
        <v>45815</v>
      </c>
      <c r="E226" t="s">
        <v>4</v>
      </c>
      <c r="F226">
        <v>4.63</v>
      </c>
      <c r="G226">
        <v>81.5</v>
      </c>
      <c r="H226">
        <v>2</v>
      </c>
      <c r="I226">
        <v>53.4</v>
      </c>
      <c r="J226" t="s">
        <v>3</v>
      </c>
      <c r="K226" t="s">
        <v>4</v>
      </c>
      <c r="L226">
        <v>4.4000000000000004</v>
      </c>
      <c r="M226">
        <v>3.35</v>
      </c>
      <c r="N226">
        <v>4</v>
      </c>
      <c r="O226">
        <v>4</v>
      </c>
      <c r="P226" t="s">
        <v>2</v>
      </c>
      <c r="Q226" t="s">
        <v>1</v>
      </c>
      <c r="R226" t="s">
        <v>9</v>
      </c>
      <c r="S226">
        <v>0</v>
      </c>
    </row>
    <row r="227" spans="1:19" x14ac:dyDescent="0.3">
      <c r="A227">
        <v>226</v>
      </c>
      <c r="B227">
        <v>23.4</v>
      </c>
      <c r="C227" t="s">
        <v>11</v>
      </c>
      <c r="D227">
        <v>25000</v>
      </c>
      <c r="E227" t="s">
        <v>4</v>
      </c>
      <c r="F227">
        <v>4.33</v>
      </c>
      <c r="G227">
        <v>75.5</v>
      </c>
      <c r="H227">
        <v>2</v>
      </c>
      <c r="I227">
        <v>47.8</v>
      </c>
      <c r="J227" t="s">
        <v>3</v>
      </c>
      <c r="K227" t="s">
        <v>4</v>
      </c>
      <c r="L227">
        <v>5.2</v>
      </c>
      <c r="M227">
        <v>2.13</v>
      </c>
      <c r="N227">
        <v>2.61</v>
      </c>
      <c r="O227">
        <v>2.5499999999999998</v>
      </c>
      <c r="P227" t="s">
        <v>10</v>
      </c>
      <c r="Q227" t="s">
        <v>14</v>
      </c>
      <c r="R227" t="s">
        <v>0</v>
      </c>
      <c r="S227">
        <v>1</v>
      </c>
    </row>
    <row r="228" spans="1:19" x14ac:dyDescent="0.3">
      <c r="A228">
        <v>227</v>
      </c>
      <c r="B228">
        <v>21.1</v>
      </c>
      <c r="C228" t="s">
        <v>5</v>
      </c>
      <c r="D228">
        <v>25000</v>
      </c>
      <c r="E228" t="s">
        <v>4</v>
      </c>
      <c r="F228">
        <v>5.28</v>
      </c>
      <c r="G228">
        <v>80.7</v>
      </c>
      <c r="H228">
        <v>1</v>
      </c>
      <c r="I228">
        <v>16.899999999999999</v>
      </c>
      <c r="J228" t="s">
        <v>3</v>
      </c>
      <c r="K228" t="s">
        <v>4</v>
      </c>
      <c r="L228">
        <v>3.1</v>
      </c>
      <c r="M228">
        <v>4</v>
      </c>
      <c r="N228">
        <v>3.6</v>
      </c>
      <c r="O228">
        <v>3.7</v>
      </c>
      <c r="P228" t="s">
        <v>7</v>
      </c>
      <c r="Q228" t="s">
        <v>8</v>
      </c>
      <c r="R228" t="s">
        <v>9</v>
      </c>
      <c r="S228">
        <v>0</v>
      </c>
    </row>
    <row r="229" spans="1:19" x14ac:dyDescent="0.3">
      <c r="A229">
        <v>228</v>
      </c>
      <c r="B229">
        <v>18.600000000000001</v>
      </c>
      <c r="C229" t="s">
        <v>5</v>
      </c>
      <c r="D229">
        <v>64566</v>
      </c>
      <c r="E229" t="s">
        <v>4</v>
      </c>
      <c r="F229">
        <v>4.6500000000000004</v>
      </c>
      <c r="G229">
        <v>79.400000000000006</v>
      </c>
      <c r="H229">
        <v>1</v>
      </c>
      <c r="I229">
        <v>49.9</v>
      </c>
      <c r="J229" t="s">
        <v>3</v>
      </c>
      <c r="K229" t="s">
        <v>4</v>
      </c>
      <c r="L229">
        <v>7.9</v>
      </c>
      <c r="M229">
        <v>3.76</v>
      </c>
      <c r="N229">
        <v>3.78</v>
      </c>
      <c r="O229">
        <v>3.86</v>
      </c>
      <c r="P229" t="s">
        <v>7</v>
      </c>
      <c r="Q229" t="s">
        <v>13</v>
      </c>
      <c r="R229" t="s">
        <v>9</v>
      </c>
      <c r="S229">
        <v>0</v>
      </c>
    </row>
    <row r="230" spans="1:19" x14ac:dyDescent="0.3">
      <c r="A230">
        <v>229</v>
      </c>
      <c r="B230">
        <v>19.399999999999999</v>
      </c>
      <c r="C230" t="s">
        <v>5</v>
      </c>
      <c r="D230">
        <v>25999</v>
      </c>
      <c r="E230" t="s">
        <v>4</v>
      </c>
      <c r="F230">
        <v>5.08</v>
      </c>
      <c r="G230">
        <v>74.599999999999994</v>
      </c>
      <c r="H230">
        <v>0</v>
      </c>
      <c r="I230">
        <v>21.5</v>
      </c>
      <c r="J230" t="s">
        <v>3</v>
      </c>
      <c r="K230" t="s">
        <v>3</v>
      </c>
      <c r="L230">
        <v>2.7</v>
      </c>
      <c r="M230">
        <v>4</v>
      </c>
      <c r="N230">
        <v>3.81</v>
      </c>
      <c r="O230">
        <v>3.86</v>
      </c>
      <c r="P230" t="s">
        <v>12</v>
      </c>
      <c r="Q230" t="s">
        <v>8</v>
      </c>
      <c r="R230" t="s">
        <v>15</v>
      </c>
      <c r="S230">
        <v>0</v>
      </c>
    </row>
    <row r="231" spans="1:19" x14ac:dyDescent="0.3">
      <c r="A231">
        <v>230</v>
      </c>
      <c r="B231">
        <v>22.5</v>
      </c>
      <c r="C231" t="s">
        <v>11</v>
      </c>
      <c r="D231">
        <v>25000</v>
      </c>
      <c r="E231" t="s">
        <v>4</v>
      </c>
      <c r="F231">
        <v>8.4700000000000006</v>
      </c>
      <c r="G231">
        <v>93.7</v>
      </c>
      <c r="H231">
        <v>1</v>
      </c>
      <c r="I231">
        <v>38</v>
      </c>
      <c r="J231" t="s">
        <v>4</v>
      </c>
      <c r="K231" t="s">
        <v>4</v>
      </c>
      <c r="L231">
        <v>4.5</v>
      </c>
      <c r="M231">
        <v>3.63</v>
      </c>
      <c r="N231">
        <v>4</v>
      </c>
      <c r="O231">
        <v>3.94</v>
      </c>
      <c r="P231" t="s">
        <v>7</v>
      </c>
      <c r="Q231" t="s">
        <v>14</v>
      </c>
      <c r="R231" t="s">
        <v>0</v>
      </c>
      <c r="S231">
        <v>0</v>
      </c>
    </row>
    <row r="232" spans="1:19" x14ac:dyDescent="0.3">
      <c r="A232">
        <v>231</v>
      </c>
      <c r="B232">
        <v>19.399999999999999</v>
      </c>
      <c r="C232" t="s">
        <v>11</v>
      </c>
      <c r="D232">
        <v>25000</v>
      </c>
      <c r="E232" t="s">
        <v>4</v>
      </c>
      <c r="F232">
        <v>1.93</v>
      </c>
      <c r="G232">
        <v>80.5</v>
      </c>
      <c r="H232">
        <v>2</v>
      </c>
      <c r="I232">
        <v>21.5</v>
      </c>
      <c r="J232" t="s">
        <v>4</v>
      </c>
      <c r="K232" t="s">
        <v>3</v>
      </c>
      <c r="L232">
        <v>3.8</v>
      </c>
      <c r="M232">
        <v>2.63</v>
      </c>
      <c r="N232">
        <v>2.81</v>
      </c>
      <c r="O232">
        <v>2.81</v>
      </c>
      <c r="P232" t="s">
        <v>2</v>
      </c>
      <c r="Q232" t="s">
        <v>1</v>
      </c>
      <c r="R232" t="s">
        <v>15</v>
      </c>
      <c r="S232">
        <v>0</v>
      </c>
    </row>
    <row r="233" spans="1:19" x14ac:dyDescent="0.3">
      <c r="A233">
        <v>232</v>
      </c>
      <c r="B233">
        <v>21.5</v>
      </c>
      <c r="C233" t="s">
        <v>5</v>
      </c>
      <c r="D233">
        <v>25000</v>
      </c>
      <c r="E233" t="s">
        <v>4</v>
      </c>
      <c r="F233">
        <v>5.75</v>
      </c>
      <c r="G233">
        <v>75.7</v>
      </c>
      <c r="H233">
        <v>3</v>
      </c>
      <c r="I233">
        <v>56</v>
      </c>
      <c r="J233" t="s">
        <v>3</v>
      </c>
      <c r="K233" t="s">
        <v>3</v>
      </c>
      <c r="L233">
        <v>7.9</v>
      </c>
      <c r="M233">
        <v>2.5</v>
      </c>
      <c r="N233">
        <v>2.64</v>
      </c>
      <c r="O233">
        <v>2.68</v>
      </c>
      <c r="P233" t="s">
        <v>12</v>
      </c>
      <c r="Q233" t="s">
        <v>8</v>
      </c>
      <c r="R233" t="s">
        <v>15</v>
      </c>
      <c r="S233">
        <v>0</v>
      </c>
    </row>
    <row r="234" spans="1:19" x14ac:dyDescent="0.3">
      <c r="A234">
        <v>233</v>
      </c>
      <c r="B234">
        <v>21.1</v>
      </c>
      <c r="C234" t="s">
        <v>11</v>
      </c>
      <c r="D234">
        <v>26915</v>
      </c>
      <c r="E234" t="s">
        <v>4</v>
      </c>
      <c r="F234">
        <v>5.92</v>
      </c>
      <c r="G234">
        <v>68.7</v>
      </c>
      <c r="H234">
        <v>0</v>
      </c>
      <c r="I234">
        <v>23.2</v>
      </c>
      <c r="J234" t="s">
        <v>3</v>
      </c>
      <c r="K234" t="s">
        <v>3</v>
      </c>
      <c r="L234">
        <v>2.8</v>
      </c>
      <c r="M234">
        <v>2.88</v>
      </c>
      <c r="N234">
        <v>3.07</v>
      </c>
      <c r="O234">
        <v>3.07</v>
      </c>
      <c r="P234" t="s">
        <v>7</v>
      </c>
      <c r="Q234" t="s">
        <v>6</v>
      </c>
      <c r="R234" t="s">
        <v>0</v>
      </c>
      <c r="S234">
        <v>0</v>
      </c>
    </row>
    <row r="235" spans="1:19" x14ac:dyDescent="0.3">
      <c r="A235">
        <v>234</v>
      </c>
      <c r="B235">
        <v>19.600000000000001</v>
      </c>
      <c r="C235" t="s">
        <v>5</v>
      </c>
      <c r="D235">
        <v>25000</v>
      </c>
      <c r="E235" t="s">
        <v>4</v>
      </c>
      <c r="F235">
        <v>2.57</v>
      </c>
      <c r="G235">
        <v>82.7</v>
      </c>
      <c r="H235">
        <v>0</v>
      </c>
      <c r="I235">
        <v>17.399999999999999</v>
      </c>
      <c r="J235" t="s">
        <v>3</v>
      </c>
      <c r="K235" t="s">
        <v>3</v>
      </c>
      <c r="L235">
        <v>7</v>
      </c>
      <c r="M235">
        <v>0.86</v>
      </c>
      <c r="N235">
        <v>0.8</v>
      </c>
      <c r="O235">
        <v>0.78</v>
      </c>
      <c r="P235" t="s">
        <v>12</v>
      </c>
      <c r="Q235" t="s">
        <v>6</v>
      </c>
      <c r="R235" t="s">
        <v>0</v>
      </c>
      <c r="S235">
        <v>0</v>
      </c>
    </row>
    <row r="236" spans="1:19" x14ac:dyDescent="0.3">
      <c r="A236">
        <v>235</v>
      </c>
      <c r="B236">
        <v>25.7</v>
      </c>
      <c r="C236" t="s">
        <v>5</v>
      </c>
      <c r="D236">
        <v>33102</v>
      </c>
      <c r="E236" t="s">
        <v>4</v>
      </c>
      <c r="F236">
        <v>2.96</v>
      </c>
      <c r="G236">
        <v>86.1</v>
      </c>
      <c r="H236">
        <v>4</v>
      </c>
      <c r="I236">
        <v>24.5</v>
      </c>
      <c r="J236" t="s">
        <v>4</v>
      </c>
      <c r="K236" t="s">
        <v>3</v>
      </c>
      <c r="L236">
        <v>5.9</v>
      </c>
      <c r="M236">
        <v>2.4</v>
      </c>
      <c r="N236">
        <v>2.0099999999999998</v>
      </c>
      <c r="O236">
        <v>1.98</v>
      </c>
      <c r="P236" t="s">
        <v>10</v>
      </c>
      <c r="Q236" t="s">
        <v>6</v>
      </c>
      <c r="R236" t="s">
        <v>9</v>
      </c>
      <c r="S236">
        <v>0</v>
      </c>
    </row>
    <row r="237" spans="1:19" x14ac:dyDescent="0.3">
      <c r="A237">
        <v>236</v>
      </c>
      <c r="B237">
        <v>22.4</v>
      </c>
      <c r="C237" t="s">
        <v>11</v>
      </c>
      <c r="D237">
        <v>28519</v>
      </c>
      <c r="E237" t="s">
        <v>4</v>
      </c>
      <c r="F237">
        <v>4.6500000000000004</v>
      </c>
      <c r="G237">
        <v>76.8</v>
      </c>
      <c r="H237">
        <v>2</v>
      </c>
      <c r="I237">
        <v>61.5</v>
      </c>
      <c r="J237" t="s">
        <v>3</v>
      </c>
      <c r="K237" t="s">
        <v>3</v>
      </c>
      <c r="L237">
        <v>3.3</v>
      </c>
      <c r="M237">
        <v>4</v>
      </c>
      <c r="N237">
        <v>4</v>
      </c>
      <c r="O237">
        <v>4</v>
      </c>
      <c r="P237" t="s">
        <v>2</v>
      </c>
      <c r="Q237" t="s">
        <v>14</v>
      </c>
      <c r="R237" t="s">
        <v>0</v>
      </c>
      <c r="S237">
        <v>0</v>
      </c>
    </row>
    <row r="238" spans="1:19" x14ac:dyDescent="0.3">
      <c r="A238">
        <v>237</v>
      </c>
      <c r="B238">
        <v>17</v>
      </c>
      <c r="C238" t="s">
        <v>11</v>
      </c>
      <c r="D238">
        <v>67228</v>
      </c>
      <c r="E238" t="s">
        <v>4</v>
      </c>
      <c r="F238">
        <v>2.38</v>
      </c>
      <c r="G238">
        <v>83.1</v>
      </c>
      <c r="H238">
        <v>0</v>
      </c>
      <c r="I238">
        <v>33.1</v>
      </c>
      <c r="J238" t="s">
        <v>4</v>
      </c>
      <c r="K238" t="s">
        <v>3</v>
      </c>
      <c r="L238">
        <v>4.9000000000000004</v>
      </c>
      <c r="M238">
        <v>1.84</v>
      </c>
      <c r="N238">
        <v>2.04</v>
      </c>
      <c r="O238">
        <v>2.09</v>
      </c>
      <c r="P238" t="s">
        <v>10</v>
      </c>
      <c r="Q238" t="s">
        <v>8</v>
      </c>
      <c r="R238" t="s">
        <v>0</v>
      </c>
      <c r="S238">
        <v>1</v>
      </c>
    </row>
    <row r="239" spans="1:19" x14ac:dyDescent="0.3">
      <c r="A239">
        <v>238</v>
      </c>
      <c r="B239">
        <v>21.4</v>
      </c>
      <c r="C239" t="s">
        <v>11</v>
      </c>
      <c r="D239">
        <v>38358</v>
      </c>
      <c r="E239" t="s">
        <v>4</v>
      </c>
      <c r="F239">
        <v>3.2</v>
      </c>
      <c r="G239">
        <v>73.3</v>
      </c>
      <c r="H239">
        <v>2</v>
      </c>
      <c r="I239">
        <v>17.7</v>
      </c>
      <c r="J239" t="s">
        <v>4</v>
      </c>
      <c r="K239" t="s">
        <v>3</v>
      </c>
      <c r="L239">
        <v>5.2</v>
      </c>
      <c r="M239">
        <v>1.77</v>
      </c>
      <c r="N239">
        <v>1.79</v>
      </c>
      <c r="O239">
        <v>1.83</v>
      </c>
      <c r="P239" t="s">
        <v>12</v>
      </c>
      <c r="Q239" t="s">
        <v>8</v>
      </c>
      <c r="R239" t="s">
        <v>9</v>
      </c>
      <c r="S239">
        <v>1</v>
      </c>
    </row>
    <row r="240" spans="1:19" x14ac:dyDescent="0.3">
      <c r="A240">
        <v>239</v>
      </c>
      <c r="B240">
        <v>19.5</v>
      </c>
      <c r="C240" t="s">
        <v>11</v>
      </c>
      <c r="D240">
        <v>39128</v>
      </c>
      <c r="E240" t="s">
        <v>3</v>
      </c>
      <c r="F240">
        <v>4.3099999999999996</v>
      </c>
      <c r="G240">
        <v>80.2</v>
      </c>
      <c r="H240">
        <v>0</v>
      </c>
      <c r="I240">
        <v>20.5</v>
      </c>
      <c r="J240" t="s">
        <v>3</v>
      </c>
      <c r="K240" t="s">
        <v>3</v>
      </c>
      <c r="L240">
        <v>6.6</v>
      </c>
      <c r="M240">
        <v>2.82</v>
      </c>
      <c r="N240">
        <v>2.65</v>
      </c>
      <c r="O240">
        <v>2.65</v>
      </c>
      <c r="P240" t="s">
        <v>10</v>
      </c>
      <c r="Q240" t="s">
        <v>8</v>
      </c>
      <c r="R240" t="s">
        <v>9</v>
      </c>
      <c r="S240">
        <v>0</v>
      </c>
    </row>
    <row r="241" spans="1:19" x14ac:dyDescent="0.3">
      <c r="A241">
        <v>240</v>
      </c>
      <c r="B241">
        <v>22.9</v>
      </c>
      <c r="C241" t="s">
        <v>11</v>
      </c>
      <c r="D241">
        <v>59820</v>
      </c>
      <c r="E241" t="s">
        <v>4</v>
      </c>
      <c r="F241">
        <v>3.11</v>
      </c>
      <c r="G241">
        <v>90.7</v>
      </c>
      <c r="H241">
        <v>1</v>
      </c>
      <c r="I241">
        <v>9</v>
      </c>
      <c r="J241" t="s">
        <v>4</v>
      </c>
      <c r="K241" t="s">
        <v>3</v>
      </c>
      <c r="L241">
        <v>4.3</v>
      </c>
      <c r="M241">
        <v>3.78</v>
      </c>
      <c r="N241">
        <v>3.77</v>
      </c>
      <c r="O241">
        <v>3.71</v>
      </c>
      <c r="P241" t="s">
        <v>12</v>
      </c>
      <c r="Q241" t="s">
        <v>14</v>
      </c>
      <c r="R241" t="s">
        <v>9</v>
      </c>
      <c r="S241">
        <v>0</v>
      </c>
    </row>
    <row r="242" spans="1:19" x14ac:dyDescent="0.3">
      <c r="A242">
        <v>241</v>
      </c>
      <c r="B242">
        <v>19.3</v>
      </c>
      <c r="C242" t="s">
        <v>11</v>
      </c>
      <c r="D242">
        <v>25000</v>
      </c>
      <c r="E242" t="s">
        <v>4</v>
      </c>
      <c r="F242">
        <v>3.7</v>
      </c>
      <c r="G242">
        <v>80.099999999999994</v>
      </c>
      <c r="H242">
        <v>4</v>
      </c>
      <c r="I242">
        <v>36.5</v>
      </c>
      <c r="J242" t="s">
        <v>4</v>
      </c>
      <c r="K242" t="s">
        <v>3</v>
      </c>
      <c r="L242">
        <v>6.6</v>
      </c>
      <c r="M242">
        <v>1.5</v>
      </c>
      <c r="N242">
        <v>0.93</v>
      </c>
      <c r="O242">
        <v>0.91</v>
      </c>
      <c r="P242" t="s">
        <v>10</v>
      </c>
      <c r="Q242" t="s">
        <v>13</v>
      </c>
      <c r="R242" t="s">
        <v>16</v>
      </c>
      <c r="S242">
        <v>1</v>
      </c>
    </row>
    <row r="243" spans="1:19" x14ac:dyDescent="0.3">
      <c r="A243">
        <v>242</v>
      </c>
      <c r="B243">
        <v>20.7</v>
      </c>
      <c r="C243" t="s">
        <v>11</v>
      </c>
      <c r="D243">
        <v>25000</v>
      </c>
      <c r="E243" t="s">
        <v>4</v>
      </c>
      <c r="F243">
        <v>2.87</v>
      </c>
      <c r="G243">
        <v>76.8</v>
      </c>
      <c r="H243">
        <v>1</v>
      </c>
      <c r="I243">
        <v>15</v>
      </c>
      <c r="J243" t="s">
        <v>4</v>
      </c>
      <c r="K243" t="s">
        <v>3</v>
      </c>
      <c r="L243">
        <v>5.6</v>
      </c>
      <c r="M243">
        <v>0.85</v>
      </c>
      <c r="N243">
        <v>0.94</v>
      </c>
      <c r="O243">
        <v>0.88</v>
      </c>
      <c r="P243" t="s">
        <v>10</v>
      </c>
      <c r="Q243" t="s">
        <v>6</v>
      </c>
      <c r="R243" t="s">
        <v>9</v>
      </c>
      <c r="S243">
        <v>0</v>
      </c>
    </row>
    <row r="244" spans="1:19" x14ac:dyDescent="0.3">
      <c r="A244">
        <v>243</v>
      </c>
      <c r="B244">
        <v>22.1</v>
      </c>
      <c r="C244" t="s">
        <v>11</v>
      </c>
      <c r="D244">
        <v>61340</v>
      </c>
      <c r="E244" t="s">
        <v>4</v>
      </c>
      <c r="F244">
        <v>2.77</v>
      </c>
      <c r="G244">
        <v>92.7</v>
      </c>
      <c r="H244">
        <v>1</v>
      </c>
      <c r="I244">
        <v>43.3</v>
      </c>
      <c r="J244" t="s">
        <v>4</v>
      </c>
      <c r="K244" t="s">
        <v>3</v>
      </c>
      <c r="L244">
        <v>6.3</v>
      </c>
      <c r="M244">
        <v>0</v>
      </c>
      <c r="N244">
        <v>0.23</v>
      </c>
      <c r="O244">
        <v>0.27</v>
      </c>
      <c r="P244" t="s">
        <v>12</v>
      </c>
      <c r="Q244" t="s">
        <v>1</v>
      </c>
      <c r="R244" t="s">
        <v>15</v>
      </c>
      <c r="S244">
        <v>1</v>
      </c>
    </row>
    <row r="245" spans="1:19" x14ac:dyDescent="0.3">
      <c r="A245">
        <v>244</v>
      </c>
      <c r="B245">
        <v>22.9</v>
      </c>
      <c r="C245" t="s">
        <v>11</v>
      </c>
      <c r="D245">
        <v>32257</v>
      </c>
      <c r="E245" t="s">
        <v>4</v>
      </c>
      <c r="F245">
        <v>4.6100000000000003</v>
      </c>
      <c r="G245">
        <v>83.6</v>
      </c>
      <c r="H245">
        <v>0</v>
      </c>
      <c r="I245">
        <v>39.5</v>
      </c>
      <c r="J245" t="s">
        <v>4</v>
      </c>
      <c r="K245" t="s">
        <v>4</v>
      </c>
      <c r="L245">
        <v>3.9</v>
      </c>
      <c r="M245">
        <v>3.18</v>
      </c>
      <c r="N245">
        <v>3.11</v>
      </c>
      <c r="O245">
        <v>3.07</v>
      </c>
      <c r="P245" t="s">
        <v>10</v>
      </c>
      <c r="Q245" t="s">
        <v>6</v>
      </c>
      <c r="R245" t="s">
        <v>0</v>
      </c>
      <c r="S245">
        <v>0</v>
      </c>
    </row>
    <row r="246" spans="1:19" x14ac:dyDescent="0.3">
      <c r="A246">
        <v>245</v>
      </c>
      <c r="B246">
        <v>18.399999999999999</v>
      </c>
      <c r="C246" t="s">
        <v>11</v>
      </c>
      <c r="D246">
        <v>32325</v>
      </c>
      <c r="E246" t="s">
        <v>3</v>
      </c>
      <c r="F246">
        <v>3.87</v>
      </c>
      <c r="G246">
        <v>78</v>
      </c>
      <c r="H246">
        <v>0</v>
      </c>
      <c r="I246">
        <v>28.8</v>
      </c>
      <c r="J246" t="s">
        <v>4</v>
      </c>
      <c r="K246" t="s">
        <v>3</v>
      </c>
      <c r="L246">
        <v>5.0999999999999996</v>
      </c>
      <c r="M246">
        <v>1.96</v>
      </c>
      <c r="N246">
        <v>1.62</v>
      </c>
      <c r="O246">
        <v>1.62</v>
      </c>
      <c r="P246" t="s">
        <v>7</v>
      </c>
      <c r="Q246" t="s">
        <v>6</v>
      </c>
      <c r="R246" t="s">
        <v>16</v>
      </c>
      <c r="S246">
        <v>0</v>
      </c>
    </row>
    <row r="247" spans="1:19" x14ac:dyDescent="0.3">
      <c r="A247">
        <v>246</v>
      </c>
      <c r="B247">
        <v>20.3</v>
      </c>
      <c r="C247" t="s">
        <v>5</v>
      </c>
      <c r="D247">
        <v>25000</v>
      </c>
      <c r="E247" t="s">
        <v>4</v>
      </c>
      <c r="F247">
        <v>4.16</v>
      </c>
      <c r="G247">
        <v>75.099999999999994</v>
      </c>
      <c r="H247">
        <v>1</v>
      </c>
      <c r="I247">
        <v>44.8</v>
      </c>
      <c r="J247" t="s">
        <v>3</v>
      </c>
      <c r="K247" t="s">
        <v>3</v>
      </c>
      <c r="L247">
        <v>5.7</v>
      </c>
      <c r="M247">
        <v>0</v>
      </c>
      <c r="N247">
        <v>0.15</v>
      </c>
      <c r="O247">
        <v>0.08</v>
      </c>
      <c r="P247" t="s">
        <v>7</v>
      </c>
      <c r="Q247" t="s">
        <v>6</v>
      </c>
      <c r="R247" t="s">
        <v>16</v>
      </c>
      <c r="S247">
        <v>0</v>
      </c>
    </row>
    <row r="248" spans="1:19" x14ac:dyDescent="0.3">
      <c r="A248">
        <v>247</v>
      </c>
      <c r="B248">
        <v>20</v>
      </c>
      <c r="C248" t="s">
        <v>11</v>
      </c>
      <c r="D248">
        <v>25000</v>
      </c>
      <c r="E248" t="s">
        <v>3</v>
      </c>
      <c r="F248">
        <v>4.92</v>
      </c>
      <c r="G248">
        <v>72.8</v>
      </c>
      <c r="H248">
        <v>1</v>
      </c>
      <c r="I248">
        <v>41.1</v>
      </c>
      <c r="J248" t="s">
        <v>3</v>
      </c>
      <c r="K248" t="s">
        <v>3</v>
      </c>
      <c r="L248">
        <v>5.6</v>
      </c>
      <c r="M248">
        <v>1.41</v>
      </c>
      <c r="N248">
        <v>1.35</v>
      </c>
      <c r="O248">
        <v>1.36</v>
      </c>
      <c r="P248" t="s">
        <v>10</v>
      </c>
      <c r="Q248" t="s">
        <v>1</v>
      </c>
      <c r="R248" t="s">
        <v>0</v>
      </c>
      <c r="S248">
        <v>1</v>
      </c>
    </row>
    <row r="249" spans="1:19" x14ac:dyDescent="0.3">
      <c r="A249">
        <v>248</v>
      </c>
      <c r="B249">
        <v>19.600000000000001</v>
      </c>
      <c r="C249" t="s">
        <v>5</v>
      </c>
      <c r="D249">
        <v>49416</v>
      </c>
      <c r="E249" t="s">
        <v>4</v>
      </c>
      <c r="F249">
        <v>4.24</v>
      </c>
      <c r="G249">
        <v>85.4</v>
      </c>
      <c r="H249">
        <v>4</v>
      </c>
      <c r="I249">
        <v>31.9</v>
      </c>
      <c r="J249" t="s">
        <v>3</v>
      </c>
      <c r="K249" t="s">
        <v>4</v>
      </c>
      <c r="L249">
        <v>5.4</v>
      </c>
      <c r="M249">
        <v>2.17</v>
      </c>
      <c r="N249">
        <v>2</v>
      </c>
      <c r="O249">
        <v>2</v>
      </c>
      <c r="P249" t="s">
        <v>12</v>
      </c>
      <c r="Q249" t="s">
        <v>14</v>
      </c>
      <c r="R249" t="s">
        <v>15</v>
      </c>
      <c r="S249">
        <v>1</v>
      </c>
    </row>
    <row r="250" spans="1:19" x14ac:dyDescent="0.3">
      <c r="A250">
        <v>249</v>
      </c>
      <c r="B250">
        <v>24.9</v>
      </c>
      <c r="C250" t="s">
        <v>5</v>
      </c>
      <c r="D250">
        <v>53680</v>
      </c>
      <c r="E250" t="s">
        <v>4</v>
      </c>
      <c r="F250">
        <v>3.56</v>
      </c>
      <c r="G250">
        <v>88.1</v>
      </c>
      <c r="H250">
        <v>3</v>
      </c>
      <c r="I250">
        <v>20.8</v>
      </c>
      <c r="J250" t="s">
        <v>3</v>
      </c>
      <c r="K250" t="s">
        <v>3</v>
      </c>
      <c r="L250">
        <v>9.3000000000000007</v>
      </c>
      <c r="M250">
        <v>1.51</v>
      </c>
      <c r="N250">
        <v>1.54</v>
      </c>
      <c r="O250">
        <v>1.54</v>
      </c>
      <c r="P250" t="s">
        <v>2</v>
      </c>
      <c r="Q250" t="s">
        <v>1</v>
      </c>
      <c r="R250" t="s">
        <v>17</v>
      </c>
      <c r="S250">
        <v>1</v>
      </c>
    </row>
    <row r="251" spans="1:19" x14ac:dyDescent="0.3">
      <c r="A251">
        <v>250</v>
      </c>
      <c r="B251">
        <v>21.9</v>
      </c>
      <c r="C251" t="s">
        <v>11</v>
      </c>
      <c r="D251">
        <v>47586</v>
      </c>
      <c r="E251" t="s">
        <v>3</v>
      </c>
      <c r="F251">
        <v>2.86</v>
      </c>
      <c r="G251">
        <v>82</v>
      </c>
      <c r="H251">
        <v>0</v>
      </c>
      <c r="I251">
        <v>35</v>
      </c>
      <c r="J251" t="s">
        <v>4</v>
      </c>
      <c r="K251" t="s">
        <v>3</v>
      </c>
      <c r="L251">
        <v>6.5</v>
      </c>
      <c r="M251">
        <v>3.45</v>
      </c>
      <c r="N251">
        <v>3.48</v>
      </c>
      <c r="O251">
        <v>3.48</v>
      </c>
      <c r="P251" t="s">
        <v>2</v>
      </c>
      <c r="Q251" t="s">
        <v>1</v>
      </c>
      <c r="R251" t="s">
        <v>0</v>
      </c>
      <c r="S251">
        <v>0</v>
      </c>
    </row>
    <row r="252" spans="1:19" x14ac:dyDescent="0.3">
      <c r="A252">
        <v>251</v>
      </c>
      <c r="B252">
        <v>18.2</v>
      </c>
      <c r="C252" t="s">
        <v>5</v>
      </c>
      <c r="D252">
        <v>47848</v>
      </c>
      <c r="E252" t="s">
        <v>4</v>
      </c>
      <c r="F252">
        <v>4.58</v>
      </c>
      <c r="G252">
        <v>80.400000000000006</v>
      </c>
      <c r="H252">
        <v>2</v>
      </c>
      <c r="I252">
        <v>34.9</v>
      </c>
      <c r="J252" t="s">
        <v>4</v>
      </c>
      <c r="K252" t="s">
        <v>3</v>
      </c>
      <c r="L252">
        <v>6.8</v>
      </c>
      <c r="M252">
        <v>2.7</v>
      </c>
      <c r="N252">
        <v>2.88</v>
      </c>
      <c r="O252">
        <v>2.82</v>
      </c>
      <c r="P252" t="s">
        <v>7</v>
      </c>
      <c r="Q252" t="s">
        <v>1</v>
      </c>
      <c r="R252" t="s">
        <v>15</v>
      </c>
      <c r="S252">
        <v>0</v>
      </c>
    </row>
    <row r="253" spans="1:19" x14ac:dyDescent="0.3">
      <c r="A253">
        <v>252</v>
      </c>
      <c r="B253">
        <v>23</v>
      </c>
      <c r="C253" t="s">
        <v>5</v>
      </c>
      <c r="E253" t="s">
        <v>4</v>
      </c>
      <c r="G253">
        <v>71.7</v>
      </c>
      <c r="H253">
        <v>1</v>
      </c>
      <c r="I253">
        <v>35.9</v>
      </c>
      <c r="J253" t="s">
        <v>3</v>
      </c>
      <c r="K253" t="s">
        <v>3</v>
      </c>
      <c r="M253">
        <v>3.04</v>
      </c>
      <c r="N253">
        <v>2.99</v>
      </c>
      <c r="O253">
        <v>3.07</v>
      </c>
      <c r="P253" t="s">
        <v>10</v>
      </c>
      <c r="Q253" t="s">
        <v>14</v>
      </c>
      <c r="R253" t="s">
        <v>15</v>
      </c>
      <c r="S253">
        <v>0</v>
      </c>
    </row>
    <row r="254" spans="1:19" x14ac:dyDescent="0.3">
      <c r="A254">
        <v>253</v>
      </c>
      <c r="B254">
        <v>25.7</v>
      </c>
      <c r="C254" t="s">
        <v>11</v>
      </c>
      <c r="D254">
        <v>32174</v>
      </c>
      <c r="E254" t="s">
        <v>3</v>
      </c>
      <c r="F254">
        <v>5.14</v>
      </c>
      <c r="G254">
        <v>70.7</v>
      </c>
      <c r="H254">
        <v>1</v>
      </c>
      <c r="I254">
        <v>30.9</v>
      </c>
      <c r="J254" t="s">
        <v>3</v>
      </c>
      <c r="K254" t="s">
        <v>3</v>
      </c>
      <c r="L254">
        <v>6.5</v>
      </c>
      <c r="M254">
        <v>2.1</v>
      </c>
      <c r="N254">
        <v>2.0699999999999998</v>
      </c>
      <c r="O254">
        <v>2.17</v>
      </c>
      <c r="P254" t="s">
        <v>7</v>
      </c>
      <c r="Q254" t="s">
        <v>8</v>
      </c>
      <c r="R254" t="s">
        <v>9</v>
      </c>
      <c r="S254">
        <v>1</v>
      </c>
    </row>
    <row r="255" spans="1:19" x14ac:dyDescent="0.3">
      <c r="A255">
        <v>254</v>
      </c>
      <c r="B255">
        <v>23.3</v>
      </c>
      <c r="C255" t="s">
        <v>5</v>
      </c>
      <c r="D255">
        <v>26763</v>
      </c>
      <c r="E255" t="s">
        <v>3</v>
      </c>
      <c r="F255">
        <v>2.04</v>
      </c>
      <c r="G255">
        <v>82.6</v>
      </c>
      <c r="H255">
        <v>1</v>
      </c>
      <c r="I255">
        <v>33.9</v>
      </c>
      <c r="J255" t="s">
        <v>4</v>
      </c>
      <c r="K255" t="s">
        <v>3</v>
      </c>
      <c r="L255">
        <v>5.9</v>
      </c>
      <c r="M255">
        <v>0</v>
      </c>
      <c r="N255">
        <v>0.34</v>
      </c>
      <c r="O255">
        <v>0.44</v>
      </c>
      <c r="P255" t="s">
        <v>12</v>
      </c>
      <c r="Q255" t="s">
        <v>13</v>
      </c>
      <c r="R255" t="s">
        <v>17</v>
      </c>
      <c r="S255">
        <v>1</v>
      </c>
    </row>
    <row r="256" spans="1:19" x14ac:dyDescent="0.3">
      <c r="A256">
        <v>255</v>
      </c>
      <c r="B256">
        <v>17.7</v>
      </c>
      <c r="C256" t="s">
        <v>5</v>
      </c>
      <c r="D256">
        <v>61463</v>
      </c>
      <c r="E256" t="s">
        <v>4</v>
      </c>
      <c r="F256">
        <v>1.37</v>
      </c>
      <c r="G256">
        <v>82.1</v>
      </c>
      <c r="H256">
        <v>3</v>
      </c>
      <c r="I256">
        <v>33.6</v>
      </c>
      <c r="J256" t="s">
        <v>3</v>
      </c>
      <c r="K256" t="s">
        <v>3</v>
      </c>
      <c r="L256">
        <v>8.8000000000000007</v>
      </c>
      <c r="M256">
        <v>0</v>
      </c>
      <c r="N256">
        <v>0</v>
      </c>
      <c r="O256">
        <v>0.02</v>
      </c>
      <c r="P256" t="s">
        <v>7</v>
      </c>
      <c r="Q256" t="s">
        <v>1</v>
      </c>
      <c r="R256" t="s">
        <v>9</v>
      </c>
      <c r="S256">
        <v>1</v>
      </c>
    </row>
    <row r="257" spans="1:19" x14ac:dyDescent="0.3">
      <c r="A257">
        <v>256</v>
      </c>
      <c r="B257">
        <v>19.899999999999999</v>
      </c>
      <c r="C257" t="s">
        <v>11</v>
      </c>
      <c r="D257">
        <v>25000</v>
      </c>
      <c r="E257" t="s">
        <v>4</v>
      </c>
      <c r="F257">
        <v>3.04</v>
      </c>
      <c r="G257">
        <v>85.3</v>
      </c>
      <c r="H257">
        <v>2</v>
      </c>
      <c r="I257">
        <v>46.3</v>
      </c>
      <c r="J257" t="s">
        <v>3</v>
      </c>
      <c r="K257" t="s">
        <v>3</v>
      </c>
      <c r="L257">
        <v>5.4</v>
      </c>
      <c r="M257">
        <v>1.93</v>
      </c>
      <c r="N257">
        <v>1.88</v>
      </c>
      <c r="O257">
        <v>1.85</v>
      </c>
      <c r="P257" t="s">
        <v>10</v>
      </c>
      <c r="Q257" t="s">
        <v>6</v>
      </c>
      <c r="R257" t="s">
        <v>0</v>
      </c>
      <c r="S257">
        <v>0</v>
      </c>
    </row>
    <row r="258" spans="1:19" x14ac:dyDescent="0.3">
      <c r="A258">
        <v>257</v>
      </c>
      <c r="B258">
        <v>23.8</v>
      </c>
      <c r="C258" t="s">
        <v>5</v>
      </c>
      <c r="D258">
        <v>37123</v>
      </c>
      <c r="E258" t="s">
        <v>4</v>
      </c>
      <c r="F258">
        <v>2</v>
      </c>
      <c r="G258">
        <v>85.8</v>
      </c>
      <c r="H258">
        <v>3</v>
      </c>
      <c r="I258">
        <v>14.7</v>
      </c>
      <c r="J258" t="s">
        <v>4</v>
      </c>
      <c r="K258" t="s">
        <v>3</v>
      </c>
      <c r="L258">
        <v>7</v>
      </c>
      <c r="M258">
        <v>2.62</v>
      </c>
      <c r="N258">
        <v>2.4500000000000002</v>
      </c>
      <c r="O258">
        <v>2.4300000000000002</v>
      </c>
      <c r="P258" t="s">
        <v>7</v>
      </c>
      <c r="Q258" t="s">
        <v>14</v>
      </c>
      <c r="R258" t="s">
        <v>0</v>
      </c>
      <c r="S258">
        <v>0</v>
      </c>
    </row>
    <row r="259" spans="1:19" x14ac:dyDescent="0.3">
      <c r="A259">
        <v>258</v>
      </c>
      <c r="B259">
        <v>19.399999999999999</v>
      </c>
      <c r="C259" t="s">
        <v>5</v>
      </c>
      <c r="D259">
        <v>25000</v>
      </c>
      <c r="E259" t="s">
        <v>4</v>
      </c>
      <c r="F259">
        <v>2.33</v>
      </c>
      <c r="G259">
        <v>78.7</v>
      </c>
      <c r="H259">
        <v>0</v>
      </c>
      <c r="I259">
        <v>18</v>
      </c>
      <c r="J259" t="s">
        <v>3</v>
      </c>
      <c r="K259" t="s">
        <v>4</v>
      </c>
      <c r="L259">
        <v>9.3000000000000007</v>
      </c>
      <c r="M259">
        <v>0.22</v>
      </c>
      <c r="N259">
        <v>0.38</v>
      </c>
      <c r="O259">
        <v>0.41</v>
      </c>
      <c r="P259" t="s">
        <v>12</v>
      </c>
      <c r="Q259" t="s">
        <v>13</v>
      </c>
      <c r="R259" t="s">
        <v>0</v>
      </c>
      <c r="S259">
        <v>1</v>
      </c>
    </row>
    <row r="260" spans="1:19" x14ac:dyDescent="0.3">
      <c r="A260">
        <v>259</v>
      </c>
      <c r="B260">
        <v>22</v>
      </c>
      <c r="C260" t="s">
        <v>5</v>
      </c>
      <c r="D260">
        <v>25000</v>
      </c>
      <c r="E260" t="s">
        <v>4</v>
      </c>
      <c r="F260">
        <v>0.91</v>
      </c>
      <c r="G260">
        <v>96.8</v>
      </c>
      <c r="H260">
        <v>2</v>
      </c>
      <c r="I260">
        <v>30.9</v>
      </c>
      <c r="J260" t="s">
        <v>4</v>
      </c>
      <c r="K260" t="s">
        <v>3</v>
      </c>
      <c r="L260">
        <v>6.7</v>
      </c>
      <c r="M260">
        <v>1.38</v>
      </c>
      <c r="N260">
        <v>1.65</v>
      </c>
      <c r="O260">
        <v>1.58</v>
      </c>
      <c r="P260" t="s">
        <v>12</v>
      </c>
      <c r="Q260" t="s">
        <v>1</v>
      </c>
      <c r="R260" t="s">
        <v>0</v>
      </c>
      <c r="S260">
        <v>0</v>
      </c>
    </row>
    <row r="261" spans="1:19" x14ac:dyDescent="0.3">
      <c r="A261">
        <v>260</v>
      </c>
      <c r="B261">
        <v>22.7</v>
      </c>
      <c r="C261" t="s">
        <v>11</v>
      </c>
      <c r="E261" t="s">
        <v>3</v>
      </c>
      <c r="G261">
        <v>73.3</v>
      </c>
      <c r="H261">
        <v>2</v>
      </c>
      <c r="I261">
        <v>20.9</v>
      </c>
      <c r="J261" t="s">
        <v>3</v>
      </c>
      <c r="K261" t="s">
        <v>4</v>
      </c>
      <c r="M261">
        <v>1.86</v>
      </c>
      <c r="N261">
        <v>1.74</v>
      </c>
      <c r="O261">
        <v>1.74</v>
      </c>
      <c r="P261" t="s">
        <v>2</v>
      </c>
      <c r="Q261" t="s">
        <v>13</v>
      </c>
      <c r="R261" t="s">
        <v>15</v>
      </c>
      <c r="S261">
        <v>0</v>
      </c>
    </row>
    <row r="262" spans="1:19" x14ac:dyDescent="0.3">
      <c r="A262">
        <v>261</v>
      </c>
      <c r="B262">
        <v>19</v>
      </c>
      <c r="C262" t="s">
        <v>11</v>
      </c>
      <c r="D262">
        <v>25000</v>
      </c>
      <c r="E262" t="s">
        <v>4</v>
      </c>
      <c r="F262">
        <v>2.4900000000000002</v>
      </c>
      <c r="G262">
        <v>78.2</v>
      </c>
      <c r="H262">
        <v>1</v>
      </c>
      <c r="I262">
        <v>32.5</v>
      </c>
      <c r="J262" t="s">
        <v>4</v>
      </c>
      <c r="K262" t="s">
        <v>3</v>
      </c>
      <c r="L262">
        <v>4.2</v>
      </c>
      <c r="M262">
        <v>4</v>
      </c>
      <c r="N262">
        <v>3.9</v>
      </c>
      <c r="O262">
        <v>3.9</v>
      </c>
      <c r="P262" t="s">
        <v>2</v>
      </c>
      <c r="Q262" t="s">
        <v>8</v>
      </c>
      <c r="R262" t="s">
        <v>9</v>
      </c>
      <c r="S262">
        <v>0</v>
      </c>
    </row>
    <row r="263" spans="1:19" x14ac:dyDescent="0.3">
      <c r="A263">
        <v>262</v>
      </c>
      <c r="B263">
        <v>20.9</v>
      </c>
      <c r="C263" t="s">
        <v>11</v>
      </c>
      <c r="D263">
        <v>47988</v>
      </c>
      <c r="E263" t="s">
        <v>4</v>
      </c>
      <c r="F263">
        <v>2.48</v>
      </c>
      <c r="G263">
        <v>88.9</v>
      </c>
      <c r="H263">
        <v>2</v>
      </c>
      <c r="I263">
        <v>16.600000000000001</v>
      </c>
      <c r="J263" t="s">
        <v>4</v>
      </c>
      <c r="K263" t="s">
        <v>3</v>
      </c>
      <c r="L263">
        <v>4.5999999999999996</v>
      </c>
      <c r="M263">
        <v>3.49</v>
      </c>
      <c r="N263">
        <v>3.71</v>
      </c>
      <c r="O263">
        <v>3.74</v>
      </c>
      <c r="P263" t="s">
        <v>10</v>
      </c>
      <c r="Q263" t="s">
        <v>6</v>
      </c>
      <c r="R263" t="s">
        <v>9</v>
      </c>
      <c r="S263">
        <v>0</v>
      </c>
    </row>
    <row r="264" spans="1:19" x14ac:dyDescent="0.3">
      <c r="A264">
        <v>263</v>
      </c>
      <c r="B264">
        <v>17</v>
      </c>
      <c r="C264" t="s">
        <v>5</v>
      </c>
      <c r="D264">
        <v>25000</v>
      </c>
      <c r="E264" t="s">
        <v>4</v>
      </c>
      <c r="F264">
        <v>3.14</v>
      </c>
      <c r="G264">
        <v>76.900000000000006</v>
      </c>
      <c r="H264">
        <v>3</v>
      </c>
      <c r="I264">
        <v>18.5</v>
      </c>
      <c r="J264" t="s">
        <v>3</v>
      </c>
      <c r="K264" t="s">
        <v>3</v>
      </c>
      <c r="L264">
        <v>6.2</v>
      </c>
      <c r="M264">
        <v>1.94</v>
      </c>
      <c r="N264">
        <v>1.81</v>
      </c>
      <c r="O264">
        <v>1.74</v>
      </c>
      <c r="P264" t="s">
        <v>10</v>
      </c>
      <c r="Q264" t="s">
        <v>1</v>
      </c>
      <c r="R264" t="s">
        <v>15</v>
      </c>
      <c r="S264">
        <v>1</v>
      </c>
    </row>
    <row r="265" spans="1:19" x14ac:dyDescent="0.3">
      <c r="A265">
        <v>264</v>
      </c>
      <c r="B265">
        <v>18.7</v>
      </c>
      <c r="C265" t="s">
        <v>11</v>
      </c>
      <c r="E265" t="s">
        <v>4</v>
      </c>
      <c r="G265">
        <v>82.9</v>
      </c>
      <c r="H265">
        <v>1</v>
      </c>
      <c r="I265">
        <v>54.7</v>
      </c>
      <c r="J265" t="s">
        <v>4</v>
      </c>
      <c r="K265" t="s">
        <v>4</v>
      </c>
      <c r="M265">
        <v>2.2599999999999998</v>
      </c>
      <c r="N265">
        <v>2.48</v>
      </c>
      <c r="O265">
        <v>2.44</v>
      </c>
      <c r="P265" t="s">
        <v>12</v>
      </c>
      <c r="Q265" t="s">
        <v>14</v>
      </c>
      <c r="R265" t="s">
        <v>9</v>
      </c>
      <c r="S265">
        <v>1</v>
      </c>
    </row>
    <row r="266" spans="1:19" x14ac:dyDescent="0.3">
      <c r="A266">
        <v>265</v>
      </c>
      <c r="B266">
        <v>20.399999999999999</v>
      </c>
      <c r="C266" t="s">
        <v>11</v>
      </c>
      <c r="D266">
        <v>32193</v>
      </c>
      <c r="E266" t="s">
        <v>4</v>
      </c>
      <c r="F266">
        <v>3.66</v>
      </c>
      <c r="G266">
        <v>77.7</v>
      </c>
      <c r="H266">
        <v>2</v>
      </c>
      <c r="I266">
        <v>27.2</v>
      </c>
      <c r="J266" t="s">
        <v>4</v>
      </c>
      <c r="K266" t="s">
        <v>3</v>
      </c>
      <c r="L266">
        <v>6.6</v>
      </c>
      <c r="M266">
        <v>2.13</v>
      </c>
      <c r="N266">
        <v>2.29</v>
      </c>
      <c r="O266">
        <v>2.29</v>
      </c>
      <c r="P266" t="s">
        <v>2</v>
      </c>
      <c r="Q266" t="s">
        <v>8</v>
      </c>
      <c r="R266" t="s">
        <v>15</v>
      </c>
      <c r="S266">
        <v>0</v>
      </c>
    </row>
    <row r="267" spans="1:19" x14ac:dyDescent="0.3">
      <c r="A267">
        <v>266</v>
      </c>
      <c r="B267">
        <v>18.3</v>
      </c>
      <c r="C267" t="s">
        <v>5</v>
      </c>
      <c r="D267">
        <v>25000</v>
      </c>
      <c r="E267" t="s">
        <v>4</v>
      </c>
      <c r="F267">
        <v>2.1800000000000002</v>
      </c>
      <c r="G267">
        <v>78.900000000000006</v>
      </c>
      <c r="H267">
        <v>1</v>
      </c>
      <c r="I267">
        <v>15.9</v>
      </c>
      <c r="J267" t="s">
        <v>3</v>
      </c>
      <c r="K267" t="s">
        <v>4</v>
      </c>
      <c r="L267">
        <v>4.8</v>
      </c>
      <c r="M267">
        <v>3.48</v>
      </c>
      <c r="N267">
        <v>3.93</v>
      </c>
      <c r="O267">
        <v>3.96</v>
      </c>
      <c r="P267" t="s">
        <v>12</v>
      </c>
      <c r="Q267" t="s">
        <v>1</v>
      </c>
      <c r="R267" t="s">
        <v>16</v>
      </c>
      <c r="S267">
        <v>0</v>
      </c>
    </row>
    <row r="268" spans="1:19" x14ac:dyDescent="0.3">
      <c r="A268">
        <v>267</v>
      </c>
      <c r="B268">
        <v>24.6</v>
      </c>
      <c r="C268" t="s">
        <v>11</v>
      </c>
      <c r="D268">
        <v>25000</v>
      </c>
      <c r="E268" t="s">
        <v>4</v>
      </c>
      <c r="F268">
        <v>5.28</v>
      </c>
      <c r="G268">
        <v>71.599999999999994</v>
      </c>
      <c r="H268">
        <v>3</v>
      </c>
      <c r="I268">
        <v>28.6</v>
      </c>
      <c r="J268" t="s">
        <v>4</v>
      </c>
      <c r="K268" t="s">
        <v>3</v>
      </c>
      <c r="L268">
        <v>5</v>
      </c>
      <c r="M268">
        <v>1.82</v>
      </c>
      <c r="N268">
        <v>2.46</v>
      </c>
      <c r="O268">
        <v>2.39</v>
      </c>
      <c r="P268" t="s">
        <v>10</v>
      </c>
      <c r="Q268" t="s">
        <v>6</v>
      </c>
      <c r="R268" t="s">
        <v>0</v>
      </c>
      <c r="S268">
        <v>0</v>
      </c>
    </row>
    <row r="269" spans="1:19" x14ac:dyDescent="0.3">
      <c r="A269">
        <v>268</v>
      </c>
      <c r="B269">
        <v>17.899999999999999</v>
      </c>
      <c r="C269" t="s">
        <v>11</v>
      </c>
      <c r="D269">
        <v>34663</v>
      </c>
      <c r="E269" t="s">
        <v>4</v>
      </c>
      <c r="F269">
        <v>4.3600000000000003</v>
      </c>
      <c r="G269">
        <v>88.1</v>
      </c>
      <c r="H269">
        <v>3</v>
      </c>
      <c r="I269">
        <v>42.4</v>
      </c>
      <c r="J269" t="s">
        <v>3</v>
      </c>
      <c r="K269" t="s">
        <v>3</v>
      </c>
      <c r="L269">
        <v>5.2</v>
      </c>
      <c r="M269">
        <v>3.44</v>
      </c>
      <c r="N269">
        <v>3.05</v>
      </c>
      <c r="O269">
        <v>3.18</v>
      </c>
      <c r="P269" t="s">
        <v>10</v>
      </c>
      <c r="Q269" t="s">
        <v>13</v>
      </c>
      <c r="R269" t="s">
        <v>9</v>
      </c>
      <c r="S269">
        <v>0</v>
      </c>
    </row>
    <row r="270" spans="1:19" x14ac:dyDescent="0.3">
      <c r="A270">
        <v>269</v>
      </c>
      <c r="B270">
        <v>20</v>
      </c>
      <c r="C270" t="s">
        <v>11</v>
      </c>
      <c r="D270">
        <v>38455</v>
      </c>
      <c r="E270" t="s">
        <v>4</v>
      </c>
      <c r="F270">
        <v>4.54</v>
      </c>
      <c r="G270">
        <v>88.3</v>
      </c>
      <c r="H270">
        <v>0</v>
      </c>
      <c r="I270">
        <v>44.5</v>
      </c>
      <c r="J270" t="s">
        <v>3</v>
      </c>
      <c r="K270" t="s">
        <v>3</v>
      </c>
      <c r="L270">
        <v>3.1</v>
      </c>
      <c r="M270">
        <v>3.8</v>
      </c>
      <c r="N270">
        <v>4</v>
      </c>
      <c r="O270">
        <v>4</v>
      </c>
      <c r="P270" t="s">
        <v>10</v>
      </c>
      <c r="Q270" t="s">
        <v>8</v>
      </c>
      <c r="R270" t="s">
        <v>15</v>
      </c>
      <c r="S270">
        <v>0</v>
      </c>
    </row>
    <row r="271" spans="1:19" x14ac:dyDescent="0.3">
      <c r="A271">
        <v>270</v>
      </c>
      <c r="B271">
        <v>21.3</v>
      </c>
      <c r="C271" t="s">
        <v>5</v>
      </c>
      <c r="D271">
        <v>26302</v>
      </c>
      <c r="E271" t="s">
        <v>4</v>
      </c>
      <c r="F271">
        <v>3.43</v>
      </c>
      <c r="G271">
        <v>88.2</v>
      </c>
      <c r="H271">
        <v>2</v>
      </c>
      <c r="I271">
        <v>12.5</v>
      </c>
      <c r="J271" t="s">
        <v>3</v>
      </c>
      <c r="K271" t="s">
        <v>3</v>
      </c>
      <c r="L271">
        <v>4.7</v>
      </c>
      <c r="M271">
        <v>1.7</v>
      </c>
      <c r="N271">
        <v>1.57</v>
      </c>
      <c r="O271">
        <v>1.55</v>
      </c>
      <c r="P271" t="s">
        <v>12</v>
      </c>
      <c r="Q271" t="s">
        <v>6</v>
      </c>
      <c r="R271" t="s">
        <v>9</v>
      </c>
      <c r="S271">
        <v>0</v>
      </c>
    </row>
    <row r="272" spans="1:19" x14ac:dyDescent="0.3">
      <c r="A272">
        <v>271</v>
      </c>
      <c r="B272">
        <v>24.2</v>
      </c>
      <c r="C272" t="s">
        <v>5</v>
      </c>
      <c r="D272">
        <v>44629</v>
      </c>
      <c r="E272" t="s">
        <v>4</v>
      </c>
      <c r="F272">
        <v>5.4</v>
      </c>
      <c r="G272">
        <v>78.599999999999994</v>
      </c>
      <c r="H272">
        <v>2</v>
      </c>
      <c r="I272">
        <v>20.8</v>
      </c>
      <c r="J272" t="s">
        <v>3</v>
      </c>
      <c r="K272" t="s">
        <v>4</v>
      </c>
      <c r="L272">
        <v>4.5999999999999996</v>
      </c>
      <c r="M272">
        <v>4</v>
      </c>
      <c r="N272">
        <v>3.98</v>
      </c>
      <c r="O272">
        <v>3.93</v>
      </c>
      <c r="P272" t="s">
        <v>12</v>
      </c>
      <c r="Q272" t="s">
        <v>1</v>
      </c>
      <c r="R272" t="s">
        <v>15</v>
      </c>
      <c r="S272">
        <v>0</v>
      </c>
    </row>
    <row r="273" spans="1:19" x14ac:dyDescent="0.3">
      <c r="A273">
        <v>272</v>
      </c>
      <c r="B273">
        <v>17.8</v>
      </c>
      <c r="C273" t="s">
        <v>5</v>
      </c>
      <c r="D273">
        <v>27845</v>
      </c>
      <c r="E273" t="s">
        <v>4</v>
      </c>
      <c r="F273">
        <v>4.6399999999999997</v>
      </c>
      <c r="G273">
        <v>84.7</v>
      </c>
      <c r="H273">
        <v>2</v>
      </c>
      <c r="I273">
        <v>32.700000000000003</v>
      </c>
      <c r="J273" t="s">
        <v>3</v>
      </c>
      <c r="K273" t="s">
        <v>3</v>
      </c>
      <c r="L273">
        <v>10</v>
      </c>
      <c r="M273">
        <v>0</v>
      </c>
      <c r="N273">
        <v>0.09</v>
      </c>
      <c r="O273">
        <v>0.22</v>
      </c>
      <c r="P273" t="s">
        <v>12</v>
      </c>
      <c r="Q273" t="s">
        <v>8</v>
      </c>
      <c r="R273" t="s">
        <v>9</v>
      </c>
      <c r="S273">
        <v>1</v>
      </c>
    </row>
    <row r="274" spans="1:19" x14ac:dyDescent="0.3">
      <c r="A274">
        <v>273</v>
      </c>
      <c r="B274">
        <v>23.6</v>
      </c>
      <c r="C274" t="s">
        <v>5</v>
      </c>
      <c r="D274">
        <v>29977</v>
      </c>
      <c r="E274" t="s">
        <v>4</v>
      </c>
      <c r="F274">
        <v>4.25</v>
      </c>
      <c r="G274">
        <v>98</v>
      </c>
      <c r="H274">
        <v>0</v>
      </c>
      <c r="I274">
        <v>29.6</v>
      </c>
      <c r="J274" t="s">
        <v>4</v>
      </c>
      <c r="K274" t="s">
        <v>3</v>
      </c>
      <c r="L274">
        <v>7.2</v>
      </c>
      <c r="M274">
        <v>1.02</v>
      </c>
      <c r="N274">
        <v>1.1299999999999999</v>
      </c>
      <c r="O274">
        <v>1.19</v>
      </c>
      <c r="P274" t="s">
        <v>10</v>
      </c>
      <c r="Q274" t="s">
        <v>6</v>
      </c>
      <c r="R274" t="s">
        <v>15</v>
      </c>
      <c r="S274">
        <v>1</v>
      </c>
    </row>
    <row r="275" spans="1:19" x14ac:dyDescent="0.3">
      <c r="A275">
        <v>274</v>
      </c>
      <c r="B275">
        <v>21</v>
      </c>
      <c r="C275" t="s">
        <v>11</v>
      </c>
      <c r="D275">
        <v>34579</v>
      </c>
      <c r="E275" t="s">
        <v>4</v>
      </c>
      <c r="F275">
        <v>5.3</v>
      </c>
      <c r="G275">
        <v>84.3</v>
      </c>
      <c r="H275">
        <v>3</v>
      </c>
      <c r="I275">
        <v>10.8</v>
      </c>
      <c r="J275" t="s">
        <v>3</v>
      </c>
      <c r="K275" t="s">
        <v>3</v>
      </c>
      <c r="L275">
        <v>3.6</v>
      </c>
      <c r="M275">
        <v>4</v>
      </c>
      <c r="N275">
        <v>3.74</v>
      </c>
      <c r="O275">
        <v>3.71</v>
      </c>
      <c r="P275" t="s">
        <v>7</v>
      </c>
      <c r="Q275" t="s">
        <v>13</v>
      </c>
      <c r="R275" t="s">
        <v>0</v>
      </c>
      <c r="S275">
        <v>0</v>
      </c>
    </row>
    <row r="276" spans="1:19" x14ac:dyDescent="0.3">
      <c r="A276">
        <v>275</v>
      </c>
      <c r="B276">
        <v>18.8</v>
      </c>
      <c r="C276" t="s">
        <v>5</v>
      </c>
      <c r="D276">
        <v>51855</v>
      </c>
      <c r="E276" t="s">
        <v>4</v>
      </c>
      <c r="F276">
        <v>1.83</v>
      </c>
      <c r="G276">
        <v>72.8</v>
      </c>
      <c r="H276">
        <v>2</v>
      </c>
      <c r="I276">
        <v>12.7</v>
      </c>
      <c r="J276" t="s">
        <v>4</v>
      </c>
      <c r="K276" t="s">
        <v>3</v>
      </c>
      <c r="L276">
        <v>2.7</v>
      </c>
      <c r="M276">
        <v>1.06</v>
      </c>
      <c r="N276">
        <v>1.02</v>
      </c>
      <c r="O276">
        <v>1.02</v>
      </c>
      <c r="P276" t="s">
        <v>2</v>
      </c>
      <c r="Q276" t="s">
        <v>6</v>
      </c>
      <c r="R276" t="s">
        <v>9</v>
      </c>
      <c r="S276">
        <v>0</v>
      </c>
    </row>
    <row r="277" spans="1:19" x14ac:dyDescent="0.3">
      <c r="A277">
        <v>276</v>
      </c>
      <c r="B277">
        <v>22</v>
      </c>
      <c r="C277" t="s">
        <v>11</v>
      </c>
      <c r="D277">
        <v>25000</v>
      </c>
      <c r="E277" t="s">
        <v>4</v>
      </c>
      <c r="F277">
        <v>4.25</v>
      </c>
      <c r="G277">
        <v>75.2</v>
      </c>
      <c r="H277">
        <v>1</v>
      </c>
      <c r="I277">
        <v>17.2</v>
      </c>
      <c r="J277" t="s">
        <v>4</v>
      </c>
      <c r="K277" t="s">
        <v>3</v>
      </c>
      <c r="L277">
        <v>3.1</v>
      </c>
      <c r="M277">
        <v>0.86</v>
      </c>
      <c r="N277">
        <v>1.08</v>
      </c>
      <c r="O277">
        <v>1.1299999999999999</v>
      </c>
      <c r="P277" t="s">
        <v>7</v>
      </c>
      <c r="Q277" t="s">
        <v>8</v>
      </c>
      <c r="R277" t="s">
        <v>9</v>
      </c>
      <c r="S277">
        <v>1</v>
      </c>
    </row>
    <row r="278" spans="1:19" x14ac:dyDescent="0.3">
      <c r="A278">
        <v>277</v>
      </c>
      <c r="B278">
        <v>21.4</v>
      </c>
      <c r="C278" t="s">
        <v>5</v>
      </c>
      <c r="D278">
        <v>25000</v>
      </c>
      <c r="E278" t="s">
        <v>3</v>
      </c>
      <c r="F278">
        <v>3.13</v>
      </c>
      <c r="G278">
        <v>74.8</v>
      </c>
      <c r="H278">
        <v>0</v>
      </c>
      <c r="I278">
        <v>8.6999999999999993</v>
      </c>
      <c r="J278" t="s">
        <v>4</v>
      </c>
      <c r="K278" t="s">
        <v>4</v>
      </c>
      <c r="L278">
        <v>8</v>
      </c>
      <c r="M278">
        <v>2.14</v>
      </c>
      <c r="N278">
        <v>2.67</v>
      </c>
      <c r="O278">
        <v>2.67</v>
      </c>
      <c r="P278" t="s">
        <v>10</v>
      </c>
      <c r="Q278" t="s">
        <v>8</v>
      </c>
      <c r="R278" t="s">
        <v>9</v>
      </c>
      <c r="S278">
        <v>0</v>
      </c>
    </row>
    <row r="279" spans="1:19" x14ac:dyDescent="0.3">
      <c r="A279">
        <v>278</v>
      </c>
      <c r="B279">
        <v>19.7</v>
      </c>
      <c r="C279" t="s">
        <v>5</v>
      </c>
      <c r="D279">
        <v>25000</v>
      </c>
      <c r="E279" t="s">
        <v>4</v>
      </c>
      <c r="F279">
        <v>3.06</v>
      </c>
      <c r="G279">
        <v>92.6</v>
      </c>
      <c r="H279">
        <v>3</v>
      </c>
      <c r="I279">
        <v>24.5</v>
      </c>
      <c r="J279" t="s">
        <v>4</v>
      </c>
      <c r="K279" t="s">
        <v>3</v>
      </c>
      <c r="L279">
        <v>3.1</v>
      </c>
      <c r="M279">
        <v>3.03</v>
      </c>
      <c r="N279">
        <v>3.01</v>
      </c>
      <c r="O279">
        <v>3.04</v>
      </c>
      <c r="P279" t="s">
        <v>10</v>
      </c>
      <c r="Q279" t="s">
        <v>14</v>
      </c>
      <c r="R279" t="s">
        <v>15</v>
      </c>
      <c r="S279">
        <v>0</v>
      </c>
    </row>
    <row r="280" spans="1:19" x14ac:dyDescent="0.3">
      <c r="A280">
        <v>279</v>
      </c>
      <c r="B280">
        <v>21.2</v>
      </c>
      <c r="C280" t="s">
        <v>11</v>
      </c>
      <c r="D280">
        <v>25000</v>
      </c>
      <c r="E280" t="s">
        <v>4</v>
      </c>
      <c r="F280">
        <v>5.04</v>
      </c>
      <c r="G280">
        <v>85.2</v>
      </c>
      <c r="H280">
        <v>1</v>
      </c>
      <c r="I280">
        <v>44.3</v>
      </c>
      <c r="J280" t="s">
        <v>4</v>
      </c>
      <c r="K280" t="s">
        <v>3</v>
      </c>
      <c r="L280">
        <v>8.4</v>
      </c>
      <c r="M280">
        <v>2.04</v>
      </c>
      <c r="N280">
        <v>2.08</v>
      </c>
      <c r="O280">
        <v>2.0499999999999998</v>
      </c>
      <c r="P280" t="s">
        <v>10</v>
      </c>
      <c r="Q280" t="s">
        <v>8</v>
      </c>
      <c r="R280" t="s">
        <v>17</v>
      </c>
      <c r="S280">
        <v>0</v>
      </c>
    </row>
    <row r="281" spans="1:19" x14ac:dyDescent="0.3">
      <c r="A281">
        <v>280</v>
      </c>
      <c r="B281">
        <v>20.2</v>
      </c>
      <c r="C281" t="s">
        <v>5</v>
      </c>
      <c r="D281">
        <v>69964</v>
      </c>
      <c r="E281" t="s">
        <v>4</v>
      </c>
      <c r="F281">
        <v>5.78</v>
      </c>
      <c r="G281">
        <v>69.400000000000006</v>
      </c>
      <c r="H281">
        <v>1</v>
      </c>
      <c r="I281">
        <v>22</v>
      </c>
      <c r="J281" t="s">
        <v>3</v>
      </c>
      <c r="K281" t="s">
        <v>4</v>
      </c>
      <c r="L281">
        <v>5.9</v>
      </c>
      <c r="M281">
        <v>3.82</v>
      </c>
      <c r="N281">
        <v>3.98</v>
      </c>
      <c r="O281">
        <v>3.94</v>
      </c>
      <c r="P281" t="s">
        <v>7</v>
      </c>
      <c r="Q281" t="s">
        <v>6</v>
      </c>
      <c r="R281" t="s">
        <v>15</v>
      </c>
      <c r="S281">
        <v>0</v>
      </c>
    </row>
    <row r="282" spans="1:19" x14ac:dyDescent="0.3">
      <c r="A282">
        <v>281</v>
      </c>
      <c r="B282">
        <v>21.2</v>
      </c>
      <c r="C282" t="s">
        <v>11</v>
      </c>
      <c r="D282">
        <v>41925</v>
      </c>
      <c r="E282" t="s">
        <v>4</v>
      </c>
      <c r="F282">
        <v>5.65</v>
      </c>
      <c r="G282">
        <v>92.4</v>
      </c>
      <c r="H282">
        <v>1</v>
      </c>
      <c r="I282">
        <v>43</v>
      </c>
      <c r="J282" t="s">
        <v>4</v>
      </c>
      <c r="K282" t="s">
        <v>3</v>
      </c>
      <c r="L282">
        <v>5.0999999999999996</v>
      </c>
      <c r="M282">
        <v>3.74</v>
      </c>
      <c r="N282">
        <v>3.41</v>
      </c>
      <c r="O282">
        <v>3.42</v>
      </c>
      <c r="P282" t="s">
        <v>12</v>
      </c>
      <c r="Q282" t="s">
        <v>6</v>
      </c>
      <c r="R282" t="s">
        <v>0</v>
      </c>
      <c r="S282">
        <v>0</v>
      </c>
    </row>
    <row r="283" spans="1:19" x14ac:dyDescent="0.3">
      <c r="A283">
        <v>282</v>
      </c>
      <c r="B283">
        <v>22.5</v>
      </c>
      <c r="C283" t="s">
        <v>5</v>
      </c>
      <c r="D283">
        <v>25000</v>
      </c>
      <c r="E283" t="s">
        <v>4</v>
      </c>
      <c r="F283">
        <v>4.01</v>
      </c>
      <c r="G283">
        <v>86.5</v>
      </c>
      <c r="H283">
        <v>0</v>
      </c>
      <c r="I283">
        <v>30.4</v>
      </c>
      <c r="J283" t="s">
        <v>4</v>
      </c>
      <c r="K283" t="s">
        <v>3</v>
      </c>
      <c r="L283">
        <v>3.4</v>
      </c>
      <c r="M283">
        <v>3.47</v>
      </c>
      <c r="N283">
        <v>3.89</v>
      </c>
      <c r="O283">
        <v>3.96</v>
      </c>
      <c r="P283" t="s">
        <v>12</v>
      </c>
      <c r="Q283" t="s">
        <v>14</v>
      </c>
      <c r="R283" t="s">
        <v>9</v>
      </c>
      <c r="S283">
        <v>0</v>
      </c>
    </row>
    <row r="284" spans="1:19" x14ac:dyDescent="0.3">
      <c r="A284">
        <v>283</v>
      </c>
      <c r="B284">
        <v>24.5</v>
      </c>
      <c r="C284" t="s">
        <v>5</v>
      </c>
      <c r="D284">
        <v>25000</v>
      </c>
      <c r="E284" t="s">
        <v>4</v>
      </c>
      <c r="F284">
        <v>3.58</v>
      </c>
      <c r="G284">
        <v>83.4</v>
      </c>
      <c r="H284">
        <v>1</v>
      </c>
      <c r="I284">
        <v>27.8</v>
      </c>
      <c r="J284" t="s">
        <v>3</v>
      </c>
      <c r="K284" t="s">
        <v>4</v>
      </c>
      <c r="L284">
        <v>7.8</v>
      </c>
      <c r="M284">
        <v>2.14</v>
      </c>
      <c r="N284">
        <v>2.08</v>
      </c>
      <c r="O284">
        <v>2.11</v>
      </c>
      <c r="P284" t="s">
        <v>10</v>
      </c>
      <c r="Q284" t="s">
        <v>1</v>
      </c>
      <c r="R284" t="s">
        <v>15</v>
      </c>
      <c r="S284">
        <v>0</v>
      </c>
    </row>
    <row r="285" spans="1:19" x14ac:dyDescent="0.3">
      <c r="A285">
        <v>284</v>
      </c>
      <c r="B285">
        <v>18.3</v>
      </c>
      <c r="C285" t="s">
        <v>11</v>
      </c>
      <c r="D285">
        <v>37185</v>
      </c>
      <c r="E285" t="s">
        <v>4</v>
      </c>
      <c r="F285">
        <v>5.61</v>
      </c>
      <c r="G285">
        <v>94.1</v>
      </c>
      <c r="H285">
        <v>0</v>
      </c>
      <c r="I285">
        <v>10</v>
      </c>
      <c r="J285" t="s">
        <v>3</v>
      </c>
      <c r="K285" t="s">
        <v>3</v>
      </c>
      <c r="L285">
        <v>6.5</v>
      </c>
      <c r="M285">
        <v>2.88</v>
      </c>
      <c r="N285">
        <v>3.3</v>
      </c>
      <c r="O285">
        <v>3.27</v>
      </c>
      <c r="P285" t="s">
        <v>10</v>
      </c>
      <c r="Q285" t="s">
        <v>6</v>
      </c>
      <c r="R285" t="s">
        <v>9</v>
      </c>
      <c r="S285">
        <v>0</v>
      </c>
    </row>
    <row r="286" spans="1:19" x14ac:dyDescent="0.3">
      <c r="A286">
        <v>285</v>
      </c>
      <c r="B286">
        <v>25.7</v>
      </c>
      <c r="C286" t="s">
        <v>11</v>
      </c>
      <c r="D286">
        <v>25000</v>
      </c>
      <c r="E286" t="s">
        <v>4</v>
      </c>
      <c r="F286">
        <v>2.72</v>
      </c>
      <c r="G286">
        <v>80.2</v>
      </c>
      <c r="H286">
        <v>2</v>
      </c>
      <c r="I286">
        <v>44</v>
      </c>
      <c r="J286" t="s">
        <v>3</v>
      </c>
      <c r="K286" t="s">
        <v>3</v>
      </c>
      <c r="L286">
        <v>7.1</v>
      </c>
      <c r="M286">
        <v>3.13</v>
      </c>
      <c r="N286">
        <v>2.63</v>
      </c>
      <c r="O286">
        <v>2.6</v>
      </c>
      <c r="P286" t="s">
        <v>10</v>
      </c>
      <c r="Q286" t="s">
        <v>14</v>
      </c>
      <c r="R286" t="s">
        <v>16</v>
      </c>
      <c r="S286">
        <v>0</v>
      </c>
    </row>
    <row r="287" spans="1:19" x14ac:dyDescent="0.3">
      <c r="A287">
        <v>286</v>
      </c>
      <c r="B287">
        <v>17</v>
      </c>
      <c r="C287" t="s">
        <v>5</v>
      </c>
      <c r="D287">
        <v>25000</v>
      </c>
      <c r="E287" t="s">
        <v>4</v>
      </c>
      <c r="F287">
        <v>6.21</v>
      </c>
      <c r="G287">
        <v>92.9</v>
      </c>
      <c r="H287">
        <v>1</v>
      </c>
      <c r="I287">
        <v>31.4</v>
      </c>
      <c r="J287" t="s">
        <v>3</v>
      </c>
      <c r="K287" t="s">
        <v>3</v>
      </c>
      <c r="L287">
        <v>5</v>
      </c>
      <c r="M287">
        <v>1.64</v>
      </c>
      <c r="N287">
        <v>1.88</v>
      </c>
      <c r="O287">
        <v>1.85</v>
      </c>
      <c r="P287" t="s">
        <v>10</v>
      </c>
      <c r="Q287" t="s">
        <v>1</v>
      </c>
      <c r="R287" t="s">
        <v>15</v>
      </c>
      <c r="S287">
        <v>1</v>
      </c>
    </row>
    <row r="288" spans="1:19" x14ac:dyDescent="0.3">
      <c r="A288">
        <v>287</v>
      </c>
      <c r="B288">
        <v>20.7</v>
      </c>
      <c r="C288" t="s">
        <v>5</v>
      </c>
      <c r="D288">
        <v>66634</v>
      </c>
      <c r="E288" t="s">
        <v>4</v>
      </c>
      <c r="F288">
        <v>3.5</v>
      </c>
      <c r="G288">
        <v>64.3</v>
      </c>
      <c r="H288">
        <v>1</v>
      </c>
      <c r="I288">
        <v>10.8</v>
      </c>
      <c r="J288" t="s">
        <v>4</v>
      </c>
      <c r="K288" t="s">
        <v>4</v>
      </c>
      <c r="L288">
        <v>6.7</v>
      </c>
      <c r="M288">
        <v>0.96</v>
      </c>
      <c r="N288">
        <v>0.32</v>
      </c>
      <c r="O288">
        <v>0.28000000000000003</v>
      </c>
      <c r="P288" t="s">
        <v>7</v>
      </c>
      <c r="Q288" t="s">
        <v>13</v>
      </c>
      <c r="R288" t="s">
        <v>15</v>
      </c>
      <c r="S288">
        <v>0</v>
      </c>
    </row>
    <row r="289" spans="1:19" x14ac:dyDescent="0.3">
      <c r="A289">
        <v>288</v>
      </c>
      <c r="B289">
        <v>22.3</v>
      </c>
      <c r="C289" t="s">
        <v>11</v>
      </c>
      <c r="D289">
        <v>25000</v>
      </c>
      <c r="E289" t="s">
        <v>4</v>
      </c>
      <c r="F289">
        <v>3.94</v>
      </c>
      <c r="G289">
        <v>76.099999999999994</v>
      </c>
      <c r="H289">
        <v>0</v>
      </c>
      <c r="I289">
        <v>34.6</v>
      </c>
      <c r="J289" t="s">
        <v>3</v>
      </c>
      <c r="K289" t="s">
        <v>4</v>
      </c>
      <c r="L289">
        <v>8.1999999999999993</v>
      </c>
      <c r="M289">
        <v>2.5299999999999998</v>
      </c>
      <c r="N289">
        <v>2.35</v>
      </c>
      <c r="O289">
        <v>2.3199999999999998</v>
      </c>
      <c r="P289" t="s">
        <v>10</v>
      </c>
      <c r="Q289" t="s">
        <v>1</v>
      </c>
      <c r="R289" t="s">
        <v>9</v>
      </c>
      <c r="S289">
        <v>0</v>
      </c>
    </row>
    <row r="290" spans="1:19" x14ac:dyDescent="0.3">
      <c r="A290">
        <v>289</v>
      </c>
      <c r="B290">
        <v>21.6</v>
      </c>
      <c r="C290" t="s">
        <v>11</v>
      </c>
      <c r="D290">
        <v>52723</v>
      </c>
      <c r="E290" t="s">
        <v>4</v>
      </c>
      <c r="F290">
        <v>3.31</v>
      </c>
      <c r="G290">
        <v>88.3</v>
      </c>
      <c r="H290">
        <v>1</v>
      </c>
      <c r="I290">
        <v>22.9</v>
      </c>
      <c r="J290" t="s">
        <v>4</v>
      </c>
      <c r="K290" t="s">
        <v>3</v>
      </c>
      <c r="L290">
        <v>6.6</v>
      </c>
      <c r="M290">
        <v>2.0099999999999998</v>
      </c>
      <c r="N290">
        <v>1.88</v>
      </c>
      <c r="O290">
        <v>1.89</v>
      </c>
      <c r="P290" t="s">
        <v>12</v>
      </c>
      <c r="Q290" t="s">
        <v>8</v>
      </c>
      <c r="R290" t="s">
        <v>0</v>
      </c>
      <c r="S290">
        <v>0</v>
      </c>
    </row>
    <row r="291" spans="1:19" x14ac:dyDescent="0.3">
      <c r="A291">
        <v>290</v>
      </c>
      <c r="B291">
        <v>19.600000000000001</v>
      </c>
      <c r="C291" t="s">
        <v>11</v>
      </c>
      <c r="D291">
        <v>63145</v>
      </c>
      <c r="E291" t="s">
        <v>4</v>
      </c>
      <c r="F291">
        <v>4.05</v>
      </c>
      <c r="G291">
        <v>95.4</v>
      </c>
      <c r="H291">
        <v>1</v>
      </c>
      <c r="I291">
        <v>30.7</v>
      </c>
      <c r="J291" t="s">
        <v>3</v>
      </c>
      <c r="K291" t="s">
        <v>4</v>
      </c>
      <c r="L291">
        <v>3.6</v>
      </c>
      <c r="M291">
        <v>2.4900000000000002</v>
      </c>
      <c r="N291">
        <v>2.29</v>
      </c>
      <c r="O291">
        <v>2.25</v>
      </c>
      <c r="P291" t="s">
        <v>10</v>
      </c>
      <c r="Q291" t="s">
        <v>8</v>
      </c>
      <c r="R291" t="s">
        <v>15</v>
      </c>
      <c r="S291">
        <v>0</v>
      </c>
    </row>
    <row r="292" spans="1:19" x14ac:dyDescent="0.3">
      <c r="A292">
        <v>291</v>
      </c>
      <c r="B292">
        <v>20.5</v>
      </c>
      <c r="C292" t="s">
        <v>5</v>
      </c>
      <c r="E292" t="s">
        <v>4</v>
      </c>
      <c r="G292">
        <v>72.3</v>
      </c>
      <c r="H292">
        <v>3</v>
      </c>
      <c r="I292">
        <v>32.9</v>
      </c>
      <c r="J292" t="s">
        <v>3</v>
      </c>
      <c r="K292" t="s">
        <v>4</v>
      </c>
      <c r="M292">
        <v>1.37</v>
      </c>
      <c r="N292">
        <v>1.31</v>
      </c>
      <c r="O292">
        <v>1.31</v>
      </c>
      <c r="P292" t="s">
        <v>2</v>
      </c>
      <c r="Q292" t="s">
        <v>8</v>
      </c>
      <c r="R292" t="s">
        <v>0</v>
      </c>
      <c r="S292">
        <v>0</v>
      </c>
    </row>
    <row r="293" spans="1:19" x14ac:dyDescent="0.3">
      <c r="A293">
        <v>292</v>
      </c>
      <c r="B293">
        <v>19.899999999999999</v>
      </c>
      <c r="C293" t="s">
        <v>11</v>
      </c>
      <c r="D293">
        <v>25000</v>
      </c>
      <c r="E293" t="s">
        <v>3</v>
      </c>
      <c r="F293">
        <v>3.52</v>
      </c>
      <c r="G293">
        <v>78.7</v>
      </c>
      <c r="H293">
        <v>2</v>
      </c>
      <c r="I293">
        <v>44.6</v>
      </c>
      <c r="J293" t="s">
        <v>3</v>
      </c>
      <c r="K293" t="s">
        <v>3</v>
      </c>
      <c r="L293">
        <v>6.9</v>
      </c>
      <c r="M293">
        <v>1.2</v>
      </c>
      <c r="N293">
        <v>1.21</v>
      </c>
      <c r="O293">
        <v>1.19</v>
      </c>
      <c r="P293" t="s">
        <v>7</v>
      </c>
      <c r="Q293" t="s">
        <v>14</v>
      </c>
      <c r="R293" t="s">
        <v>9</v>
      </c>
      <c r="S293">
        <v>1</v>
      </c>
    </row>
    <row r="294" spans="1:19" x14ac:dyDescent="0.3">
      <c r="A294">
        <v>293</v>
      </c>
      <c r="B294">
        <v>19.7</v>
      </c>
      <c r="C294" t="s">
        <v>5</v>
      </c>
      <c r="D294">
        <v>25193</v>
      </c>
      <c r="E294" t="s">
        <v>4</v>
      </c>
      <c r="F294">
        <v>4.2</v>
      </c>
      <c r="G294">
        <v>83.3</v>
      </c>
      <c r="H294">
        <v>1</v>
      </c>
      <c r="I294">
        <v>16.5</v>
      </c>
      <c r="J294" t="s">
        <v>3</v>
      </c>
      <c r="K294" t="s">
        <v>3</v>
      </c>
      <c r="L294">
        <v>8.5</v>
      </c>
      <c r="M294">
        <v>1.85</v>
      </c>
      <c r="N294">
        <v>1.99</v>
      </c>
      <c r="O294">
        <v>1.95</v>
      </c>
      <c r="P294" t="s">
        <v>7</v>
      </c>
      <c r="Q294" t="s">
        <v>1</v>
      </c>
      <c r="R294" t="s">
        <v>15</v>
      </c>
      <c r="S294">
        <v>0</v>
      </c>
    </row>
    <row r="295" spans="1:19" x14ac:dyDescent="0.3">
      <c r="A295">
        <v>294</v>
      </c>
      <c r="B295">
        <v>22.9</v>
      </c>
      <c r="C295" t="s">
        <v>5</v>
      </c>
      <c r="D295">
        <v>25000</v>
      </c>
      <c r="E295" t="s">
        <v>4</v>
      </c>
      <c r="F295">
        <v>3.86</v>
      </c>
      <c r="G295">
        <v>74.5</v>
      </c>
      <c r="H295">
        <v>2</v>
      </c>
      <c r="I295">
        <v>36.9</v>
      </c>
      <c r="J295" t="s">
        <v>3</v>
      </c>
      <c r="K295" t="s">
        <v>3</v>
      </c>
      <c r="L295">
        <v>6.6</v>
      </c>
      <c r="M295">
        <v>4</v>
      </c>
      <c r="N295">
        <v>3.74</v>
      </c>
      <c r="O295">
        <v>3.74</v>
      </c>
      <c r="P295" t="s">
        <v>2</v>
      </c>
      <c r="Q295" t="s">
        <v>13</v>
      </c>
      <c r="R295" t="s">
        <v>17</v>
      </c>
      <c r="S295">
        <v>0</v>
      </c>
    </row>
    <row r="296" spans="1:19" x14ac:dyDescent="0.3">
      <c r="A296">
        <v>295</v>
      </c>
      <c r="B296">
        <v>21.8</v>
      </c>
      <c r="C296" t="s">
        <v>11</v>
      </c>
      <c r="D296">
        <v>31972</v>
      </c>
      <c r="E296" t="s">
        <v>4</v>
      </c>
      <c r="F296">
        <v>0.76</v>
      </c>
      <c r="G296">
        <v>79.900000000000006</v>
      </c>
      <c r="H296">
        <v>3</v>
      </c>
      <c r="I296">
        <v>45.9</v>
      </c>
      <c r="J296" t="s">
        <v>3</v>
      </c>
      <c r="K296" t="s">
        <v>4</v>
      </c>
      <c r="L296">
        <v>7.5</v>
      </c>
      <c r="M296">
        <v>1.64</v>
      </c>
      <c r="N296">
        <v>1.85</v>
      </c>
      <c r="O296">
        <v>1.85</v>
      </c>
      <c r="P296" t="s">
        <v>2</v>
      </c>
      <c r="Q296" t="s">
        <v>1</v>
      </c>
      <c r="R296" t="s">
        <v>9</v>
      </c>
      <c r="S296">
        <v>0</v>
      </c>
    </row>
    <row r="297" spans="1:19" x14ac:dyDescent="0.3">
      <c r="A297">
        <v>296</v>
      </c>
      <c r="B297">
        <v>19.5</v>
      </c>
      <c r="C297" t="s">
        <v>5</v>
      </c>
      <c r="D297">
        <v>26281</v>
      </c>
      <c r="E297" t="s">
        <v>4</v>
      </c>
      <c r="F297">
        <v>7.22</v>
      </c>
      <c r="G297">
        <v>94.7</v>
      </c>
      <c r="H297">
        <v>3</v>
      </c>
      <c r="I297">
        <v>60.2</v>
      </c>
      <c r="J297" t="s">
        <v>3</v>
      </c>
      <c r="K297" t="s">
        <v>4</v>
      </c>
      <c r="L297">
        <v>6.6</v>
      </c>
      <c r="M297">
        <v>3.15</v>
      </c>
      <c r="N297">
        <v>3.14</v>
      </c>
      <c r="O297">
        <v>3.07</v>
      </c>
      <c r="P297" t="s">
        <v>7</v>
      </c>
      <c r="Q297" t="s">
        <v>8</v>
      </c>
      <c r="R297" t="s">
        <v>0</v>
      </c>
      <c r="S297">
        <v>0</v>
      </c>
    </row>
    <row r="298" spans="1:19" x14ac:dyDescent="0.3">
      <c r="A298">
        <v>297</v>
      </c>
      <c r="B298">
        <v>23</v>
      </c>
      <c r="C298" t="s">
        <v>5</v>
      </c>
      <c r="D298">
        <v>36914</v>
      </c>
      <c r="E298" t="s">
        <v>4</v>
      </c>
      <c r="F298">
        <v>6.06</v>
      </c>
      <c r="G298">
        <v>73.7</v>
      </c>
      <c r="H298">
        <v>1</v>
      </c>
      <c r="I298">
        <v>42.6</v>
      </c>
      <c r="J298" t="s">
        <v>4</v>
      </c>
      <c r="K298" t="s">
        <v>4</v>
      </c>
      <c r="L298">
        <v>3.1</v>
      </c>
      <c r="M298">
        <v>4</v>
      </c>
      <c r="N298">
        <v>4</v>
      </c>
      <c r="O298">
        <v>4</v>
      </c>
      <c r="P298" t="s">
        <v>2</v>
      </c>
      <c r="Q298" t="s">
        <v>6</v>
      </c>
      <c r="R298" t="s">
        <v>15</v>
      </c>
      <c r="S298">
        <v>0</v>
      </c>
    </row>
    <row r="299" spans="1:19" x14ac:dyDescent="0.3">
      <c r="A299">
        <v>298</v>
      </c>
      <c r="B299">
        <v>21.7</v>
      </c>
      <c r="C299" t="s">
        <v>5</v>
      </c>
      <c r="D299">
        <v>68745</v>
      </c>
      <c r="E299" t="s">
        <v>4</v>
      </c>
      <c r="F299">
        <v>2.4900000000000002</v>
      </c>
      <c r="G299">
        <v>80.099999999999994</v>
      </c>
      <c r="H299">
        <v>4</v>
      </c>
      <c r="I299">
        <v>34.299999999999997</v>
      </c>
      <c r="J299" t="s">
        <v>3</v>
      </c>
      <c r="K299" t="s">
        <v>3</v>
      </c>
      <c r="L299">
        <v>7</v>
      </c>
      <c r="M299">
        <v>2.02</v>
      </c>
      <c r="N299">
        <v>2.33</v>
      </c>
      <c r="O299">
        <v>2.3199999999999998</v>
      </c>
      <c r="P299" t="s">
        <v>7</v>
      </c>
      <c r="Q299" t="s">
        <v>1</v>
      </c>
      <c r="R299" t="s">
        <v>15</v>
      </c>
      <c r="S299">
        <v>1</v>
      </c>
    </row>
    <row r="300" spans="1:19" x14ac:dyDescent="0.3">
      <c r="A300">
        <v>299</v>
      </c>
      <c r="B300">
        <v>22.8</v>
      </c>
      <c r="C300" t="s">
        <v>5</v>
      </c>
      <c r="D300">
        <v>48557</v>
      </c>
      <c r="E300" t="s">
        <v>4</v>
      </c>
      <c r="F300">
        <v>3.19</v>
      </c>
      <c r="G300">
        <v>84.2</v>
      </c>
      <c r="H300">
        <v>4</v>
      </c>
      <c r="I300">
        <v>33.299999999999997</v>
      </c>
      <c r="J300" t="s">
        <v>4</v>
      </c>
      <c r="K300" t="s">
        <v>3</v>
      </c>
      <c r="L300">
        <v>5.7</v>
      </c>
      <c r="M300">
        <v>3.19</v>
      </c>
      <c r="N300">
        <v>3.7</v>
      </c>
      <c r="O300">
        <v>3.66</v>
      </c>
      <c r="P300" t="s">
        <v>12</v>
      </c>
      <c r="Q300" t="s">
        <v>14</v>
      </c>
      <c r="R300" t="s">
        <v>15</v>
      </c>
      <c r="S300">
        <v>0</v>
      </c>
    </row>
    <row r="301" spans="1:19" x14ac:dyDescent="0.3">
      <c r="A301">
        <v>300</v>
      </c>
      <c r="B301">
        <v>22.4</v>
      </c>
      <c r="C301" t="s">
        <v>11</v>
      </c>
      <c r="D301">
        <v>39877</v>
      </c>
      <c r="E301" t="s">
        <v>4</v>
      </c>
      <c r="F301">
        <v>3.78</v>
      </c>
      <c r="G301">
        <v>85.7</v>
      </c>
      <c r="H301">
        <v>4</v>
      </c>
      <c r="I301">
        <v>48.6</v>
      </c>
      <c r="J301" t="s">
        <v>3</v>
      </c>
      <c r="K301" t="s">
        <v>4</v>
      </c>
      <c r="L301">
        <v>9.1</v>
      </c>
      <c r="M301">
        <v>2</v>
      </c>
      <c r="N301">
        <v>2.04</v>
      </c>
      <c r="O301">
        <v>2.04</v>
      </c>
      <c r="P301" t="s">
        <v>2</v>
      </c>
      <c r="Q301" t="s">
        <v>8</v>
      </c>
      <c r="R301" t="s">
        <v>0</v>
      </c>
      <c r="S301">
        <v>0</v>
      </c>
    </row>
    <row r="302" spans="1:19" x14ac:dyDescent="0.3">
      <c r="A302">
        <v>301</v>
      </c>
      <c r="B302">
        <v>19.2</v>
      </c>
      <c r="C302" t="s">
        <v>11</v>
      </c>
      <c r="D302">
        <v>25000</v>
      </c>
      <c r="E302" t="s">
        <v>4</v>
      </c>
      <c r="F302">
        <v>4.8600000000000003</v>
      </c>
      <c r="G302">
        <v>75.099999999999994</v>
      </c>
      <c r="H302">
        <v>3</v>
      </c>
      <c r="I302">
        <v>26.6</v>
      </c>
      <c r="J302" t="s">
        <v>3</v>
      </c>
      <c r="K302" t="s">
        <v>4</v>
      </c>
      <c r="L302">
        <v>2.9</v>
      </c>
      <c r="M302">
        <v>2.29</v>
      </c>
      <c r="N302">
        <v>2.5</v>
      </c>
      <c r="O302">
        <v>2.4900000000000002</v>
      </c>
      <c r="P302" t="s">
        <v>12</v>
      </c>
      <c r="Q302" t="s">
        <v>13</v>
      </c>
      <c r="R302" t="s">
        <v>15</v>
      </c>
      <c r="S302">
        <v>0</v>
      </c>
    </row>
    <row r="303" spans="1:19" x14ac:dyDescent="0.3">
      <c r="A303">
        <v>302</v>
      </c>
      <c r="B303">
        <v>19.8</v>
      </c>
      <c r="C303" t="s">
        <v>5</v>
      </c>
      <c r="D303">
        <v>38794</v>
      </c>
      <c r="E303" t="s">
        <v>4</v>
      </c>
      <c r="F303">
        <v>4.6100000000000003</v>
      </c>
      <c r="G303">
        <v>80.599999999999994</v>
      </c>
      <c r="H303">
        <v>0</v>
      </c>
      <c r="I303">
        <v>39.6</v>
      </c>
      <c r="J303" t="s">
        <v>4</v>
      </c>
      <c r="K303" t="s">
        <v>3</v>
      </c>
      <c r="L303">
        <v>3.5</v>
      </c>
      <c r="M303">
        <v>1.86</v>
      </c>
      <c r="N303">
        <v>2.17</v>
      </c>
      <c r="O303">
        <v>2.1800000000000002</v>
      </c>
      <c r="P303" t="s">
        <v>12</v>
      </c>
      <c r="Q303" t="s">
        <v>13</v>
      </c>
      <c r="R303" t="s">
        <v>15</v>
      </c>
      <c r="S303">
        <v>0</v>
      </c>
    </row>
    <row r="304" spans="1:19" x14ac:dyDescent="0.3">
      <c r="A304">
        <v>303</v>
      </c>
      <c r="B304">
        <v>22.6</v>
      </c>
      <c r="C304" t="s">
        <v>5</v>
      </c>
      <c r="D304">
        <v>83581</v>
      </c>
      <c r="E304" t="s">
        <v>3</v>
      </c>
      <c r="F304">
        <v>2.57</v>
      </c>
      <c r="G304">
        <v>79.7</v>
      </c>
      <c r="H304">
        <v>2</v>
      </c>
      <c r="I304">
        <v>56.3</v>
      </c>
      <c r="J304" t="s">
        <v>3</v>
      </c>
      <c r="K304" t="s">
        <v>3</v>
      </c>
      <c r="L304">
        <v>6.8</v>
      </c>
      <c r="M304">
        <v>1.1499999999999999</v>
      </c>
      <c r="N304">
        <v>1.1399999999999999</v>
      </c>
      <c r="O304">
        <v>1.1399999999999999</v>
      </c>
      <c r="P304" t="s">
        <v>2</v>
      </c>
      <c r="Q304" t="s">
        <v>14</v>
      </c>
      <c r="R304" t="s">
        <v>9</v>
      </c>
      <c r="S304">
        <v>0</v>
      </c>
    </row>
    <row r="305" spans="1:19" x14ac:dyDescent="0.3">
      <c r="A305">
        <v>304</v>
      </c>
      <c r="B305">
        <v>22.3</v>
      </c>
      <c r="C305" t="s">
        <v>11</v>
      </c>
      <c r="E305" t="s">
        <v>4</v>
      </c>
      <c r="G305">
        <v>84.4</v>
      </c>
      <c r="H305">
        <v>0</v>
      </c>
      <c r="I305">
        <v>28.7</v>
      </c>
      <c r="J305" t="s">
        <v>3</v>
      </c>
      <c r="K305" t="s">
        <v>3</v>
      </c>
      <c r="M305">
        <v>2.2000000000000002</v>
      </c>
      <c r="N305">
        <v>2.31</v>
      </c>
      <c r="O305">
        <v>2.3199999999999998</v>
      </c>
      <c r="P305" t="s">
        <v>7</v>
      </c>
      <c r="Q305" t="s">
        <v>6</v>
      </c>
      <c r="R305" t="s">
        <v>16</v>
      </c>
      <c r="S305">
        <v>0</v>
      </c>
    </row>
    <row r="306" spans="1:19" x14ac:dyDescent="0.3">
      <c r="A306">
        <v>305</v>
      </c>
      <c r="B306">
        <v>21</v>
      </c>
      <c r="C306" t="s">
        <v>11</v>
      </c>
      <c r="E306" t="s">
        <v>3</v>
      </c>
      <c r="G306">
        <v>72.599999999999994</v>
      </c>
      <c r="H306">
        <v>4</v>
      </c>
      <c r="I306">
        <v>5.8</v>
      </c>
      <c r="J306" t="s">
        <v>3</v>
      </c>
      <c r="K306" t="s">
        <v>4</v>
      </c>
      <c r="M306">
        <v>1.59</v>
      </c>
      <c r="N306">
        <v>1.52</v>
      </c>
      <c r="O306">
        <v>1.46</v>
      </c>
      <c r="P306" t="s">
        <v>10</v>
      </c>
      <c r="Q306" t="s">
        <v>6</v>
      </c>
      <c r="R306" t="s">
        <v>9</v>
      </c>
      <c r="S306">
        <v>0</v>
      </c>
    </row>
    <row r="307" spans="1:19" x14ac:dyDescent="0.3">
      <c r="A307">
        <v>306</v>
      </c>
      <c r="B307">
        <v>21.3</v>
      </c>
      <c r="C307" t="s">
        <v>5</v>
      </c>
      <c r="D307">
        <v>27021</v>
      </c>
      <c r="E307" t="s">
        <v>4</v>
      </c>
      <c r="F307">
        <v>6.35</v>
      </c>
      <c r="G307">
        <v>92.2</v>
      </c>
      <c r="H307">
        <v>0</v>
      </c>
      <c r="I307">
        <v>19.7</v>
      </c>
      <c r="J307" t="s">
        <v>4</v>
      </c>
      <c r="K307" t="s">
        <v>3</v>
      </c>
      <c r="L307">
        <v>5.3</v>
      </c>
      <c r="M307">
        <v>3.58</v>
      </c>
      <c r="N307">
        <v>4</v>
      </c>
      <c r="O307">
        <v>3.93</v>
      </c>
      <c r="P307" t="s">
        <v>10</v>
      </c>
      <c r="Q307" t="s">
        <v>1</v>
      </c>
      <c r="R307" t="s">
        <v>9</v>
      </c>
      <c r="S307">
        <v>0</v>
      </c>
    </row>
    <row r="308" spans="1:19" x14ac:dyDescent="0.3">
      <c r="A308">
        <v>307</v>
      </c>
      <c r="B308">
        <v>23.8</v>
      </c>
      <c r="C308" t="s">
        <v>11</v>
      </c>
      <c r="D308">
        <v>25000</v>
      </c>
      <c r="E308" t="s">
        <v>4</v>
      </c>
      <c r="F308">
        <v>3.21</v>
      </c>
      <c r="G308">
        <v>84.1</v>
      </c>
      <c r="H308">
        <v>0</v>
      </c>
      <c r="I308">
        <v>33.5</v>
      </c>
      <c r="J308" t="s">
        <v>3</v>
      </c>
      <c r="K308" t="s">
        <v>3</v>
      </c>
      <c r="L308">
        <v>5.9</v>
      </c>
      <c r="M308">
        <v>2.42</v>
      </c>
      <c r="N308">
        <v>2.4300000000000002</v>
      </c>
      <c r="O308">
        <v>2.44</v>
      </c>
      <c r="P308" t="s">
        <v>12</v>
      </c>
      <c r="Q308" t="s">
        <v>1</v>
      </c>
      <c r="R308" t="s">
        <v>15</v>
      </c>
      <c r="S308">
        <v>0</v>
      </c>
    </row>
    <row r="309" spans="1:19" x14ac:dyDescent="0.3">
      <c r="A309">
        <v>308</v>
      </c>
      <c r="B309">
        <v>19.7</v>
      </c>
      <c r="C309" t="s">
        <v>11</v>
      </c>
      <c r="D309">
        <v>48083</v>
      </c>
      <c r="E309" t="s">
        <v>4</v>
      </c>
      <c r="F309">
        <v>5.37</v>
      </c>
      <c r="G309">
        <v>90.5</v>
      </c>
      <c r="H309">
        <v>4</v>
      </c>
      <c r="I309">
        <v>20</v>
      </c>
      <c r="J309" t="s">
        <v>3</v>
      </c>
      <c r="K309" t="s">
        <v>3</v>
      </c>
      <c r="L309">
        <v>4.5999999999999996</v>
      </c>
      <c r="M309">
        <v>2.87</v>
      </c>
      <c r="N309">
        <v>3.07</v>
      </c>
      <c r="O309">
        <v>3.09</v>
      </c>
      <c r="P309" t="s">
        <v>12</v>
      </c>
      <c r="Q309" t="s">
        <v>1</v>
      </c>
      <c r="R309" t="s">
        <v>15</v>
      </c>
      <c r="S309">
        <v>0</v>
      </c>
    </row>
    <row r="310" spans="1:19" x14ac:dyDescent="0.3">
      <c r="A310">
        <v>309</v>
      </c>
      <c r="B310">
        <v>22.2</v>
      </c>
      <c r="C310" t="s">
        <v>5</v>
      </c>
      <c r="D310">
        <v>82936</v>
      </c>
      <c r="E310" t="s">
        <v>4</v>
      </c>
      <c r="F310">
        <v>4.49</v>
      </c>
      <c r="G310">
        <v>77.400000000000006</v>
      </c>
      <c r="H310">
        <v>2</v>
      </c>
      <c r="I310">
        <v>25.8</v>
      </c>
      <c r="J310" t="s">
        <v>3</v>
      </c>
      <c r="K310" t="s">
        <v>3</v>
      </c>
      <c r="L310">
        <v>7.3</v>
      </c>
      <c r="M310">
        <v>3.19</v>
      </c>
      <c r="N310">
        <v>3.32</v>
      </c>
      <c r="O310">
        <v>3.39</v>
      </c>
      <c r="P310" t="s">
        <v>12</v>
      </c>
      <c r="Q310" t="s">
        <v>14</v>
      </c>
      <c r="R310" t="s">
        <v>0</v>
      </c>
      <c r="S310">
        <v>0</v>
      </c>
    </row>
    <row r="311" spans="1:19" x14ac:dyDescent="0.3">
      <c r="A311">
        <v>310</v>
      </c>
      <c r="B311">
        <v>20.6</v>
      </c>
      <c r="C311" t="s">
        <v>5</v>
      </c>
      <c r="D311">
        <v>47341</v>
      </c>
      <c r="E311" t="s">
        <v>3</v>
      </c>
      <c r="F311">
        <v>2.89</v>
      </c>
      <c r="G311">
        <v>72.2</v>
      </c>
      <c r="H311">
        <v>7</v>
      </c>
      <c r="I311">
        <v>26.5</v>
      </c>
      <c r="J311" t="s">
        <v>3</v>
      </c>
      <c r="K311" t="s">
        <v>4</v>
      </c>
      <c r="L311">
        <v>4.5999999999999996</v>
      </c>
      <c r="M311">
        <v>1.5</v>
      </c>
      <c r="N311">
        <v>1.32</v>
      </c>
      <c r="O311">
        <v>1.32</v>
      </c>
      <c r="P311" t="s">
        <v>2</v>
      </c>
      <c r="Q311" t="s">
        <v>6</v>
      </c>
      <c r="R311" t="s">
        <v>0</v>
      </c>
      <c r="S311">
        <v>1</v>
      </c>
    </row>
    <row r="312" spans="1:19" x14ac:dyDescent="0.3">
      <c r="A312">
        <v>311</v>
      </c>
      <c r="B312">
        <v>20.5</v>
      </c>
      <c r="C312" t="s">
        <v>5</v>
      </c>
      <c r="D312">
        <v>25000</v>
      </c>
      <c r="E312" t="s">
        <v>4</v>
      </c>
      <c r="F312">
        <v>4.76</v>
      </c>
      <c r="G312">
        <v>74.400000000000006</v>
      </c>
      <c r="H312">
        <v>2</v>
      </c>
      <c r="I312">
        <v>36.700000000000003</v>
      </c>
      <c r="J312" t="s">
        <v>3</v>
      </c>
      <c r="K312" t="s">
        <v>3</v>
      </c>
      <c r="L312">
        <v>6.8</v>
      </c>
      <c r="M312">
        <v>1.39</v>
      </c>
      <c r="N312">
        <v>0.96</v>
      </c>
      <c r="O312">
        <v>1</v>
      </c>
      <c r="P312" t="s">
        <v>7</v>
      </c>
      <c r="Q312" t="s">
        <v>1</v>
      </c>
      <c r="R312" t="s">
        <v>15</v>
      </c>
      <c r="S312">
        <v>0</v>
      </c>
    </row>
    <row r="313" spans="1:19" x14ac:dyDescent="0.3">
      <c r="A313">
        <v>312</v>
      </c>
      <c r="B313">
        <v>23.4</v>
      </c>
      <c r="C313" t="s">
        <v>11</v>
      </c>
      <c r="E313" t="s">
        <v>4</v>
      </c>
      <c r="G313">
        <v>87.6</v>
      </c>
      <c r="H313">
        <v>1</v>
      </c>
      <c r="I313">
        <v>18.600000000000001</v>
      </c>
      <c r="J313" t="s">
        <v>4</v>
      </c>
      <c r="K313" t="s">
        <v>3</v>
      </c>
      <c r="M313">
        <v>4</v>
      </c>
      <c r="N313">
        <v>3.97</v>
      </c>
      <c r="O313">
        <v>4</v>
      </c>
      <c r="P313" t="s">
        <v>12</v>
      </c>
      <c r="Q313" t="s">
        <v>1</v>
      </c>
      <c r="R313" t="s">
        <v>15</v>
      </c>
      <c r="S313">
        <v>0</v>
      </c>
    </row>
    <row r="314" spans="1:19" x14ac:dyDescent="0.3">
      <c r="A314">
        <v>313</v>
      </c>
      <c r="B314">
        <v>22.8</v>
      </c>
      <c r="C314" t="s">
        <v>5</v>
      </c>
      <c r="D314">
        <v>32428</v>
      </c>
      <c r="E314" t="s">
        <v>4</v>
      </c>
      <c r="F314">
        <v>5.2</v>
      </c>
      <c r="G314">
        <v>78.5</v>
      </c>
      <c r="H314">
        <v>0</v>
      </c>
      <c r="I314">
        <v>23</v>
      </c>
      <c r="J314" t="s">
        <v>3</v>
      </c>
      <c r="K314" t="s">
        <v>4</v>
      </c>
      <c r="L314">
        <v>8.6</v>
      </c>
      <c r="M314">
        <v>0.08</v>
      </c>
      <c r="N314">
        <v>0</v>
      </c>
      <c r="O314">
        <v>0</v>
      </c>
      <c r="P314" t="s">
        <v>7</v>
      </c>
      <c r="Q314" t="s">
        <v>6</v>
      </c>
      <c r="R314" t="s">
        <v>15</v>
      </c>
      <c r="S314">
        <v>1</v>
      </c>
    </row>
    <row r="315" spans="1:19" x14ac:dyDescent="0.3">
      <c r="A315">
        <v>314</v>
      </c>
      <c r="B315">
        <v>22.8</v>
      </c>
      <c r="C315" t="s">
        <v>11</v>
      </c>
      <c r="D315">
        <v>50207</v>
      </c>
      <c r="E315" t="s">
        <v>4</v>
      </c>
      <c r="F315">
        <v>2.99</v>
      </c>
      <c r="G315">
        <v>69</v>
      </c>
      <c r="H315">
        <v>2</v>
      </c>
      <c r="I315">
        <v>46.9</v>
      </c>
      <c r="J315" t="s">
        <v>3</v>
      </c>
      <c r="K315" t="s">
        <v>3</v>
      </c>
      <c r="L315">
        <v>1.7</v>
      </c>
      <c r="M315">
        <v>3.28</v>
      </c>
      <c r="N315">
        <v>3.17</v>
      </c>
      <c r="O315">
        <v>3.17</v>
      </c>
      <c r="P315" t="s">
        <v>2</v>
      </c>
      <c r="Q315" t="s">
        <v>14</v>
      </c>
      <c r="R315" t="s">
        <v>9</v>
      </c>
      <c r="S315">
        <v>0</v>
      </c>
    </row>
    <row r="316" spans="1:19" x14ac:dyDescent="0.3">
      <c r="A316">
        <v>315</v>
      </c>
      <c r="B316">
        <v>23.9</v>
      </c>
      <c r="C316" t="s">
        <v>5</v>
      </c>
      <c r="D316">
        <v>25000</v>
      </c>
      <c r="E316" t="s">
        <v>4</v>
      </c>
      <c r="F316">
        <v>3.89</v>
      </c>
      <c r="G316">
        <v>83.4</v>
      </c>
      <c r="H316">
        <v>2</v>
      </c>
      <c r="I316">
        <v>24.2</v>
      </c>
      <c r="J316" t="s">
        <v>3</v>
      </c>
      <c r="K316" t="s">
        <v>3</v>
      </c>
      <c r="L316">
        <v>3.6</v>
      </c>
      <c r="M316">
        <v>1.66</v>
      </c>
      <c r="N316">
        <v>2.0299999999999998</v>
      </c>
      <c r="O316">
        <v>2.0499999999999998</v>
      </c>
      <c r="P316" t="s">
        <v>10</v>
      </c>
      <c r="Q316" t="s">
        <v>6</v>
      </c>
      <c r="R316" t="s">
        <v>15</v>
      </c>
      <c r="S316">
        <v>0</v>
      </c>
    </row>
    <row r="317" spans="1:19" x14ac:dyDescent="0.3">
      <c r="A317">
        <v>316</v>
      </c>
      <c r="B317">
        <v>21</v>
      </c>
      <c r="C317" t="s">
        <v>11</v>
      </c>
      <c r="D317">
        <v>25000</v>
      </c>
      <c r="E317" t="s">
        <v>4</v>
      </c>
      <c r="F317">
        <v>5.05</v>
      </c>
      <c r="G317">
        <v>79.400000000000006</v>
      </c>
      <c r="H317">
        <v>4</v>
      </c>
      <c r="I317">
        <v>38.700000000000003</v>
      </c>
      <c r="J317" t="s">
        <v>3</v>
      </c>
      <c r="K317" t="s">
        <v>4</v>
      </c>
      <c r="L317">
        <v>9.6</v>
      </c>
      <c r="M317">
        <v>1.51</v>
      </c>
      <c r="N317">
        <v>1.76</v>
      </c>
      <c r="O317">
        <v>1.84</v>
      </c>
      <c r="P317" t="s">
        <v>10</v>
      </c>
      <c r="Q317" t="s">
        <v>6</v>
      </c>
      <c r="R317" t="s">
        <v>9</v>
      </c>
      <c r="S317">
        <v>0</v>
      </c>
    </row>
    <row r="318" spans="1:19" x14ac:dyDescent="0.3">
      <c r="A318">
        <v>317</v>
      </c>
      <c r="B318">
        <v>22.5</v>
      </c>
      <c r="C318" t="s">
        <v>5</v>
      </c>
      <c r="D318">
        <v>161652</v>
      </c>
      <c r="E318" t="s">
        <v>3</v>
      </c>
      <c r="F318">
        <v>1.62</v>
      </c>
      <c r="G318">
        <v>79.599999999999994</v>
      </c>
      <c r="H318">
        <v>4</v>
      </c>
      <c r="I318">
        <v>30.2</v>
      </c>
      <c r="J318" t="s">
        <v>3</v>
      </c>
      <c r="K318" t="s">
        <v>3</v>
      </c>
      <c r="L318">
        <v>5.7</v>
      </c>
      <c r="M318">
        <v>0</v>
      </c>
      <c r="N318">
        <v>0.12</v>
      </c>
      <c r="O318">
        <v>0.12</v>
      </c>
      <c r="P318" t="s">
        <v>2</v>
      </c>
      <c r="Q318" t="s">
        <v>8</v>
      </c>
      <c r="R318" t="s">
        <v>15</v>
      </c>
      <c r="S318">
        <v>1</v>
      </c>
    </row>
    <row r="319" spans="1:19" x14ac:dyDescent="0.3">
      <c r="A319">
        <v>318</v>
      </c>
      <c r="B319">
        <v>20.3</v>
      </c>
      <c r="C319" t="s">
        <v>11</v>
      </c>
      <c r="D319">
        <v>56794</v>
      </c>
      <c r="E319" t="s">
        <v>4</v>
      </c>
      <c r="F319">
        <v>2.5</v>
      </c>
      <c r="G319">
        <v>68.3</v>
      </c>
      <c r="H319">
        <v>2</v>
      </c>
      <c r="I319">
        <v>29.7</v>
      </c>
      <c r="J319" t="s">
        <v>3</v>
      </c>
      <c r="K319" t="s">
        <v>3</v>
      </c>
      <c r="L319">
        <v>4.3</v>
      </c>
      <c r="M319">
        <v>2.23</v>
      </c>
      <c r="N319">
        <v>2.1800000000000002</v>
      </c>
      <c r="O319">
        <v>2.09</v>
      </c>
      <c r="P319" t="s">
        <v>12</v>
      </c>
      <c r="Q319" t="s">
        <v>1</v>
      </c>
      <c r="R319" t="s">
        <v>15</v>
      </c>
      <c r="S319">
        <v>0</v>
      </c>
    </row>
    <row r="320" spans="1:19" x14ac:dyDescent="0.3">
      <c r="A320">
        <v>319</v>
      </c>
      <c r="B320">
        <v>21.7</v>
      </c>
      <c r="C320" t="s">
        <v>11</v>
      </c>
      <c r="D320">
        <v>59283</v>
      </c>
      <c r="E320" t="s">
        <v>4</v>
      </c>
      <c r="F320">
        <v>4.05</v>
      </c>
      <c r="G320">
        <v>69.900000000000006</v>
      </c>
      <c r="H320">
        <v>2</v>
      </c>
      <c r="I320">
        <v>38.9</v>
      </c>
      <c r="J320" t="s">
        <v>4</v>
      </c>
      <c r="K320" t="s">
        <v>3</v>
      </c>
      <c r="L320">
        <v>3.2</v>
      </c>
      <c r="M320">
        <v>1.67</v>
      </c>
      <c r="N320">
        <v>1.51</v>
      </c>
      <c r="O320">
        <v>1.57</v>
      </c>
      <c r="P320" t="s">
        <v>7</v>
      </c>
      <c r="Q320" t="s">
        <v>6</v>
      </c>
      <c r="R320" t="s">
        <v>17</v>
      </c>
      <c r="S320">
        <v>0</v>
      </c>
    </row>
    <row r="321" spans="1:19" x14ac:dyDescent="0.3">
      <c r="A321">
        <v>320</v>
      </c>
      <c r="B321">
        <v>20.7</v>
      </c>
      <c r="C321" t="s">
        <v>5</v>
      </c>
      <c r="D321">
        <v>25000</v>
      </c>
      <c r="E321" t="s">
        <v>4</v>
      </c>
      <c r="F321">
        <v>4.2300000000000004</v>
      </c>
      <c r="G321">
        <v>77.599999999999994</v>
      </c>
      <c r="H321">
        <v>0</v>
      </c>
      <c r="I321">
        <v>7.7</v>
      </c>
      <c r="J321" t="s">
        <v>4</v>
      </c>
      <c r="K321" t="s">
        <v>3</v>
      </c>
      <c r="L321">
        <v>4.7</v>
      </c>
      <c r="M321">
        <v>2.97</v>
      </c>
      <c r="N321">
        <v>2.57</v>
      </c>
      <c r="O321">
        <v>2.5299999999999998</v>
      </c>
      <c r="P321" t="s">
        <v>10</v>
      </c>
      <c r="Q321" t="s">
        <v>1</v>
      </c>
      <c r="R321" t="s">
        <v>9</v>
      </c>
      <c r="S321">
        <v>0</v>
      </c>
    </row>
    <row r="322" spans="1:19" x14ac:dyDescent="0.3">
      <c r="A322">
        <v>321</v>
      </c>
      <c r="B322">
        <v>21.2</v>
      </c>
      <c r="C322" t="s">
        <v>5</v>
      </c>
      <c r="D322">
        <v>25000</v>
      </c>
      <c r="E322" t="s">
        <v>4</v>
      </c>
      <c r="F322">
        <v>3.88</v>
      </c>
      <c r="G322">
        <v>74.599999999999994</v>
      </c>
      <c r="H322">
        <v>2</v>
      </c>
      <c r="I322">
        <v>35.299999999999997</v>
      </c>
      <c r="J322" t="s">
        <v>3</v>
      </c>
      <c r="K322" t="s">
        <v>4</v>
      </c>
      <c r="L322">
        <v>6</v>
      </c>
      <c r="M322">
        <v>2.67</v>
      </c>
      <c r="N322">
        <v>2.7</v>
      </c>
      <c r="O322">
        <v>2.7</v>
      </c>
      <c r="P322" t="s">
        <v>2</v>
      </c>
      <c r="Q322" t="s">
        <v>6</v>
      </c>
      <c r="R322" t="s">
        <v>16</v>
      </c>
      <c r="S322">
        <v>0</v>
      </c>
    </row>
    <row r="323" spans="1:19" x14ac:dyDescent="0.3">
      <c r="A323">
        <v>322</v>
      </c>
      <c r="B323">
        <v>22.3</v>
      </c>
      <c r="C323" t="s">
        <v>5</v>
      </c>
      <c r="E323" t="s">
        <v>4</v>
      </c>
      <c r="G323">
        <v>62.4</v>
      </c>
      <c r="H323">
        <v>1</v>
      </c>
      <c r="I323">
        <v>36.6</v>
      </c>
      <c r="J323" t="s">
        <v>4</v>
      </c>
      <c r="K323" t="s">
        <v>4</v>
      </c>
      <c r="M323">
        <v>3.45</v>
      </c>
      <c r="N323">
        <v>3.56</v>
      </c>
      <c r="O323">
        <v>3.61</v>
      </c>
      <c r="P323" t="s">
        <v>7</v>
      </c>
      <c r="Q323" t="s">
        <v>6</v>
      </c>
      <c r="R323" t="s">
        <v>9</v>
      </c>
      <c r="S323">
        <v>0</v>
      </c>
    </row>
    <row r="324" spans="1:19" x14ac:dyDescent="0.3">
      <c r="A324">
        <v>323</v>
      </c>
      <c r="B324">
        <v>19.2</v>
      </c>
      <c r="C324" t="s">
        <v>11</v>
      </c>
      <c r="D324">
        <v>25000</v>
      </c>
      <c r="E324" t="s">
        <v>4</v>
      </c>
      <c r="F324">
        <v>3.87</v>
      </c>
      <c r="G324">
        <v>88.7</v>
      </c>
      <c r="H324">
        <v>1</v>
      </c>
      <c r="I324">
        <v>40.200000000000003</v>
      </c>
      <c r="J324" t="s">
        <v>4</v>
      </c>
      <c r="K324" t="s">
        <v>3</v>
      </c>
      <c r="L324">
        <v>6.1</v>
      </c>
      <c r="M324">
        <v>3.57</v>
      </c>
      <c r="N324">
        <v>3.46</v>
      </c>
      <c r="O324">
        <v>3.42</v>
      </c>
      <c r="P324" t="s">
        <v>12</v>
      </c>
      <c r="Q324" t="s">
        <v>13</v>
      </c>
      <c r="R324" t="s">
        <v>9</v>
      </c>
      <c r="S324">
        <v>0</v>
      </c>
    </row>
    <row r="325" spans="1:19" x14ac:dyDescent="0.3">
      <c r="A325">
        <v>324</v>
      </c>
      <c r="B325">
        <v>25.6</v>
      </c>
      <c r="C325" t="s">
        <v>11</v>
      </c>
      <c r="D325">
        <v>77671</v>
      </c>
      <c r="E325" t="s">
        <v>4</v>
      </c>
      <c r="F325">
        <v>5.33</v>
      </c>
      <c r="G325">
        <v>73.5</v>
      </c>
      <c r="H325">
        <v>2</v>
      </c>
      <c r="I325">
        <v>25.5</v>
      </c>
      <c r="J325" t="s">
        <v>3</v>
      </c>
      <c r="K325" t="s">
        <v>3</v>
      </c>
      <c r="L325">
        <v>2.2999999999999998</v>
      </c>
      <c r="M325">
        <v>2.13</v>
      </c>
      <c r="N325">
        <v>1.94</v>
      </c>
      <c r="O325">
        <v>1.92</v>
      </c>
      <c r="P325" t="s">
        <v>10</v>
      </c>
      <c r="Q325" t="s">
        <v>14</v>
      </c>
      <c r="R325" t="s">
        <v>0</v>
      </c>
      <c r="S325">
        <v>0</v>
      </c>
    </row>
    <row r="326" spans="1:19" x14ac:dyDescent="0.3">
      <c r="A326">
        <v>325</v>
      </c>
      <c r="B326">
        <v>18.8</v>
      </c>
      <c r="C326" t="s">
        <v>5</v>
      </c>
      <c r="D326">
        <v>69299</v>
      </c>
      <c r="E326" t="s">
        <v>4</v>
      </c>
      <c r="F326">
        <v>4.42</v>
      </c>
      <c r="G326">
        <v>74.8</v>
      </c>
      <c r="H326">
        <v>1</v>
      </c>
      <c r="I326">
        <v>30</v>
      </c>
      <c r="J326" t="s">
        <v>3</v>
      </c>
      <c r="K326" t="s">
        <v>4</v>
      </c>
      <c r="L326">
        <v>5.8</v>
      </c>
      <c r="M326">
        <v>2.0099999999999998</v>
      </c>
      <c r="N326">
        <v>2.61</v>
      </c>
      <c r="O326">
        <v>2.67</v>
      </c>
      <c r="P326" t="s">
        <v>7</v>
      </c>
      <c r="Q326" t="s">
        <v>6</v>
      </c>
      <c r="R326" t="s">
        <v>15</v>
      </c>
      <c r="S326">
        <v>0</v>
      </c>
    </row>
    <row r="327" spans="1:19" x14ac:dyDescent="0.3">
      <c r="A327">
        <v>326</v>
      </c>
      <c r="B327">
        <v>18.3</v>
      </c>
      <c r="C327" t="s">
        <v>5</v>
      </c>
      <c r="D327">
        <v>25000</v>
      </c>
      <c r="E327" t="s">
        <v>4</v>
      </c>
      <c r="F327">
        <v>2.5499999999999998</v>
      </c>
      <c r="G327">
        <v>77.8</v>
      </c>
      <c r="H327">
        <v>2</v>
      </c>
      <c r="I327">
        <v>5</v>
      </c>
      <c r="J327" t="s">
        <v>3</v>
      </c>
      <c r="K327" t="s">
        <v>3</v>
      </c>
      <c r="L327">
        <v>6.1</v>
      </c>
      <c r="M327">
        <v>3.6</v>
      </c>
      <c r="N327">
        <v>3.94</v>
      </c>
      <c r="O327">
        <v>3.95</v>
      </c>
      <c r="P327" t="s">
        <v>10</v>
      </c>
      <c r="Q327" t="s">
        <v>6</v>
      </c>
      <c r="R327" t="s">
        <v>9</v>
      </c>
      <c r="S327">
        <v>0</v>
      </c>
    </row>
    <row r="328" spans="1:19" x14ac:dyDescent="0.3">
      <c r="A328">
        <v>327</v>
      </c>
      <c r="B328">
        <v>23.5</v>
      </c>
      <c r="C328" t="s">
        <v>5</v>
      </c>
      <c r="D328">
        <v>86712</v>
      </c>
      <c r="E328" t="s">
        <v>4</v>
      </c>
      <c r="F328">
        <v>4.21</v>
      </c>
      <c r="G328">
        <v>74.3</v>
      </c>
      <c r="H328">
        <v>3</v>
      </c>
      <c r="I328">
        <v>22</v>
      </c>
      <c r="J328" t="s">
        <v>3</v>
      </c>
      <c r="K328" t="s">
        <v>3</v>
      </c>
      <c r="L328">
        <v>6.1</v>
      </c>
      <c r="M328">
        <v>2.62</v>
      </c>
      <c r="N328">
        <v>2.63</v>
      </c>
      <c r="O328">
        <v>2.59</v>
      </c>
      <c r="P328" t="s">
        <v>7</v>
      </c>
      <c r="Q328" t="s">
        <v>6</v>
      </c>
      <c r="R328" t="s">
        <v>17</v>
      </c>
      <c r="S328">
        <v>0</v>
      </c>
    </row>
    <row r="329" spans="1:19" x14ac:dyDescent="0.3">
      <c r="A329">
        <v>328</v>
      </c>
      <c r="B329">
        <v>22.7</v>
      </c>
      <c r="C329" t="s">
        <v>11</v>
      </c>
      <c r="D329">
        <v>29657</v>
      </c>
      <c r="E329" t="s">
        <v>4</v>
      </c>
      <c r="F329">
        <v>3.9</v>
      </c>
      <c r="G329">
        <v>80.3</v>
      </c>
      <c r="H329">
        <v>2</v>
      </c>
      <c r="I329">
        <v>32.1</v>
      </c>
      <c r="J329" t="s">
        <v>4</v>
      </c>
      <c r="K329" t="s">
        <v>4</v>
      </c>
      <c r="L329">
        <v>5.6</v>
      </c>
      <c r="M329">
        <v>2.23</v>
      </c>
      <c r="N329">
        <v>2.19</v>
      </c>
      <c r="O329">
        <v>2.1</v>
      </c>
      <c r="P329" t="s">
        <v>7</v>
      </c>
      <c r="Q329" t="s">
        <v>14</v>
      </c>
      <c r="R329" t="s">
        <v>9</v>
      </c>
      <c r="S329">
        <v>0</v>
      </c>
    </row>
    <row r="330" spans="1:19" x14ac:dyDescent="0.3">
      <c r="A330">
        <v>329</v>
      </c>
      <c r="B330">
        <v>22.4</v>
      </c>
      <c r="C330" t="s">
        <v>11</v>
      </c>
      <c r="D330">
        <v>140594</v>
      </c>
      <c r="E330" t="s">
        <v>4</v>
      </c>
      <c r="F330">
        <v>3.13</v>
      </c>
      <c r="G330">
        <v>90.2</v>
      </c>
      <c r="H330">
        <v>3</v>
      </c>
      <c r="I330">
        <v>47.6</v>
      </c>
      <c r="J330" t="s">
        <v>4</v>
      </c>
      <c r="K330" t="s">
        <v>3</v>
      </c>
      <c r="L330">
        <v>3.3</v>
      </c>
      <c r="M330">
        <v>2.4700000000000002</v>
      </c>
      <c r="N330">
        <v>2.17</v>
      </c>
      <c r="O330">
        <v>2.17</v>
      </c>
      <c r="P330" t="s">
        <v>2</v>
      </c>
      <c r="Q330" t="s">
        <v>14</v>
      </c>
      <c r="R330" t="s">
        <v>9</v>
      </c>
      <c r="S330">
        <v>0</v>
      </c>
    </row>
    <row r="331" spans="1:19" x14ac:dyDescent="0.3">
      <c r="A331">
        <v>330</v>
      </c>
      <c r="B331">
        <v>22.4</v>
      </c>
      <c r="C331" t="s">
        <v>11</v>
      </c>
      <c r="D331">
        <v>32429</v>
      </c>
      <c r="E331" t="s">
        <v>4</v>
      </c>
      <c r="F331">
        <v>2.0299999999999998</v>
      </c>
      <c r="G331">
        <v>79.7</v>
      </c>
      <c r="H331">
        <v>4</v>
      </c>
      <c r="I331">
        <v>52.1</v>
      </c>
      <c r="J331" t="s">
        <v>3</v>
      </c>
      <c r="K331" t="s">
        <v>4</v>
      </c>
      <c r="L331">
        <v>3.8</v>
      </c>
      <c r="M331">
        <v>1.75</v>
      </c>
      <c r="N331">
        <v>1.35</v>
      </c>
      <c r="O331">
        <v>1.4</v>
      </c>
      <c r="P331" t="s">
        <v>12</v>
      </c>
      <c r="Q331" t="s">
        <v>8</v>
      </c>
      <c r="R331" t="s">
        <v>15</v>
      </c>
      <c r="S331">
        <v>0</v>
      </c>
    </row>
    <row r="332" spans="1:19" x14ac:dyDescent="0.3">
      <c r="A332">
        <v>331</v>
      </c>
      <c r="B332">
        <v>21</v>
      </c>
      <c r="C332" t="s">
        <v>5</v>
      </c>
      <c r="D332">
        <v>42012</v>
      </c>
      <c r="E332" t="s">
        <v>4</v>
      </c>
      <c r="F332">
        <v>2.4700000000000002</v>
      </c>
      <c r="G332">
        <v>84.1</v>
      </c>
      <c r="H332">
        <v>1</v>
      </c>
      <c r="I332">
        <v>25.9</v>
      </c>
      <c r="J332" t="s">
        <v>3</v>
      </c>
      <c r="K332" t="s">
        <v>3</v>
      </c>
      <c r="L332">
        <v>7.7</v>
      </c>
      <c r="M332">
        <v>2.4900000000000002</v>
      </c>
      <c r="N332">
        <v>2.89</v>
      </c>
      <c r="O332">
        <v>2.89</v>
      </c>
      <c r="P332" t="s">
        <v>2</v>
      </c>
      <c r="Q332" t="s">
        <v>14</v>
      </c>
      <c r="R332" t="s">
        <v>15</v>
      </c>
      <c r="S332">
        <v>0</v>
      </c>
    </row>
    <row r="333" spans="1:19" x14ac:dyDescent="0.3">
      <c r="A333">
        <v>332</v>
      </c>
      <c r="B333">
        <v>19</v>
      </c>
      <c r="C333" t="s">
        <v>5</v>
      </c>
      <c r="D333">
        <v>68868</v>
      </c>
      <c r="E333" t="s">
        <v>3</v>
      </c>
      <c r="F333">
        <v>2.9</v>
      </c>
      <c r="G333">
        <v>63.4</v>
      </c>
      <c r="H333">
        <v>5</v>
      </c>
      <c r="I333">
        <v>40.5</v>
      </c>
      <c r="J333" t="s">
        <v>3</v>
      </c>
      <c r="K333" t="s">
        <v>4</v>
      </c>
      <c r="L333">
        <v>4.0999999999999996</v>
      </c>
      <c r="M333">
        <v>1.56</v>
      </c>
      <c r="N333">
        <v>2.17</v>
      </c>
      <c r="O333">
        <v>2.17</v>
      </c>
      <c r="P333" t="s">
        <v>2</v>
      </c>
      <c r="Q333" t="s">
        <v>1</v>
      </c>
      <c r="R333" t="s">
        <v>9</v>
      </c>
      <c r="S333">
        <v>1</v>
      </c>
    </row>
    <row r="334" spans="1:19" x14ac:dyDescent="0.3">
      <c r="A334">
        <v>333</v>
      </c>
      <c r="B334">
        <v>21.2</v>
      </c>
      <c r="C334" t="s">
        <v>11</v>
      </c>
      <c r="D334">
        <v>63996</v>
      </c>
      <c r="E334" t="s">
        <v>4</v>
      </c>
      <c r="F334">
        <v>5.38</v>
      </c>
      <c r="G334">
        <v>82.7</v>
      </c>
      <c r="H334">
        <v>4</v>
      </c>
      <c r="I334">
        <v>28.2</v>
      </c>
      <c r="J334" t="s">
        <v>4</v>
      </c>
      <c r="K334" t="s">
        <v>3</v>
      </c>
      <c r="L334">
        <v>4.2</v>
      </c>
      <c r="M334">
        <v>4</v>
      </c>
      <c r="N334">
        <v>4</v>
      </c>
      <c r="O334">
        <v>4</v>
      </c>
      <c r="P334" t="s">
        <v>2</v>
      </c>
      <c r="Q334" t="s">
        <v>1</v>
      </c>
      <c r="R334" t="s">
        <v>9</v>
      </c>
      <c r="S334">
        <v>0</v>
      </c>
    </row>
    <row r="335" spans="1:19" x14ac:dyDescent="0.3">
      <c r="A335">
        <v>334</v>
      </c>
      <c r="B335">
        <v>19.5</v>
      </c>
      <c r="C335" t="s">
        <v>5</v>
      </c>
      <c r="E335" t="s">
        <v>4</v>
      </c>
      <c r="G335">
        <v>93.8</v>
      </c>
      <c r="H335">
        <v>2</v>
      </c>
      <c r="I335">
        <v>10.6</v>
      </c>
      <c r="J335" t="s">
        <v>3</v>
      </c>
      <c r="K335" t="s">
        <v>3</v>
      </c>
      <c r="M335">
        <v>1.65</v>
      </c>
      <c r="N335">
        <v>1.26</v>
      </c>
      <c r="O335">
        <v>1.31</v>
      </c>
      <c r="P335" t="s">
        <v>12</v>
      </c>
      <c r="Q335" t="s">
        <v>1</v>
      </c>
      <c r="R335" t="s">
        <v>9</v>
      </c>
      <c r="S335">
        <v>1</v>
      </c>
    </row>
    <row r="336" spans="1:19" x14ac:dyDescent="0.3">
      <c r="A336">
        <v>335</v>
      </c>
      <c r="B336">
        <v>23.1</v>
      </c>
      <c r="C336" t="s">
        <v>11</v>
      </c>
      <c r="D336">
        <v>27318</v>
      </c>
      <c r="E336" t="s">
        <v>4</v>
      </c>
      <c r="F336">
        <v>5.59</v>
      </c>
      <c r="G336">
        <v>82.8</v>
      </c>
      <c r="H336">
        <v>4</v>
      </c>
      <c r="I336">
        <v>37.299999999999997</v>
      </c>
      <c r="J336" t="s">
        <v>3</v>
      </c>
      <c r="K336" t="s">
        <v>3</v>
      </c>
      <c r="L336">
        <v>3.3</v>
      </c>
      <c r="M336">
        <v>2.0499999999999998</v>
      </c>
      <c r="N336">
        <v>2.4</v>
      </c>
      <c r="O336">
        <v>2.36</v>
      </c>
      <c r="P336" t="s">
        <v>10</v>
      </c>
      <c r="Q336" t="s">
        <v>6</v>
      </c>
      <c r="R336" t="s">
        <v>9</v>
      </c>
      <c r="S336">
        <v>0</v>
      </c>
    </row>
    <row r="337" spans="1:19" x14ac:dyDescent="0.3">
      <c r="A337">
        <v>336</v>
      </c>
      <c r="B337">
        <v>20.7</v>
      </c>
      <c r="C337" t="s">
        <v>5</v>
      </c>
      <c r="D337">
        <v>40477</v>
      </c>
      <c r="E337" t="s">
        <v>4</v>
      </c>
      <c r="F337">
        <v>2.67</v>
      </c>
      <c r="G337">
        <v>83</v>
      </c>
      <c r="H337">
        <v>2</v>
      </c>
      <c r="I337">
        <v>52</v>
      </c>
      <c r="J337" t="s">
        <v>4</v>
      </c>
      <c r="K337" t="s">
        <v>3</v>
      </c>
      <c r="L337">
        <v>6.6</v>
      </c>
      <c r="M337">
        <v>1.36</v>
      </c>
      <c r="N337">
        <v>1.74</v>
      </c>
      <c r="O337">
        <v>1.75</v>
      </c>
      <c r="P337" t="s">
        <v>10</v>
      </c>
      <c r="Q337" t="s">
        <v>13</v>
      </c>
      <c r="R337" t="s">
        <v>0</v>
      </c>
      <c r="S337">
        <v>0</v>
      </c>
    </row>
    <row r="338" spans="1:19" x14ac:dyDescent="0.3">
      <c r="A338">
        <v>337</v>
      </c>
      <c r="B338">
        <v>19.2</v>
      </c>
      <c r="C338" t="s">
        <v>5</v>
      </c>
      <c r="D338">
        <v>25000</v>
      </c>
      <c r="E338" t="s">
        <v>4</v>
      </c>
      <c r="F338">
        <v>3.08</v>
      </c>
      <c r="G338">
        <v>84.3</v>
      </c>
      <c r="H338">
        <v>2</v>
      </c>
      <c r="I338">
        <v>25.4</v>
      </c>
      <c r="J338" t="s">
        <v>4</v>
      </c>
      <c r="K338" t="s">
        <v>4</v>
      </c>
      <c r="L338">
        <v>3.2</v>
      </c>
      <c r="M338">
        <v>3.09</v>
      </c>
      <c r="N338">
        <v>3.16</v>
      </c>
      <c r="O338">
        <v>3.07</v>
      </c>
      <c r="P338" t="s">
        <v>12</v>
      </c>
      <c r="Q338" t="s">
        <v>14</v>
      </c>
      <c r="R338" t="s">
        <v>9</v>
      </c>
      <c r="S338">
        <v>0</v>
      </c>
    </row>
    <row r="339" spans="1:19" x14ac:dyDescent="0.3">
      <c r="A339">
        <v>338</v>
      </c>
      <c r="B339">
        <v>20.3</v>
      </c>
      <c r="C339" t="s">
        <v>11</v>
      </c>
      <c r="D339">
        <v>32574</v>
      </c>
      <c r="E339" t="s">
        <v>4</v>
      </c>
      <c r="F339">
        <v>3.27</v>
      </c>
      <c r="G339">
        <v>94.5</v>
      </c>
      <c r="H339">
        <v>3</v>
      </c>
      <c r="I339">
        <v>19.100000000000001</v>
      </c>
      <c r="J339" t="s">
        <v>3</v>
      </c>
      <c r="K339" t="s">
        <v>3</v>
      </c>
      <c r="L339">
        <v>7.5</v>
      </c>
      <c r="M339">
        <v>0.49</v>
      </c>
      <c r="N339">
        <v>0.36</v>
      </c>
      <c r="O339">
        <v>0.37</v>
      </c>
      <c r="P339" t="s">
        <v>7</v>
      </c>
      <c r="Q339" t="s">
        <v>14</v>
      </c>
      <c r="R339" t="s">
        <v>9</v>
      </c>
      <c r="S339">
        <v>1</v>
      </c>
    </row>
    <row r="340" spans="1:19" x14ac:dyDescent="0.3">
      <c r="A340">
        <v>339</v>
      </c>
      <c r="B340">
        <v>21.9</v>
      </c>
      <c r="C340" t="s">
        <v>11</v>
      </c>
      <c r="D340">
        <v>25000</v>
      </c>
      <c r="E340" t="s">
        <v>4</v>
      </c>
      <c r="F340">
        <v>3.62</v>
      </c>
      <c r="G340">
        <v>92.8</v>
      </c>
      <c r="H340">
        <v>1</v>
      </c>
      <c r="I340">
        <v>30.8</v>
      </c>
      <c r="J340" t="s">
        <v>4</v>
      </c>
      <c r="K340" t="s">
        <v>3</v>
      </c>
      <c r="L340">
        <v>3.1</v>
      </c>
      <c r="M340">
        <v>3.99</v>
      </c>
      <c r="N340">
        <v>3.57</v>
      </c>
      <c r="O340">
        <v>3.54</v>
      </c>
      <c r="P340" t="s">
        <v>10</v>
      </c>
      <c r="Q340" t="s">
        <v>6</v>
      </c>
      <c r="R340" t="s">
        <v>9</v>
      </c>
      <c r="S340">
        <v>0</v>
      </c>
    </row>
    <row r="341" spans="1:19" x14ac:dyDescent="0.3">
      <c r="A341">
        <v>340</v>
      </c>
      <c r="B341">
        <v>19.8</v>
      </c>
      <c r="C341" t="s">
        <v>11</v>
      </c>
      <c r="D341">
        <v>25000</v>
      </c>
      <c r="E341" t="s">
        <v>4</v>
      </c>
      <c r="F341">
        <v>4.3099999999999996</v>
      </c>
      <c r="G341">
        <v>73.8</v>
      </c>
      <c r="H341">
        <v>1</v>
      </c>
      <c r="I341">
        <v>28.5</v>
      </c>
      <c r="J341" t="s">
        <v>3</v>
      </c>
      <c r="K341" t="s">
        <v>3</v>
      </c>
      <c r="L341">
        <v>5</v>
      </c>
      <c r="M341">
        <v>2.76</v>
      </c>
      <c r="N341">
        <v>2.35</v>
      </c>
      <c r="O341">
        <v>2.2999999999999998</v>
      </c>
      <c r="P341" t="s">
        <v>12</v>
      </c>
      <c r="Q341" t="s">
        <v>8</v>
      </c>
      <c r="R341" t="s">
        <v>0</v>
      </c>
      <c r="S341">
        <v>0</v>
      </c>
    </row>
    <row r="342" spans="1:19" x14ac:dyDescent="0.3">
      <c r="A342">
        <v>341</v>
      </c>
      <c r="B342">
        <v>19.2</v>
      </c>
      <c r="C342" t="s">
        <v>5</v>
      </c>
      <c r="D342">
        <v>30646</v>
      </c>
      <c r="E342" t="s">
        <v>4</v>
      </c>
      <c r="F342">
        <v>4.8099999999999996</v>
      </c>
      <c r="G342">
        <v>91.6</v>
      </c>
      <c r="H342">
        <v>2</v>
      </c>
      <c r="I342">
        <v>61.3</v>
      </c>
      <c r="J342" t="s">
        <v>4</v>
      </c>
      <c r="K342" t="s">
        <v>3</v>
      </c>
      <c r="L342">
        <v>6.1</v>
      </c>
      <c r="M342">
        <v>3.83</v>
      </c>
      <c r="N342">
        <v>3.48</v>
      </c>
      <c r="O342">
        <v>3.49</v>
      </c>
      <c r="P342" t="s">
        <v>12</v>
      </c>
      <c r="Q342" t="s">
        <v>13</v>
      </c>
      <c r="R342" t="s">
        <v>9</v>
      </c>
      <c r="S342">
        <v>0</v>
      </c>
    </row>
    <row r="343" spans="1:19" x14ac:dyDescent="0.3">
      <c r="A343">
        <v>342</v>
      </c>
      <c r="B343">
        <v>21.5</v>
      </c>
      <c r="C343" t="s">
        <v>5</v>
      </c>
      <c r="D343">
        <v>63409</v>
      </c>
      <c r="E343" t="s">
        <v>4</v>
      </c>
      <c r="F343">
        <v>5.63</v>
      </c>
      <c r="G343">
        <v>93</v>
      </c>
      <c r="H343">
        <v>2</v>
      </c>
      <c r="I343">
        <v>42.1</v>
      </c>
      <c r="J343" t="s">
        <v>4</v>
      </c>
      <c r="K343" t="s">
        <v>4</v>
      </c>
      <c r="L343">
        <v>6.9</v>
      </c>
      <c r="M343">
        <v>2.2200000000000002</v>
      </c>
      <c r="N343">
        <v>1.89</v>
      </c>
      <c r="O343">
        <v>1.89</v>
      </c>
      <c r="P343" t="s">
        <v>10</v>
      </c>
      <c r="Q343" t="s">
        <v>1</v>
      </c>
      <c r="R343" t="s">
        <v>15</v>
      </c>
      <c r="S343">
        <v>1</v>
      </c>
    </row>
    <row r="344" spans="1:19" x14ac:dyDescent="0.3">
      <c r="A344">
        <v>343</v>
      </c>
      <c r="B344">
        <v>21.5</v>
      </c>
      <c r="C344" t="s">
        <v>11</v>
      </c>
      <c r="D344">
        <v>51817</v>
      </c>
      <c r="E344" t="s">
        <v>4</v>
      </c>
      <c r="F344">
        <v>1.1399999999999999</v>
      </c>
      <c r="G344">
        <v>68.3</v>
      </c>
      <c r="H344">
        <v>3</v>
      </c>
      <c r="I344">
        <v>31.6</v>
      </c>
      <c r="J344" t="s">
        <v>4</v>
      </c>
      <c r="K344" t="s">
        <v>4</v>
      </c>
      <c r="L344">
        <v>5.0999999999999996</v>
      </c>
      <c r="M344">
        <v>2.48</v>
      </c>
      <c r="N344">
        <v>2.4300000000000002</v>
      </c>
      <c r="O344">
        <v>2.37</v>
      </c>
      <c r="P344" t="s">
        <v>12</v>
      </c>
      <c r="Q344" t="s">
        <v>6</v>
      </c>
      <c r="R344" t="s">
        <v>9</v>
      </c>
      <c r="S344">
        <v>0</v>
      </c>
    </row>
    <row r="345" spans="1:19" x14ac:dyDescent="0.3">
      <c r="A345">
        <v>344</v>
      </c>
      <c r="B345">
        <v>19.899999999999999</v>
      </c>
      <c r="C345" t="s">
        <v>11</v>
      </c>
      <c r="D345">
        <v>28307</v>
      </c>
      <c r="E345" t="s">
        <v>4</v>
      </c>
      <c r="F345">
        <v>6.63</v>
      </c>
      <c r="G345">
        <v>82.2</v>
      </c>
      <c r="H345">
        <v>2</v>
      </c>
      <c r="I345">
        <v>5</v>
      </c>
      <c r="J345" t="s">
        <v>4</v>
      </c>
      <c r="K345" t="s">
        <v>3</v>
      </c>
      <c r="L345">
        <v>4.2</v>
      </c>
      <c r="M345">
        <v>4</v>
      </c>
      <c r="N345">
        <v>3.84</v>
      </c>
      <c r="O345">
        <v>3.81</v>
      </c>
      <c r="P345" t="s">
        <v>7</v>
      </c>
      <c r="Q345" t="s">
        <v>6</v>
      </c>
      <c r="R345" t="s">
        <v>9</v>
      </c>
      <c r="S345">
        <v>0</v>
      </c>
    </row>
    <row r="346" spans="1:19" x14ac:dyDescent="0.3">
      <c r="A346">
        <v>345</v>
      </c>
      <c r="B346">
        <v>20</v>
      </c>
      <c r="C346" t="s">
        <v>11</v>
      </c>
      <c r="D346">
        <v>84812</v>
      </c>
      <c r="E346" t="s">
        <v>3</v>
      </c>
      <c r="F346">
        <v>2.62</v>
      </c>
      <c r="G346">
        <v>86.2</v>
      </c>
      <c r="H346">
        <v>3</v>
      </c>
      <c r="I346">
        <v>28.3</v>
      </c>
      <c r="J346" t="s">
        <v>4</v>
      </c>
      <c r="K346" t="s">
        <v>4</v>
      </c>
      <c r="L346">
        <v>8.1</v>
      </c>
      <c r="M346">
        <v>0.05</v>
      </c>
      <c r="N346">
        <v>0.43</v>
      </c>
      <c r="O346">
        <v>0.35</v>
      </c>
      <c r="P346" t="s">
        <v>7</v>
      </c>
      <c r="Q346" t="s">
        <v>8</v>
      </c>
      <c r="R346" t="s">
        <v>15</v>
      </c>
      <c r="S346">
        <v>0</v>
      </c>
    </row>
    <row r="347" spans="1:19" x14ac:dyDescent="0.3">
      <c r="A347">
        <v>346</v>
      </c>
      <c r="B347">
        <v>21.5</v>
      </c>
      <c r="C347" t="s">
        <v>5</v>
      </c>
      <c r="D347">
        <v>25000</v>
      </c>
      <c r="E347" t="s">
        <v>4</v>
      </c>
      <c r="F347">
        <v>4.13</v>
      </c>
      <c r="G347">
        <v>59.6</v>
      </c>
      <c r="H347">
        <v>0</v>
      </c>
      <c r="I347">
        <v>52.2</v>
      </c>
      <c r="J347" t="s">
        <v>3</v>
      </c>
      <c r="K347" t="s">
        <v>3</v>
      </c>
      <c r="L347">
        <v>5.8</v>
      </c>
      <c r="M347">
        <v>1.61</v>
      </c>
      <c r="N347">
        <v>2</v>
      </c>
      <c r="O347">
        <v>2.02</v>
      </c>
      <c r="P347" t="s">
        <v>12</v>
      </c>
      <c r="Q347" t="s">
        <v>1</v>
      </c>
      <c r="R347" t="s">
        <v>0</v>
      </c>
      <c r="S347">
        <v>1</v>
      </c>
    </row>
    <row r="348" spans="1:19" x14ac:dyDescent="0.3">
      <c r="A348">
        <v>347</v>
      </c>
      <c r="B348">
        <v>17.8</v>
      </c>
      <c r="C348" t="s">
        <v>11</v>
      </c>
      <c r="E348" t="s">
        <v>4</v>
      </c>
      <c r="G348">
        <v>76.599999999999994</v>
      </c>
      <c r="H348">
        <v>2</v>
      </c>
      <c r="I348">
        <v>31</v>
      </c>
      <c r="J348" t="s">
        <v>4</v>
      </c>
      <c r="K348" t="s">
        <v>3</v>
      </c>
      <c r="M348">
        <v>2.4900000000000002</v>
      </c>
      <c r="N348">
        <v>2.19</v>
      </c>
      <c r="O348">
        <v>2.19</v>
      </c>
      <c r="P348" t="s">
        <v>12</v>
      </c>
      <c r="Q348" t="s">
        <v>6</v>
      </c>
      <c r="R348" t="s">
        <v>9</v>
      </c>
      <c r="S348">
        <v>0</v>
      </c>
    </row>
    <row r="349" spans="1:19" x14ac:dyDescent="0.3">
      <c r="A349">
        <v>348</v>
      </c>
      <c r="B349">
        <v>17.899999999999999</v>
      </c>
      <c r="C349" t="s">
        <v>11</v>
      </c>
      <c r="D349">
        <v>25000</v>
      </c>
      <c r="E349" t="s">
        <v>4</v>
      </c>
      <c r="F349">
        <v>4.83</v>
      </c>
      <c r="G349">
        <v>76.3</v>
      </c>
      <c r="H349">
        <v>0</v>
      </c>
      <c r="I349">
        <v>39.9</v>
      </c>
      <c r="J349" t="s">
        <v>3</v>
      </c>
      <c r="K349" t="s">
        <v>3</v>
      </c>
      <c r="L349">
        <v>2.2000000000000002</v>
      </c>
      <c r="M349">
        <v>3.49</v>
      </c>
      <c r="N349">
        <v>3.27</v>
      </c>
      <c r="O349">
        <v>3.27</v>
      </c>
      <c r="P349" t="s">
        <v>10</v>
      </c>
      <c r="Q349" t="s">
        <v>13</v>
      </c>
      <c r="R349" t="s">
        <v>9</v>
      </c>
      <c r="S349">
        <v>0</v>
      </c>
    </row>
    <row r="350" spans="1:19" x14ac:dyDescent="0.3">
      <c r="A350">
        <v>349</v>
      </c>
      <c r="B350">
        <v>19.399999999999999</v>
      </c>
      <c r="C350" t="s">
        <v>11</v>
      </c>
      <c r="D350">
        <v>25000</v>
      </c>
      <c r="E350" t="s">
        <v>4</v>
      </c>
      <c r="F350">
        <v>5.46</v>
      </c>
      <c r="G350">
        <v>76.8</v>
      </c>
      <c r="H350">
        <v>2</v>
      </c>
      <c r="I350">
        <v>34.700000000000003</v>
      </c>
      <c r="J350" t="s">
        <v>3</v>
      </c>
      <c r="K350" t="s">
        <v>4</v>
      </c>
      <c r="L350">
        <v>5.8</v>
      </c>
      <c r="M350">
        <v>3.14</v>
      </c>
      <c r="N350">
        <v>3.11</v>
      </c>
      <c r="O350">
        <v>3.11</v>
      </c>
      <c r="P350" t="s">
        <v>2</v>
      </c>
      <c r="Q350" t="s">
        <v>14</v>
      </c>
      <c r="R350" t="s">
        <v>9</v>
      </c>
      <c r="S350">
        <v>0</v>
      </c>
    </row>
    <row r="351" spans="1:19" x14ac:dyDescent="0.3">
      <c r="A351">
        <v>350</v>
      </c>
      <c r="B351">
        <v>20.5</v>
      </c>
      <c r="C351" t="s">
        <v>11</v>
      </c>
      <c r="D351">
        <v>48532</v>
      </c>
      <c r="E351" t="s">
        <v>4</v>
      </c>
      <c r="F351">
        <v>5.32</v>
      </c>
      <c r="G351">
        <v>90.4</v>
      </c>
      <c r="H351">
        <v>0</v>
      </c>
      <c r="I351">
        <v>24.2</v>
      </c>
      <c r="J351" t="s">
        <v>4</v>
      </c>
      <c r="K351" t="s">
        <v>3</v>
      </c>
      <c r="L351">
        <v>5.5</v>
      </c>
      <c r="M351">
        <v>3.37</v>
      </c>
      <c r="N351">
        <v>3.05</v>
      </c>
      <c r="O351">
        <v>3.09</v>
      </c>
      <c r="P351" t="s">
        <v>10</v>
      </c>
      <c r="Q351" t="s">
        <v>6</v>
      </c>
      <c r="R351" t="s">
        <v>15</v>
      </c>
      <c r="S351">
        <v>0</v>
      </c>
    </row>
    <row r="352" spans="1:19" x14ac:dyDescent="0.3">
      <c r="A352">
        <v>351</v>
      </c>
      <c r="B352">
        <v>21.7</v>
      </c>
      <c r="C352" t="s">
        <v>5</v>
      </c>
      <c r="D352">
        <v>25000</v>
      </c>
      <c r="E352" t="s">
        <v>4</v>
      </c>
      <c r="F352">
        <v>4.54</v>
      </c>
      <c r="G352">
        <v>81.5</v>
      </c>
      <c r="H352">
        <v>2</v>
      </c>
      <c r="I352">
        <v>50.3</v>
      </c>
      <c r="J352" t="s">
        <v>4</v>
      </c>
      <c r="K352" t="s">
        <v>4</v>
      </c>
      <c r="L352">
        <v>3.1</v>
      </c>
      <c r="M352">
        <v>2.78</v>
      </c>
      <c r="N352">
        <v>3.22</v>
      </c>
      <c r="O352">
        <v>3.18</v>
      </c>
      <c r="P352" t="s">
        <v>7</v>
      </c>
      <c r="Q352" t="s">
        <v>6</v>
      </c>
      <c r="R352" t="s">
        <v>15</v>
      </c>
      <c r="S352">
        <v>0</v>
      </c>
    </row>
    <row r="353" spans="1:19" x14ac:dyDescent="0.3">
      <c r="A353">
        <v>352</v>
      </c>
      <c r="B353">
        <v>24.2</v>
      </c>
      <c r="C353" t="s">
        <v>11</v>
      </c>
      <c r="D353">
        <v>39206</v>
      </c>
      <c r="E353" t="s">
        <v>4</v>
      </c>
      <c r="F353">
        <v>4.9800000000000004</v>
      </c>
      <c r="G353">
        <v>85.4</v>
      </c>
      <c r="H353">
        <v>0</v>
      </c>
      <c r="I353">
        <v>32.299999999999997</v>
      </c>
      <c r="J353" t="s">
        <v>3</v>
      </c>
      <c r="K353" t="s">
        <v>3</v>
      </c>
      <c r="L353">
        <v>4.0999999999999996</v>
      </c>
      <c r="M353">
        <v>3.71</v>
      </c>
      <c r="N353">
        <v>3.57</v>
      </c>
      <c r="O353">
        <v>3.6</v>
      </c>
      <c r="P353" t="s">
        <v>7</v>
      </c>
      <c r="Q353" t="s">
        <v>1</v>
      </c>
      <c r="R353" t="s">
        <v>9</v>
      </c>
      <c r="S353">
        <v>0</v>
      </c>
    </row>
    <row r="354" spans="1:19" x14ac:dyDescent="0.3">
      <c r="A354">
        <v>353</v>
      </c>
      <c r="B354">
        <v>22.9</v>
      </c>
      <c r="C354" t="s">
        <v>11</v>
      </c>
      <c r="D354">
        <v>79839</v>
      </c>
      <c r="E354" t="s">
        <v>4</v>
      </c>
      <c r="F354">
        <v>2.39</v>
      </c>
      <c r="G354">
        <v>82.7</v>
      </c>
      <c r="H354">
        <v>2</v>
      </c>
      <c r="I354">
        <v>21.5</v>
      </c>
      <c r="J354" t="s">
        <v>4</v>
      </c>
      <c r="K354" t="s">
        <v>4</v>
      </c>
      <c r="L354">
        <v>5.7</v>
      </c>
      <c r="M354">
        <v>3.05</v>
      </c>
      <c r="N354">
        <v>3.09</v>
      </c>
      <c r="O354">
        <v>3.08</v>
      </c>
      <c r="P354" t="s">
        <v>10</v>
      </c>
      <c r="Q354" t="s">
        <v>6</v>
      </c>
      <c r="R354" t="s">
        <v>9</v>
      </c>
      <c r="S354">
        <v>0</v>
      </c>
    </row>
    <row r="355" spans="1:19" x14ac:dyDescent="0.3">
      <c r="A355">
        <v>354</v>
      </c>
      <c r="B355">
        <v>20.6</v>
      </c>
      <c r="C355" t="s">
        <v>11</v>
      </c>
      <c r="D355">
        <v>25000</v>
      </c>
      <c r="E355" t="s">
        <v>4</v>
      </c>
      <c r="F355">
        <v>3.08</v>
      </c>
      <c r="G355">
        <v>100</v>
      </c>
      <c r="H355">
        <v>3</v>
      </c>
      <c r="I355">
        <v>30.3</v>
      </c>
      <c r="J355" t="s">
        <v>3</v>
      </c>
      <c r="K355" t="s">
        <v>3</v>
      </c>
      <c r="L355">
        <v>6.3</v>
      </c>
      <c r="M355">
        <v>2.99</v>
      </c>
      <c r="N355">
        <v>3.09</v>
      </c>
      <c r="O355">
        <v>3.06</v>
      </c>
      <c r="P355" t="s">
        <v>10</v>
      </c>
      <c r="Q355" t="s">
        <v>8</v>
      </c>
      <c r="R355" t="s">
        <v>9</v>
      </c>
      <c r="S355">
        <v>0</v>
      </c>
    </row>
    <row r="356" spans="1:19" x14ac:dyDescent="0.3">
      <c r="A356">
        <v>355</v>
      </c>
      <c r="B356">
        <v>21</v>
      </c>
      <c r="C356" t="s">
        <v>11</v>
      </c>
      <c r="D356">
        <v>39620</v>
      </c>
      <c r="E356" t="s">
        <v>4</v>
      </c>
      <c r="F356">
        <v>2.73</v>
      </c>
      <c r="G356">
        <v>90</v>
      </c>
      <c r="H356">
        <v>0</v>
      </c>
      <c r="I356">
        <v>47.1</v>
      </c>
      <c r="J356" t="s">
        <v>3</v>
      </c>
      <c r="K356" t="s">
        <v>3</v>
      </c>
      <c r="L356">
        <v>3.7</v>
      </c>
      <c r="M356">
        <v>2.5299999999999998</v>
      </c>
      <c r="N356">
        <v>2.4500000000000002</v>
      </c>
      <c r="O356">
        <v>2.4</v>
      </c>
      <c r="P356" t="s">
        <v>12</v>
      </c>
      <c r="Q356" t="s">
        <v>14</v>
      </c>
      <c r="R356" t="s">
        <v>9</v>
      </c>
      <c r="S356">
        <v>1</v>
      </c>
    </row>
    <row r="357" spans="1:19" x14ac:dyDescent="0.3">
      <c r="A357">
        <v>356</v>
      </c>
      <c r="B357">
        <v>18.8</v>
      </c>
      <c r="C357" t="s">
        <v>11</v>
      </c>
      <c r="D357">
        <v>41084</v>
      </c>
      <c r="E357" t="s">
        <v>4</v>
      </c>
      <c r="F357">
        <v>0.92</v>
      </c>
      <c r="G357">
        <v>81.900000000000006</v>
      </c>
      <c r="H357">
        <v>3</v>
      </c>
      <c r="I357">
        <v>12.2</v>
      </c>
      <c r="J357" t="s">
        <v>4</v>
      </c>
      <c r="K357" t="s">
        <v>3</v>
      </c>
      <c r="L357">
        <v>3.7</v>
      </c>
      <c r="M357">
        <v>1.07</v>
      </c>
      <c r="N357">
        <v>1.03</v>
      </c>
      <c r="O357">
        <v>1.07</v>
      </c>
      <c r="P357" t="s">
        <v>12</v>
      </c>
      <c r="Q357" t="s">
        <v>8</v>
      </c>
      <c r="R357" t="s">
        <v>17</v>
      </c>
      <c r="S357">
        <v>1</v>
      </c>
    </row>
    <row r="358" spans="1:19" x14ac:dyDescent="0.3">
      <c r="A358">
        <v>357</v>
      </c>
      <c r="B358">
        <v>21</v>
      </c>
      <c r="C358" t="s">
        <v>11</v>
      </c>
      <c r="D358">
        <v>25000</v>
      </c>
      <c r="E358" t="s">
        <v>4</v>
      </c>
      <c r="F358">
        <v>2.78</v>
      </c>
      <c r="G358">
        <v>79.900000000000006</v>
      </c>
      <c r="H358">
        <v>1</v>
      </c>
      <c r="I358">
        <v>33.200000000000003</v>
      </c>
      <c r="J358" t="s">
        <v>3</v>
      </c>
      <c r="K358" t="s">
        <v>4</v>
      </c>
      <c r="L358">
        <v>5.7</v>
      </c>
      <c r="M358">
        <v>3.14</v>
      </c>
      <c r="N358">
        <v>3.37</v>
      </c>
      <c r="O358">
        <v>3.32</v>
      </c>
      <c r="P358" t="s">
        <v>7</v>
      </c>
      <c r="Q358" t="s">
        <v>8</v>
      </c>
      <c r="R358" t="s">
        <v>15</v>
      </c>
      <c r="S358">
        <v>0</v>
      </c>
    </row>
    <row r="359" spans="1:19" x14ac:dyDescent="0.3">
      <c r="A359">
        <v>358</v>
      </c>
      <c r="B359">
        <v>20.399999999999999</v>
      </c>
      <c r="C359" t="s">
        <v>5</v>
      </c>
      <c r="D359">
        <v>67005</v>
      </c>
      <c r="E359" t="s">
        <v>4</v>
      </c>
      <c r="F359">
        <v>2.65</v>
      </c>
      <c r="G359">
        <v>76.400000000000006</v>
      </c>
      <c r="H359">
        <v>2</v>
      </c>
      <c r="I359">
        <v>30.9</v>
      </c>
      <c r="J359" t="s">
        <v>3</v>
      </c>
      <c r="K359" t="s">
        <v>4</v>
      </c>
      <c r="L359">
        <v>4</v>
      </c>
      <c r="M359">
        <v>4</v>
      </c>
      <c r="N359">
        <v>3.33</v>
      </c>
      <c r="O359">
        <v>3.31</v>
      </c>
      <c r="P359" t="s">
        <v>7</v>
      </c>
      <c r="Q359" t="s">
        <v>14</v>
      </c>
      <c r="R359" t="s">
        <v>15</v>
      </c>
      <c r="S359">
        <v>0</v>
      </c>
    </row>
    <row r="360" spans="1:19" x14ac:dyDescent="0.3">
      <c r="A360">
        <v>359</v>
      </c>
      <c r="B360">
        <v>21.7</v>
      </c>
      <c r="C360" t="s">
        <v>5</v>
      </c>
      <c r="D360">
        <v>25019</v>
      </c>
      <c r="E360" t="s">
        <v>4</v>
      </c>
      <c r="F360">
        <v>2.79</v>
      </c>
      <c r="G360">
        <v>74.2</v>
      </c>
      <c r="H360">
        <v>3</v>
      </c>
      <c r="I360">
        <v>11.5</v>
      </c>
      <c r="J360" t="s">
        <v>4</v>
      </c>
      <c r="K360" t="s">
        <v>4</v>
      </c>
      <c r="L360">
        <v>5.0999999999999996</v>
      </c>
      <c r="M360">
        <v>2.19</v>
      </c>
      <c r="N360">
        <v>2.23</v>
      </c>
      <c r="O360">
        <v>2.2400000000000002</v>
      </c>
      <c r="P360" t="s">
        <v>12</v>
      </c>
      <c r="Q360" t="s">
        <v>14</v>
      </c>
      <c r="R360" t="s">
        <v>9</v>
      </c>
      <c r="S360">
        <v>0</v>
      </c>
    </row>
    <row r="361" spans="1:19" x14ac:dyDescent="0.3">
      <c r="A361">
        <v>360</v>
      </c>
      <c r="B361">
        <v>19.2</v>
      </c>
      <c r="C361" t="s">
        <v>5</v>
      </c>
      <c r="D361">
        <v>25000</v>
      </c>
      <c r="E361" t="s">
        <v>4</v>
      </c>
      <c r="F361">
        <v>4.87</v>
      </c>
      <c r="G361">
        <v>72.400000000000006</v>
      </c>
      <c r="H361">
        <v>1</v>
      </c>
      <c r="I361">
        <v>39.200000000000003</v>
      </c>
      <c r="J361" t="s">
        <v>4</v>
      </c>
      <c r="K361" t="s">
        <v>3</v>
      </c>
      <c r="L361">
        <v>8.6999999999999993</v>
      </c>
      <c r="M361">
        <v>0.78</v>
      </c>
      <c r="N361">
        <v>0.99</v>
      </c>
      <c r="O361">
        <v>0.92</v>
      </c>
      <c r="P361" t="s">
        <v>12</v>
      </c>
      <c r="Q361" t="s">
        <v>8</v>
      </c>
      <c r="R361" t="s">
        <v>15</v>
      </c>
      <c r="S361">
        <v>1</v>
      </c>
    </row>
    <row r="362" spans="1:19" x14ac:dyDescent="0.3">
      <c r="A362">
        <v>361</v>
      </c>
      <c r="B362">
        <v>22.1</v>
      </c>
      <c r="C362" t="s">
        <v>5</v>
      </c>
      <c r="E362" t="s">
        <v>3</v>
      </c>
      <c r="G362">
        <v>89.9</v>
      </c>
      <c r="H362">
        <v>2</v>
      </c>
      <c r="I362">
        <v>33.1</v>
      </c>
      <c r="J362" t="s">
        <v>3</v>
      </c>
      <c r="K362" t="s">
        <v>4</v>
      </c>
      <c r="M362">
        <v>1.61</v>
      </c>
      <c r="N362">
        <v>0.95</v>
      </c>
      <c r="O362">
        <v>0.95</v>
      </c>
      <c r="P362" t="s">
        <v>2</v>
      </c>
      <c r="Q362" t="s">
        <v>14</v>
      </c>
      <c r="R362" t="s">
        <v>17</v>
      </c>
      <c r="S362">
        <v>0</v>
      </c>
    </row>
    <row r="363" spans="1:19" x14ac:dyDescent="0.3">
      <c r="A363">
        <v>362</v>
      </c>
      <c r="B363">
        <v>24.4</v>
      </c>
      <c r="C363" t="s">
        <v>5</v>
      </c>
      <c r="D363">
        <v>40687</v>
      </c>
      <c r="E363" t="s">
        <v>4</v>
      </c>
      <c r="F363">
        <v>5.0999999999999996</v>
      </c>
      <c r="G363">
        <v>74.8</v>
      </c>
      <c r="H363">
        <v>2</v>
      </c>
      <c r="I363">
        <v>40.5</v>
      </c>
      <c r="J363" t="s">
        <v>3</v>
      </c>
      <c r="K363" t="s">
        <v>4</v>
      </c>
      <c r="L363">
        <v>7.3</v>
      </c>
      <c r="M363">
        <v>0.99</v>
      </c>
      <c r="N363">
        <v>1.51</v>
      </c>
      <c r="O363">
        <v>1.54</v>
      </c>
      <c r="P363" t="s">
        <v>12</v>
      </c>
      <c r="Q363" t="s">
        <v>13</v>
      </c>
      <c r="R363" t="s">
        <v>9</v>
      </c>
      <c r="S363">
        <v>1</v>
      </c>
    </row>
    <row r="364" spans="1:19" x14ac:dyDescent="0.3">
      <c r="A364">
        <v>363</v>
      </c>
      <c r="B364">
        <v>20.8</v>
      </c>
      <c r="C364" t="s">
        <v>5</v>
      </c>
      <c r="D364">
        <v>51801</v>
      </c>
      <c r="E364" t="s">
        <v>3</v>
      </c>
      <c r="F364">
        <v>1.96</v>
      </c>
      <c r="G364">
        <v>87.1</v>
      </c>
      <c r="H364">
        <v>1</v>
      </c>
      <c r="I364">
        <v>43.7</v>
      </c>
      <c r="J364" t="s">
        <v>4</v>
      </c>
      <c r="K364" t="s">
        <v>4</v>
      </c>
      <c r="L364">
        <v>3.3</v>
      </c>
      <c r="M364">
        <v>2.31</v>
      </c>
      <c r="N364">
        <v>2.29</v>
      </c>
      <c r="O364">
        <v>2.3199999999999998</v>
      </c>
      <c r="P364" t="s">
        <v>12</v>
      </c>
      <c r="Q364" t="s">
        <v>1</v>
      </c>
      <c r="R364" t="s">
        <v>15</v>
      </c>
      <c r="S364">
        <v>0</v>
      </c>
    </row>
    <row r="365" spans="1:19" x14ac:dyDescent="0.3">
      <c r="A365">
        <v>364</v>
      </c>
      <c r="B365">
        <v>21.9</v>
      </c>
      <c r="C365" t="s">
        <v>5</v>
      </c>
      <c r="D365">
        <v>67033</v>
      </c>
      <c r="E365" t="s">
        <v>4</v>
      </c>
      <c r="F365">
        <v>3.15</v>
      </c>
      <c r="G365">
        <v>78</v>
      </c>
      <c r="H365">
        <v>1</v>
      </c>
      <c r="I365">
        <v>29.3</v>
      </c>
      <c r="J365" t="s">
        <v>4</v>
      </c>
      <c r="K365" t="s">
        <v>3</v>
      </c>
      <c r="L365">
        <v>4.0999999999999996</v>
      </c>
      <c r="M365">
        <v>0</v>
      </c>
      <c r="N365">
        <v>0</v>
      </c>
      <c r="O365">
        <v>0</v>
      </c>
      <c r="P365" t="s">
        <v>12</v>
      </c>
      <c r="Q365" t="s">
        <v>1</v>
      </c>
      <c r="R365" t="s">
        <v>15</v>
      </c>
      <c r="S365">
        <v>1</v>
      </c>
    </row>
    <row r="366" spans="1:19" x14ac:dyDescent="0.3">
      <c r="A366">
        <v>365</v>
      </c>
      <c r="B366">
        <v>22.5</v>
      </c>
      <c r="C366" t="s">
        <v>5</v>
      </c>
      <c r="D366">
        <v>25000</v>
      </c>
      <c r="E366" t="s">
        <v>4</v>
      </c>
      <c r="F366">
        <v>3.49</v>
      </c>
      <c r="G366">
        <v>76</v>
      </c>
      <c r="H366">
        <v>1</v>
      </c>
      <c r="I366">
        <v>23.3</v>
      </c>
      <c r="J366" t="s">
        <v>4</v>
      </c>
      <c r="K366" t="s">
        <v>3</v>
      </c>
      <c r="L366">
        <v>4.0999999999999996</v>
      </c>
      <c r="M366">
        <v>2.73</v>
      </c>
      <c r="N366">
        <v>3.21</v>
      </c>
      <c r="O366">
        <v>3.19</v>
      </c>
      <c r="P366" t="s">
        <v>10</v>
      </c>
      <c r="Q366" t="s">
        <v>13</v>
      </c>
      <c r="R366" t="s">
        <v>9</v>
      </c>
      <c r="S366">
        <v>0</v>
      </c>
    </row>
    <row r="367" spans="1:19" x14ac:dyDescent="0.3">
      <c r="A367">
        <v>366</v>
      </c>
      <c r="B367">
        <v>20.100000000000001</v>
      </c>
      <c r="C367" t="s">
        <v>5</v>
      </c>
      <c r="D367">
        <v>62937</v>
      </c>
      <c r="E367" t="s">
        <v>4</v>
      </c>
      <c r="F367">
        <v>5.54</v>
      </c>
      <c r="G367">
        <v>79.400000000000006</v>
      </c>
      <c r="H367">
        <v>0</v>
      </c>
      <c r="I367">
        <v>12.9</v>
      </c>
      <c r="J367" t="s">
        <v>4</v>
      </c>
      <c r="K367" t="s">
        <v>3</v>
      </c>
      <c r="L367">
        <v>3.5</v>
      </c>
      <c r="M367">
        <v>4</v>
      </c>
      <c r="N367">
        <v>3.77</v>
      </c>
      <c r="O367">
        <v>3.82</v>
      </c>
      <c r="P367" t="s">
        <v>12</v>
      </c>
      <c r="Q367" t="s">
        <v>14</v>
      </c>
      <c r="R367" t="s">
        <v>9</v>
      </c>
      <c r="S367">
        <v>0</v>
      </c>
    </row>
    <row r="368" spans="1:19" x14ac:dyDescent="0.3">
      <c r="A368">
        <v>367</v>
      </c>
      <c r="B368">
        <v>21.5</v>
      </c>
      <c r="C368" t="s">
        <v>5</v>
      </c>
      <c r="D368">
        <v>25000</v>
      </c>
      <c r="E368" t="s">
        <v>4</v>
      </c>
      <c r="F368">
        <v>4.08</v>
      </c>
      <c r="G368">
        <v>96.3</v>
      </c>
      <c r="H368">
        <v>3</v>
      </c>
      <c r="I368">
        <v>22.3</v>
      </c>
      <c r="J368" t="s">
        <v>4</v>
      </c>
      <c r="K368" t="s">
        <v>3</v>
      </c>
      <c r="L368">
        <v>2.2999999999999998</v>
      </c>
      <c r="M368">
        <v>4</v>
      </c>
      <c r="N368">
        <v>4</v>
      </c>
      <c r="O368">
        <v>3.96</v>
      </c>
      <c r="P368" t="s">
        <v>7</v>
      </c>
      <c r="Q368" t="s">
        <v>13</v>
      </c>
      <c r="R368" t="s">
        <v>17</v>
      </c>
      <c r="S368">
        <v>0</v>
      </c>
    </row>
    <row r="369" spans="1:19" x14ac:dyDescent="0.3">
      <c r="A369">
        <v>368</v>
      </c>
      <c r="B369">
        <v>21</v>
      </c>
      <c r="C369" t="s">
        <v>11</v>
      </c>
      <c r="E369" t="s">
        <v>4</v>
      </c>
      <c r="G369">
        <v>100</v>
      </c>
      <c r="H369">
        <v>1</v>
      </c>
      <c r="I369">
        <v>30.1</v>
      </c>
      <c r="J369" t="s">
        <v>4</v>
      </c>
      <c r="K369" t="s">
        <v>4</v>
      </c>
      <c r="M369">
        <v>2.94</v>
      </c>
      <c r="N369">
        <v>3.1</v>
      </c>
      <c r="O369">
        <v>3.07</v>
      </c>
      <c r="P369" t="s">
        <v>7</v>
      </c>
      <c r="Q369" t="s">
        <v>1</v>
      </c>
      <c r="R369" t="s">
        <v>15</v>
      </c>
      <c r="S369">
        <v>0</v>
      </c>
    </row>
    <row r="370" spans="1:19" x14ac:dyDescent="0.3">
      <c r="A370">
        <v>369</v>
      </c>
      <c r="B370">
        <v>21.2</v>
      </c>
      <c r="C370" t="s">
        <v>11</v>
      </c>
      <c r="D370">
        <v>25256</v>
      </c>
      <c r="E370" t="s">
        <v>4</v>
      </c>
      <c r="F370">
        <v>2.57</v>
      </c>
      <c r="G370">
        <v>79.099999999999994</v>
      </c>
      <c r="H370">
        <v>0</v>
      </c>
      <c r="I370">
        <v>18.399999999999999</v>
      </c>
      <c r="J370" t="s">
        <v>3</v>
      </c>
      <c r="K370" t="s">
        <v>3</v>
      </c>
      <c r="L370">
        <v>6.2</v>
      </c>
      <c r="M370">
        <v>1.54</v>
      </c>
      <c r="N370">
        <v>1.64</v>
      </c>
      <c r="O370">
        <v>1.6</v>
      </c>
      <c r="P370" t="s">
        <v>7</v>
      </c>
      <c r="Q370" t="s">
        <v>1</v>
      </c>
      <c r="R370" t="s">
        <v>9</v>
      </c>
      <c r="S370">
        <v>1</v>
      </c>
    </row>
    <row r="371" spans="1:19" x14ac:dyDescent="0.3">
      <c r="A371">
        <v>370</v>
      </c>
      <c r="B371">
        <v>19.3</v>
      </c>
      <c r="C371" t="s">
        <v>5</v>
      </c>
      <c r="D371">
        <v>25000</v>
      </c>
      <c r="E371" t="s">
        <v>4</v>
      </c>
      <c r="F371">
        <v>5.1100000000000003</v>
      </c>
      <c r="G371">
        <v>78.3</v>
      </c>
      <c r="H371">
        <v>4</v>
      </c>
      <c r="I371">
        <v>37</v>
      </c>
      <c r="J371" t="s">
        <v>3</v>
      </c>
      <c r="K371" t="s">
        <v>3</v>
      </c>
      <c r="L371">
        <v>3.8</v>
      </c>
      <c r="M371">
        <v>3.18</v>
      </c>
      <c r="N371">
        <v>3.65</v>
      </c>
      <c r="O371">
        <v>3.54</v>
      </c>
      <c r="P371" t="s">
        <v>7</v>
      </c>
      <c r="Q371" t="s">
        <v>6</v>
      </c>
      <c r="R371" t="s">
        <v>0</v>
      </c>
      <c r="S371">
        <v>0</v>
      </c>
    </row>
    <row r="372" spans="1:19" x14ac:dyDescent="0.3">
      <c r="A372">
        <v>371</v>
      </c>
      <c r="B372">
        <v>21.1</v>
      </c>
      <c r="C372" t="s">
        <v>11</v>
      </c>
      <c r="D372">
        <v>48693</v>
      </c>
      <c r="E372" t="s">
        <v>4</v>
      </c>
      <c r="F372">
        <v>3.92</v>
      </c>
      <c r="G372">
        <v>89.6</v>
      </c>
      <c r="H372">
        <v>2</v>
      </c>
      <c r="I372">
        <v>19.2</v>
      </c>
      <c r="J372" t="s">
        <v>3</v>
      </c>
      <c r="K372" t="s">
        <v>3</v>
      </c>
      <c r="L372">
        <v>4.2</v>
      </c>
      <c r="M372">
        <v>2.66</v>
      </c>
      <c r="N372">
        <v>2.61</v>
      </c>
      <c r="O372">
        <v>2.67</v>
      </c>
      <c r="P372" t="s">
        <v>10</v>
      </c>
      <c r="Q372" t="s">
        <v>8</v>
      </c>
      <c r="R372" t="s">
        <v>15</v>
      </c>
      <c r="S372">
        <v>0</v>
      </c>
    </row>
    <row r="373" spans="1:19" x14ac:dyDescent="0.3">
      <c r="A373">
        <v>372</v>
      </c>
      <c r="B373">
        <v>22.1</v>
      </c>
      <c r="C373" t="s">
        <v>11</v>
      </c>
      <c r="D373">
        <v>34903</v>
      </c>
      <c r="E373" t="s">
        <v>4</v>
      </c>
      <c r="F373">
        <v>1.72</v>
      </c>
      <c r="G373">
        <v>83.2</v>
      </c>
      <c r="H373">
        <v>0</v>
      </c>
      <c r="I373">
        <v>8.8000000000000007</v>
      </c>
      <c r="J373" t="s">
        <v>3</v>
      </c>
      <c r="K373" t="s">
        <v>3</v>
      </c>
      <c r="L373">
        <v>5.6</v>
      </c>
      <c r="M373">
        <v>2.29</v>
      </c>
      <c r="N373">
        <v>1.7</v>
      </c>
      <c r="O373">
        <v>1.69</v>
      </c>
      <c r="P373" t="s">
        <v>10</v>
      </c>
      <c r="Q373" t="s">
        <v>6</v>
      </c>
      <c r="R373" t="s">
        <v>15</v>
      </c>
      <c r="S373">
        <v>1</v>
      </c>
    </row>
    <row r="374" spans="1:19" x14ac:dyDescent="0.3">
      <c r="A374">
        <v>373</v>
      </c>
      <c r="B374">
        <v>24.2</v>
      </c>
      <c r="C374" t="s">
        <v>5</v>
      </c>
      <c r="D374">
        <v>25000</v>
      </c>
      <c r="E374" t="s">
        <v>4</v>
      </c>
      <c r="F374">
        <v>4.91</v>
      </c>
      <c r="G374">
        <v>76.8</v>
      </c>
      <c r="H374">
        <v>0</v>
      </c>
      <c r="I374">
        <v>23.1</v>
      </c>
      <c r="J374" t="s">
        <v>4</v>
      </c>
      <c r="K374" t="s">
        <v>3</v>
      </c>
      <c r="L374">
        <v>5.5</v>
      </c>
      <c r="M374">
        <v>1.25</v>
      </c>
      <c r="N374">
        <v>1.1499999999999999</v>
      </c>
      <c r="O374">
        <v>1.1499999999999999</v>
      </c>
      <c r="P374" t="s">
        <v>2</v>
      </c>
      <c r="Q374" t="s">
        <v>14</v>
      </c>
      <c r="R374" t="s">
        <v>0</v>
      </c>
      <c r="S374">
        <v>0</v>
      </c>
    </row>
    <row r="375" spans="1:19" x14ac:dyDescent="0.3">
      <c r="A375">
        <v>374</v>
      </c>
      <c r="B375">
        <v>23.1</v>
      </c>
      <c r="C375" t="s">
        <v>11</v>
      </c>
      <c r="D375">
        <v>44565</v>
      </c>
      <c r="E375" t="s">
        <v>4</v>
      </c>
      <c r="F375">
        <v>4.38</v>
      </c>
      <c r="G375">
        <v>85.9</v>
      </c>
      <c r="H375">
        <v>2</v>
      </c>
      <c r="I375">
        <v>32.200000000000003</v>
      </c>
      <c r="J375" t="s">
        <v>4</v>
      </c>
      <c r="K375" t="s">
        <v>3</v>
      </c>
      <c r="L375">
        <v>7.4</v>
      </c>
      <c r="M375">
        <v>2.79</v>
      </c>
      <c r="N375">
        <v>2.4300000000000002</v>
      </c>
      <c r="O375">
        <v>2.4300000000000002</v>
      </c>
      <c r="P375" t="s">
        <v>2</v>
      </c>
      <c r="Q375" t="s">
        <v>1</v>
      </c>
      <c r="R375" t="s">
        <v>9</v>
      </c>
      <c r="S375">
        <v>0</v>
      </c>
    </row>
    <row r="376" spans="1:19" x14ac:dyDescent="0.3">
      <c r="A376">
        <v>375</v>
      </c>
      <c r="B376">
        <v>25.7</v>
      </c>
      <c r="C376" t="s">
        <v>11</v>
      </c>
      <c r="D376">
        <v>25207</v>
      </c>
      <c r="E376" t="s">
        <v>4</v>
      </c>
      <c r="F376">
        <v>3.55</v>
      </c>
      <c r="G376">
        <v>88.1</v>
      </c>
      <c r="H376">
        <v>0</v>
      </c>
      <c r="I376">
        <v>14.9</v>
      </c>
      <c r="J376" t="s">
        <v>3</v>
      </c>
      <c r="K376" t="s">
        <v>3</v>
      </c>
      <c r="L376">
        <v>7.5</v>
      </c>
      <c r="M376">
        <v>1.85</v>
      </c>
      <c r="N376">
        <v>1.56</v>
      </c>
      <c r="O376">
        <v>1.52</v>
      </c>
      <c r="P376" t="s">
        <v>12</v>
      </c>
      <c r="Q376" t="s">
        <v>14</v>
      </c>
      <c r="R376" t="s">
        <v>9</v>
      </c>
      <c r="S376">
        <v>0</v>
      </c>
    </row>
    <row r="377" spans="1:19" x14ac:dyDescent="0.3">
      <c r="A377">
        <v>376</v>
      </c>
      <c r="B377">
        <v>19.3</v>
      </c>
      <c r="C377" t="s">
        <v>11</v>
      </c>
      <c r="D377">
        <v>25000</v>
      </c>
      <c r="E377" t="s">
        <v>4</v>
      </c>
      <c r="F377">
        <v>3.55</v>
      </c>
      <c r="G377">
        <v>80.099999999999994</v>
      </c>
      <c r="H377">
        <v>3</v>
      </c>
      <c r="I377">
        <v>19.3</v>
      </c>
      <c r="J377" t="s">
        <v>3</v>
      </c>
      <c r="K377" t="s">
        <v>3</v>
      </c>
      <c r="L377">
        <v>4.3</v>
      </c>
      <c r="M377">
        <v>3.33</v>
      </c>
      <c r="N377">
        <v>3.75</v>
      </c>
      <c r="O377">
        <v>3.89</v>
      </c>
      <c r="P377" t="s">
        <v>10</v>
      </c>
      <c r="Q377" t="s">
        <v>1</v>
      </c>
      <c r="R377" t="s">
        <v>9</v>
      </c>
      <c r="S377">
        <v>0</v>
      </c>
    </row>
    <row r="378" spans="1:19" x14ac:dyDescent="0.3">
      <c r="A378">
        <v>377</v>
      </c>
      <c r="B378">
        <v>22.9</v>
      </c>
      <c r="C378" t="s">
        <v>5</v>
      </c>
      <c r="D378">
        <v>30614</v>
      </c>
      <c r="E378" t="s">
        <v>4</v>
      </c>
      <c r="F378">
        <v>2.61</v>
      </c>
      <c r="G378">
        <v>80.3</v>
      </c>
      <c r="H378">
        <v>0</v>
      </c>
      <c r="I378">
        <v>22.4</v>
      </c>
      <c r="J378" t="s">
        <v>3</v>
      </c>
      <c r="K378" t="s">
        <v>3</v>
      </c>
      <c r="L378">
        <v>5.4</v>
      </c>
      <c r="M378">
        <v>0.15</v>
      </c>
      <c r="N378">
        <v>0.44</v>
      </c>
      <c r="O378">
        <v>0.45</v>
      </c>
      <c r="P378" t="s">
        <v>12</v>
      </c>
      <c r="Q378" t="s">
        <v>1</v>
      </c>
      <c r="R378" t="s">
        <v>15</v>
      </c>
      <c r="S378">
        <v>1</v>
      </c>
    </row>
    <row r="379" spans="1:19" x14ac:dyDescent="0.3">
      <c r="A379">
        <v>378</v>
      </c>
      <c r="B379">
        <v>21.4</v>
      </c>
      <c r="C379" t="s">
        <v>11</v>
      </c>
      <c r="D379">
        <v>39265</v>
      </c>
      <c r="E379" t="s">
        <v>3</v>
      </c>
      <c r="F379">
        <v>5.51</v>
      </c>
      <c r="G379">
        <v>95.7</v>
      </c>
      <c r="H379">
        <v>0</v>
      </c>
      <c r="I379">
        <v>24</v>
      </c>
      <c r="J379" t="s">
        <v>4</v>
      </c>
      <c r="K379" t="s">
        <v>4</v>
      </c>
      <c r="L379">
        <v>3.7</v>
      </c>
      <c r="M379">
        <v>2.15</v>
      </c>
      <c r="N379">
        <v>2.06</v>
      </c>
      <c r="O379">
        <v>2.04</v>
      </c>
      <c r="P379" t="s">
        <v>10</v>
      </c>
      <c r="Q379" t="s">
        <v>1</v>
      </c>
      <c r="R379" t="s">
        <v>15</v>
      </c>
      <c r="S379">
        <v>0</v>
      </c>
    </row>
    <row r="380" spans="1:19" x14ac:dyDescent="0.3">
      <c r="A380">
        <v>379</v>
      </c>
      <c r="B380">
        <v>25.8</v>
      </c>
      <c r="C380" t="s">
        <v>5</v>
      </c>
      <c r="D380">
        <v>37568</v>
      </c>
      <c r="E380" t="s">
        <v>4</v>
      </c>
      <c r="F380">
        <v>4.95</v>
      </c>
      <c r="G380">
        <v>75.400000000000006</v>
      </c>
      <c r="H380">
        <v>2</v>
      </c>
      <c r="I380">
        <v>33.6</v>
      </c>
      <c r="J380" t="s">
        <v>3</v>
      </c>
      <c r="K380" t="s">
        <v>3</v>
      </c>
      <c r="L380">
        <v>8.1999999999999993</v>
      </c>
      <c r="M380">
        <v>1.28</v>
      </c>
      <c r="N380">
        <v>1.22</v>
      </c>
      <c r="O380">
        <v>1.22</v>
      </c>
      <c r="P380" t="s">
        <v>2</v>
      </c>
      <c r="Q380" t="s">
        <v>6</v>
      </c>
      <c r="R380" t="s">
        <v>9</v>
      </c>
      <c r="S380">
        <v>0</v>
      </c>
    </row>
    <row r="381" spans="1:19" x14ac:dyDescent="0.3">
      <c r="A381">
        <v>380</v>
      </c>
      <c r="B381">
        <v>19.2</v>
      </c>
      <c r="C381" t="s">
        <v>11</v>
      </c>
      <c r="D381">
        <v>25000</v>
      </c>
      <c r="E381" t="s">
        <v>3</v>
      </c>
      <c r="F381">
        <v>2.62</v>
      </c>
      <c r="G381">
        <v>77.7</v>
      </c>
      <c r="H381">
        <v>4</v>
      </c>
      <c r="I381">
        <v>37.700000000000003</v>
      </c>
      <c r="J381" t="s">
        <v>4</v>
      </c>
      <c r="K381" t="s">
        <v>3</v>
      </c>
      <c r="L381">
        <v>6</v>
      </c>
      <c r="M381">
        <v>1.7</v>
      </c>
      <c r="N381">
        <v>1.72</v>
      </c>
      <c r="O381">
        <v>1.77</v>
      </c>
      <c r="P381" t="s">
        <v>12</v>
      </c>
      <c r="Q381" t="s">
        <v>8</v>
      </c>
      <c r="R381" t="s">
        <v>9</v>
      </c>
      <c r="S381">
        <v>1</v>
      </c>
    </row>
    <row r="382" spans="1:19" x14ac:dyDescent="0.3">
      <c r="A382">
        <v>381</v>
      </c>
      <c r="B382">
        <v>19.2</v>
      </c>
      <c r="C382" t="s">
        <v>11</v>
      </c>
      <c r="D382">
        <v>49428</v>
      </c>
      <c r="E382" t="s">
        <v>4</v>
      </c>
      <c r="F382">
        <v>4.07</v>
      </c>
      <c r="G382">
        <v>78.3</v>
      </c>
      <c r="H382">
        <v>3</v>
      </c>
      <c r="I382">
        <v>24.3</v>
      </c>
      <c r="J382" t="s">
        <v>3</v>
      </c>
      <c r="K382" t="s">
        <v>4</v>
      </c>
      <c r="L382">
        <v>7.3</v>
      </c>
      <c r="M382">
        <v>3.92</v>
      </c>
      <c r="N382">
        <v>3.91</v>
      </c>
      <c r="O382">
        <v>3.85</v>
      </c>
      <c r="P382" t="s">
        <v>7</v>
      </c>
      <c r="Q382" t="s">
        <v>1</v>
      </c>
      <c r="R382" t="s">
        <v>15</v>
      </c>
      <c r="S382">
        <v>0</v>
      </c>
    </row>
    <row r="383" spans="1:19" x14ac:dyDescent="0.3">
      <c r="A383">
        <v>382</v>
      </c>
      <c r="B383">
        <v>19.7</v>
      </c>
      <c r="C383" t="s">
        <v>11</v>
      </c>
      <c r="D383">
        <v>26019</v>
      </c>
      <c r="E383" t="s">
        <v>3</v>
      </c>
      <c r="F383">
        <v>3.08</v>
      </c>
      <c r="G383">
        <v>95.6</v>
      </c>
      <c r="H383">
        <v>2</v>
      </c>
      <c r="I383">
        <v>17.5</v>
      </c>
      <c r="J383" t="s">
        <v>4</v>
      </c>
      <c r="K383" t="s">
        <v>3</v>
      </c>
      <c r="L383">
        <v>4.8</v>
      </c>
      <c r="M383">
        <v>3.45</v>
      </c>
      <c r="N383">
        <v>3.34</v>
      </c>
      <c r="O383">
        <v>3.44</v>
      </c>
      <c r="P383" t="s">
        <v>7</v>
      </c>
      <c r="Q383" t="s">
        <v>8</v>
      </c>
      <c r="R383" t="s">
        <v>15</v>
      </c>
      <c r="S383">
        <v>0</v>
      </c>
    </row>
    <row r="384" spans="1:19" x14ac:dyDescent="0.3">
      <c r="A384">
        <v>383</v>
      </c>
      <c r="B384">
        <v>17</v>
      </c>
      <c r="C384" t="s">
        <v>11</v>
      </c>
      <c r="D384">
        <v>25000</v>
      </c>
      <c r="E384" t="s">
        <v>4</v>
      </c>
      <c r="F384">
        <v>2.34</v>
      </c>
      <c r="G384">
        <v>66.2</v>
      </c>
      <c r="H384">
        <v>1</v>
      </c>
      <c r="I384">
        <v>31.6</v>
      </c>
      <c r="J384" t="s">
        <v>3</v>
      </c>
      <c r="K384" t="s">
        <v>3</v>
      </c>
      <c r="L384">
        <v>7.3</v>
      </c>
      <c r="M384">
        <v>1.71</v>
      </c>
      <c r="N384">
        <v>1.37</v>
      </c>
      <c r="O384">
        <v>1.33</v>
      </c>
      <c r="P384" t="s">
        <v>7</v>
      </c>
      <c r="Q384" t="s">
        <v>13</v>
      </c>
      <c r="R384" t="s">
        <v>15</v>
      </c>
      <c r="S384">
        <v>0</v>
      </c>
    </row>
    <row r="385" spans="1:19" x14ac:dyDescent="0.3">
      <c r="A385">
        <v>384</v>
      </c>
      <c r="B385">
        <v>19.8</v>
      </c>
      <c r="C385" t="s">
        <v>5</v>
      </c>
      <c r="D385">
        <v>25000</v>
      </c>
      <c r="E385" t="s">
        <v>3</v>
      </c>
      <c r="F385">
        <v>6.02</v>
      </c>
      <c r="G385">
        <v>88.6</v>
      </c>
      <c r="H385">
        <v>0</v>
      </c>
      <c r="I385">
        <v>36.200000000000003</v>
      </c>
      <c r="J385" t="s">
        <v>4</v>
      </c>
      <c r="K385" t="s">
        <v>4</v>
      </c>
      <c r="L385">
        <v>6.8</v>
      </c>
      <c r="M385">
        <v>2.63</v>
      </c>
      <c r="N385">
        <v>2.5299999999999998</v>
      </c>
      <c r="O385">
        <v>2.52</v>
      </c>
      <c r="P385" t="s">
        <v>7</v>
      </c>
      <c r="Q385" t="s">
        <v>8</v>
      </c>
      <c r="R385" t="s">
        <v>15</v>
      </c>
      <c r="S385">
        <v>1</v>
      </c>
    </row>
    <row r="386" spans="1:19" x14ac:dyDescent="0.3">
      <c r="A386">
        <v>385</v>
      </c>
      <c r="B386">
        <v>19.3</v>
      </c>
      <c r="C386" t="s">
        <v>11</v>
      </c>
      <c r="D386">
        <v>53632</v>
      </c>
      <c r="E386" t="s">
        <v>4</v>
      </c>
      <c r="F386">
        <v>3.54</v>
      </c>
      <c r="G386">
        <v>81.8</v>
      </c>
      <c r="H386">
        <v>2</v>
      </c>
      <c r="I386">
        <v>49.4</v>
      </c>
      <c r="J386" t="s">
        <v>3</v>
      </c>
      <c r="K386" t="s">
        <v>4</v>
      </c>
      <c r="L386">
        <v>7.8</v>
      </c>
      <c r="M386">
        <v>0.83</v>
      </c>
      <c r="N386">
        <v>0.53</v>
      </c>
      <c r="O386">
        <v>0.41</v>
      </c>
      <c r="P386" t="s">
        <v>10</v>
      </c>
      <c r="Q386" t="s">
        <v>14</v>
      </c>
      <c r="R386" t="s">
        <v>9</v>
      </c>
      <c r="S386">
        <v>0</v>
      </c>
    </row>
    <row r="387" spans="1:19" x14ac:dyDescent="0.3">
      <c r="A387">
        <v>386</v>
      </c>
      <c r="B387">
        <v>21.3</v>
      </c>
      <c r="C387" t="s">
        <v>11</v>
      </c>
      <c r="D387">
        <v>29954</v>
      </c>
      <c r="E387" t="s">
        <v>4</v>
      </c>
      <c r="F387">
        <v>2.91</v>
      </c>
      <c r="G387">
        <v>96.5</v>
      </c>
      <c r="H387">
        <v>1</v>
      </c>
      <c r="I387">
        <v>43.8</v>
      </c>
      <c r="J387" t="s">
        <v>3</v>
      </c>
      <c r="K387" t="s">
        <v>3</v>
      </c>
      <c r="L387">
        <v>3.1</v>
      </c>
      <c r="M387">
        <v>2.64</v>
      </c>
      <c r="N387">
        <v>2.75</v>
      </c>
      <c r="O387">
        <v>2.75</v>
      </c>
      <c r="P387" t="s">
        <v>2</v>
      </c>
      <c r="Q387" t="s">
        <v>6</v>
      </c>
      <c r="R387" t="s">
        <v>0</v>
      </c>
      <c r="S387">
        <v>1</v>
      </c>
    </row>
    <row r="388" spans="1:19" x14ac:dyDescent="0.3">
      <c r="A388">
        <v>387</v>
      </c>
      <c r="B388">
        <v>21.8</v>
      </c>
      <c r="C388" t="s">
        <v>5</v>
      </c>
      <c r="D388">
        <v>33743</v>
      </c>
      <c r="E388" t="s">
        <v>4</v>
      </c>
      <c r="F388">
        <v>2.4500000000000002</v>
      </c>
      <c r="G388">
        <v>84.8</v>
      </c>
      <c r="H388">
        <v>2</v>
      </c>
      <c r="I388">
        <v>14.9</v>
      </c>
      <c r="J388" t="s">
        <v>3</v>
      </c>
      <c r="K388" t="s">
        <v>4</v>
      </c>
      <c r="L388">
        <v>5.6</v>
      </c>
      <c r="M388">
        <v>2.27</v>
      </c>
      <c r="N388">
        <v>2.72</v>
      </c>
      <c r="O388">
        <v>2.79</v>
      </c>
      <c r="P388" t="s">
        <v>12</v>
      </c>
      <c r="Q388" t="s">
        <v>13</v>
      </c>
      <c r="R388" t="s">
        <v>0</v>
      </c>
      <c r="S388">
        <v>0</v>
      </c>
    </row>
    <row r="389" spans="1:19" x14ac:dyDescent="0.3">
      <c r="A389">
        <v>388</v>
      </c>
      <c r="B389">
        <v>25.1</v>
      </c>
      <c r="C389" t="s">
        <v>11</v>
      </c>
      <c r="D389">
        <v>55686</v>
      </c>
      <c r="E389" t="s">
        <v>4</v>
      </c>
      <c r="F389">
        <v>3.69</v>
      </c>
      <c r="G389">
        <v>64.8</v>
      </c>
      <c r="H389">
        <v>1</v>
      </c>
      <c r="I389">
        <v>28.3</v>
      </c>
      <c r="J389" t="s">
        <v>3</v>
      </c>
      <c r="K389" t="s">
        <v>4</v>
      </c>
      <c r="L389">
        <v>7.5</v>
      </c>
      <c r="M389">
        <v>0.86</v>
      </c>
      <c r="N389">
        <v>1.02</v>
      </c>
      <c r="O389">
        <v>1.08</v>
      </c>
      <c r="P389" t="s">
        <v>10</v>
      </c>
      <c r="Q389" t="s">
        <v>14</v>
      </c>
      <c r="R389" t="s">
        <v>0</v>
      </c>
      <c r="S389">
        <v>1</v>
      </c>
    </row>
    <row r="390" spans="1:19" x14ac:dyDescent="0.3">
      <c r="A390">
        <v>389</v>
      </c>
      <c r="B390">
        <v>23.1</v>
      </c>
      <c r="C390" t="s">
        <v>5</v>
      </c>
      <c r="E390" t="s">
        <v>4</v>
      </c>
      <c r="G390">
        <v>94.9</v>
      </c>
      <c r="H390">
        <v>1</v>
      </c>
      <c r="I390">
        <v>35.5</v>
      </c>
      <c r="J390" t="s">
        <v>4</v>
      </c>
      <c r="K390" t="s">
        <v>3</v>
      </c>
      <c r="M390">
        <v>2.4500000000000002</v>
      </c>
      <c r="N390">
        <v>2.11</v>
      </c>
      <c r="O390">
        <v>2.11</v>
      </c>
      <c r="P390" t="s">
        <v>2</v>
      </c>
      <c r="Q390" t="s">
        <v>6</v>
      </c>
      <c r="R390" t="s">
        <v>9</v>
      </c>
      <c r="S390">
        <v>0</v>
      </c>
    </row>
    <row r="391" spans="1:19" x14ac:dyDescent="0.3">
      <c r="A391">
        <v>390</v>
      </c>
      <c r="B391">
        <v>19.7</v>
      </c>
      <c r="C391" t="s">
        <v>5</v>
      </c>
      <c r="D391">
        <v>25000</v>
      </c>
      <c r="E391" t="s">
        <v>4</v>
      </c>
      <c r="F391">
        <v>3.8</v>
      </c>
      <c r="G391">
        <v>80.099999999999994</v>
      </c>
      <c r="H391">
        <v>2</v>
      </c>
      <c r="I391">
        <v>19.8</v>
      </c>
      <c r="J391" t="s">
        <v>3</v>
      </c>
      <c r="K391" t="s">
        <v>3</v>
      </c>
      <c r="L391">
        <v>6.4</v>
      </c>
      <c r="M391">
        <v>1.1599999999999999</v>
      </c>
      <c r="N391">
        <v>0.92</v>
      </c>
      <c r="O391">
        <v>0.83</v>
      </c>
      <c r="P391" t="s">
        <v>7</v>
      </c>
      <c r="Q391" t="s">
        <v>8</v>
      </c>
      <c r="R391" t="s">
        <v>9</v>
      </c>
      <c r="S391">
        <v>0</v>
      </c>
    </row>
    <row r="392" spans="1:19" x14ac:dyDescent="0.3">
      <c r="A392">
        <v>391</v>
      </c>
      <c r="B392">
        <v>19</v>
      </c>
      <c r="C392" t="s">
        <v>11</v>
      </c>
      <c r="D392">
        <v>31004</v>
      </c>
      <c r="E392" t="s">
        <v>3</v>
      </c>
      <c r="F392">
        <v>5.57</v>
      </c>
      <c r="G392">
        <v>65.7</v>
      </c>
      <c r="H392">
        <v>0</v>
      </c>
      <c r="I392">
        <v>25.8</v>
      </c>
      <c r="J392" t="s">
        <v>3</v>
      </c>
      <c r="K392" t="s">
        <v>3</v>
      </c>
      <c r="L392">
        <v>6.5</v>
      </c>
      <c r="M392">
        <v>2.4700000000000002</v>
      </c>
      <c r="N392">
        <v>2.2999999999999998</v>
      </c>
      <c r="O392">
        <v>2.2999999999999998</v>
      </c>
      <c r="P392" t="s">
        <v>10</v>
      </c>
      <c r="Q392" t="s">
        <v>13</v>
      </c>
      <c r="R392" t="s">
        <v>15</v>
      </c>
      <c r="S392">
        <v>0</v>
      </c>
    </row>
    <row r="393" spans="1:19" x14ac:dyDescent="0.3">
      <c r="A393">
        <v>392</v>
      </c>
      <c r="B393">
        <v>22.1</v>
      </c>
      <c r="C393" t="s">
        <v>5</v>
      </c>
      <c r="D393">
        <v>35767</v>
      </c>
      <c r="E393" t="s">
        <v>4</v>
      </c>
      <c r="F393">
        <v>5.21</v>
      </c>
      <c r="G393">
        <v>78.8</v>
      </c>
      <c r="H393">
        <v>2</v>
      </c>
      <c r="I393">
        <v>38.1</v>
      </c>
      <c r="J393" t="s">
        <v>4</v>
      </c>
      <c r="K393" t="s">
        <v>3</v>
      </c>
      <c r="L393">
        <v>6.8</v>
      </c>
      <c r="M393">
        <v>1.78</v>
      </c>
      <c r="N393">
        <v>1.52</v>
      </c>
      <c r="O393">
        <v>1.52</v>
      </c>
      <c r="P393" t="s">
        <v>2</v>
      </c>
      <c r="Q393" t="s">
        <v>6</v>
      </c>
      <c r="R393" t="s">
        <v>0</v>
      </c>
      <c r="S393">
        <v>0</v>
      </c>
    </row>
    <row r="394" spans="1:19" x14ac:dyDescent="0.3">
      <c r="A394">
        <v>393</v>
      </c>
      <c r="B394">
        <v>18.100000000000001</v>
      </c>
      <c r="C394" t="s">
        <v>11</v>
      </c>
      <c r="D394">
        <v>25395</v>
      </c>
      <c r="E394" t="s">
        <v>4</v>
      </c>
      <c r="F394">
        <v>4.63</v>
      </c>
      <c r="G394">
        <v>82.3</v>
      </c>
      <c r="H394">
        <v>2</v>
      </c>
      <c r="I394">
        <v>33</v>
      </c>
      <c r="J394" t="s">
        <v>3</v>
      </c>
      <c r="K394" t="s">
        <v>3</v>
      </c>
      <c r="L394">
        <v>6.1</v>
      </c>
      <c r="M394">
        <v>3.22</v>
      </c>
      <c r="N394">
        <v>3.23</v>
      </c>
      <c r="O394">
        <v>3.28</v>
      </c>
      <c r="P394" t="s">
        <v>7</v>
      </c>
      <c r="Q394" t="s">
        <v>14</v>
      </c>
      <c r="R394" t="s">
        <v>0</v>
      </c>
      <c r="S394">
        <v>0</v>
      </c>
    </row>
    <row r="395" spans="1:19" x14ac:dyDescent="0.3">
      <c r="A395">
        <v>394</v>
      </c>
      <c r="B395">
        <v>25</v>
      </c>
      <c r="C395" t="s">
        <v>5</v>
      </c>
      <c r="D395">
        <v>71987</v>
      </c>
      <c r="E395" t="s">
        <v>4</v>
      </c>
      <c r="F395">
        <v>7.13</v>
      </c>
      <c r="G395">
        <v>73.599999999999994</v>
      </c>
      <c r="H395">
        <v>1</v>
      </c>
      <c r="I395">
        <v>30</v>
      </c>
      <c r="J395" t="s">
        <v>4</v>
      </c>
      <c r="K395" t="s">
        <v>3</v>
      </c>
      <c r="L395">
        <v>6.6</v>
      </c>
      <c r="M395">
        <v>2.48</v>
      </c>
      <c r="N395">
        <v>2.38</v>
      </c>
      <c r="O395">
        <v>2.38</v>
      </c>
      <c r="P395" t="s">
        <v>2</v>
      </c>
      <c r="Q395" t="s">
        <v>1</v>
      </c>
      <c r="R395" t="s">
        <v>15</v>
      </c>
      <c r="S395">
        <v>0</v>
      </c>
    </row>
    <row r="396" spans="1:19" x14ac:dyDescent="0.3">
      <c r="A396">
        <v>395</v>
      </c>
      <c r="B396">
        <v>23.6</v>
      </c>
      <c r="C396" t="s">
        <v>5</v>
      </c>
      <c r="D396">
        <v>25000</v>
      </c>
      <c r="E396" t="s">
        <v>4</v>
      </c>
      <c r="F396">
        <v>4.33</v>
      </c>
      <c r="G396">
        <v>69.7</v>
      </c>
      <c r="H396">
        <v>1</v>
      </c>
      <c r="I396">
        <v>22.2</v>
      </c>
      <c r="J396" t="s">
        <v>3</v>
      </c>
      <c r="K396" t="s">
        <v>3</v>
      </c>
      <c r="L396">
        <v>6.3</v>
      </c>
      <c r="M396">
        <v>1.24</v>
      </c>
      <c r="N396">
        <v>1</v>
      </c>
      <c r="O396">
        <v>0.97</v>
      </c>
      <c r="P396" t="s">
        <v>12</v>
      </c>
      <c r="Q396" t="s">
        <v>8</v>
      </c>
      <c r="R396" t="s">
        <v>16</v>
      </c>
      <c r="S396">
        <v>1</v>
      </c>
    </row>
    <row r="397" spans="1:19" x14ac:dyDescent="0.3">
      <c r="A397">
        <v>396</v>
      </c>
      <c r="B397">
        <v>20</v>
      </c>
      <c r="C397" t="s">
        <v>11</v>
      </c>
      <c r="D397">
        <v>58223</v>
      </c>
      <c r="E397" t="s">
        <v>4</v>
      </c>
      <c r="F397">
        <v>2.82</v>
      </c>
      <c r="G397">
        <v>84.4</v>
      </c>
      <c r="H397">
        <v>2</v>
      </c>
      <c r="I397">
        <v>12.7</v>
      </c>
      <c r="J397" t="s">
        <v>3</v>
      </c>
      <c r="K397" t="s">
        <v>3</v>
      </c>
      <c r="L397">
        <v>7.6</v>
      </c>
      <c r="M397">
        <v>2.52</v>
      </c>
      <c r="N397">
        <v>2.82</v>
      </c>
      <c r="O397">
        <v>2.82</v>
      </c>
      <c r="P397" t="s">
        <v>2</v>
      </c>
      <c r="Q397" t="s">
        <v>14</v>
      </c>
      <c r="R397" t="s">
        <v>0</v>
      </c>
      <c r="S397">
        <v>0</v>
      </c>
    </row>
    <row r="398" spans="1:19" x14ac:dyDescent="0.3">
      <c r="A398">
        <v>397</v>
      </c>
      <c r="B398">
        <v>17.2</v>
      </c>
      <c r="C398" t="s">
        <v>5</v>
      </c>
      <c r="D398">
        <v>47796</v>
      </c>
      <c r="E398" t="s">
        <v>4</v>
      </c>
      <c r="F398">
        <v>5.09</v>
      </c>
      <c r="G398">
        <v>72</v>
      </c>
      <c r="H398">
        <v>4</v>
      </c>
      <c r="I398">
        <v>26.3</v>
      </c>
      <c r="J398" t="s">
        <v>3</v>
      </c>
      <c r="K398" t="s">
        <v>3</v>
      </c>
      <c r="L398">
        <v>4.2</v>
      </c>
      <c r="M398">
        <v>3.03</v>
      </c>
      <c r="N398">
        <v>3.6</v>
      </c>
      <c r="O398">
        <v>3.6</v>
      </c>
      <c r="P398" t="s">
        <v>2</v>
      </c>
      <c r="Q398" t="s">
        <v>14</v>
      </c>
      <c r="R398" t="s">
        <v>9</v>
      </c>
      <c r="S398">
        <v>0</v>
      </c>
    </row>
    <row r="399" spans="1:19" x14ac:dyDescent="0.3">
      <c r="A399">
        <v>398</v>
      </c>
      <c r="B399">
        <v>24</v>
      </c>
      <c r="C399" t="s">
        <v>11</v>
      </c>
      <c r="D399">
        <v>39107</v>
      </c>
      <c r="E399" t="s">
        <v>4</v>
      </c>
      <c r="F399">
        <v>4.18</v>
      </c>
      <c r="G399">
        <v>73.8</v>
      </c>
      <c r="H399">
        <v>3</v>
      </c>
      <c r="I399">
        <v>28.9</v>
      </c>
      <c r="J399" t="s">
        <v>4</v>
      </c>
      <c r="K399" t="s">
        <v>3</v>
      </c>
      <c r="L399">
        <v>6.1</v>
      </c>
      <c r="M399">
        <v>1.97</v>
      </c>
      <c r="N399">
        <v>2.42</v>
      </c>
      <c r="O399">
        <v>2.35</v>
      </c>
      <c r="P399" t="s">
        <v>7</v>
      </c>
      <c r="Q399" t="s">
        <v>14</v>
      </c>
      <c r="R399" t="s">
        <v>9</v>
      </c>
      <c r="S399">
        <v>0</v>
      </c>
    </row>
    <row r="400" spans="1:19" x14ac:dyDescent="0.3">
      <c r="A400">
        <v>399</v>
      </c>
      <c r="B400">
        <v>20.7</v>
      </c>
      <c r="C400" t="s">
        <v>11</v>
      </c>
      <c r="D400">
        <v>25000</v>
      </c>
      <c r="E400" t="s">
        <v>4</v>
      </c>
      <c r="F400">
        <v>4.05</v>
      </c>
      <c r="G400">
        <v>92.9</v>
      </c>
      <c r="H400">
        <v>2</v>
      </c>
      <c r="I400">
        <v>12.4</v>
      </c>
      <c r="J400" t="s">
        <v>3</v>
      </c>
      <c r="K400" t="s">
        <v>3</v>
      </c>
      <c r="L400">
        <v>7.7</v>
      </c>
      <c r="M400">
        <v>2.35</v>
      </c>
      <c r="N400">
        <v>2.41</v>
      </c>
      <c r="O400">
        <v>2.38</v>
      </c>
      <c r="P400" t="s">
        <v>12</v>
      </c>
      <c r="Q400" t="s">
        <v>6</v>
      </c>
      <c r="R400" t="s">
        <v>9</v>
      </c>
      <c r="S400">
        <v>0</v>
      </c>
    </row>
    <row r="401" spans="1:19" x14ac:dyDescent="0.3">
      <c r="A401">
        <v>400</v>
      </c>
      <c r="B401">
        <v>23.7</v>
      </c>
      <c r="C401" t="s">
        <v>11</v>
      </c>
      <c r="D401">
        <v>64237</v>
      </c>
      <c r="E401" t="s">
        <v>4</v>
      </c>
      <c r="F401">
        <v>4.38</v>
      </c>
      <c r="G401">
        <v>79.400000000000006</v>
      </c>
      <c r="H401">
        <v>3</v>
      </c>
      <c r="I401">
        <v>30.6</v>
      </c>
      <c r="J401" t="s">
        <v>4</v>
      </c>
      <c r="K401" t="s">
        <v>3</v>
      </c>
      <c r="L401">
        <v>4.0999999999999996</v>
      </c>
      <c r="M401">
        <v>1.97</v>
      </c>
      <c r="N401">
        <v>1.59</v>
      </c>
      <c r="O401">
        <v>1.53</v>
      </c>
      <c r="P401" t="s">
        <v>10</v>
      </c>
      <c r="Q401" t="s">
        <v>8</v>
      </c>
      <c r="R401" t="s">
        <v>15</v>
      </c>
      <c r="S401">
        <v>0</v>
      </c>
    </row>
    <row r="402" spans="1:19" x14ac:dyDescent="0.3">
      <c r="A402">
        <v>401</v>
      </c>
      <c r="B402">
        <v>17.5</v>
      </c>
      <c r="C402" t="s">
        <v>11</v>
      </c>
      <c r="D402">
        <v>25000</v>
      </c>
      <c r="E402" t="s">
        <v>4</v>
      </c>
      <c r="F402">
        <v>3.49</v>
      </c>
      <c r="G402">
        <v>72.3</v>
      </c>
      <c r="H402">
        <v>0</v>
      </c>
      <c r="I402">
        <v>34.700000000000003</v>
      </c>
      <c r="J402" t="s">
        <v>3</v>
      </c>
      <c r="K402" t="s">
        <v>4</v>
      </c>
      <c r="L402">
        <v>4.3</v>
      </c>
      <c r="M402">
        <v>3.91</v>
      </c>
      <c r="N402">
        <v>3.93</v>
      </c>
      <c r="O402">
        <v>4</v>
      </c>
      <c r="P402" t="s">
        <v>7</v>
      </c>
      <c r="Q402" t="s">
        <v>1</v>
      </c>
      <c r="R402" t="s">
        <v>15</v>
      </c>
      <c r="S402">
        <v>0</v>
      </c>
    </row>
    <row r="403" spans="1:19" x14ac:dyDescent="0.3">
      <c r="A403">
        <v>402</v>
      </c>
      <c r="B403">
        <v>19.7</v>
      </c>
      <c r="C403" t="s">
        <v>11</v>
      </c>
      <c r="D403">
        <v>25000</v>
      </c>
      <c r="E403" t="s">
        <v>4</v>
      </c>
      <c r="F403">
        <v>6.43</v>
      </c>
      <c r="G403">
        <v>74.8</v>
      </c>
      <c r="H403">
        <v>3</v>
      </c>
      <c r="I403">
        <v>21.7</v>
      </c>
      <c r="J403" t="s">
        <v>3</v>
      </c>
      <c r="K403" t="s">
        <v>4</v>
      </c>
      <c r="L403">
        <v>6.4</v>
      </c>
      <c r="M403">
        <v>4</v>
      </c>
      <c r="N403">
        <v>3.75</v>
      </c>
      <c r="O403">
        <v>3.75</v>
      </c>
      <c r="P403" t="s">
        <v>2</v>
      </c>
      <c r="Q403" t="s">
        <v>8</v>
      </c>
      <c r="R403" t="s">
        <v>15</v>
      </c>
      <c r="S403">
        <v>0</v>
      </c>
    </row>
    <row r="404" spans="1:19" x14ac:dyDescent="0.3">
      <c r="A404">
        <v>403</v>
      </c>
      <c r="B404">
        <v>21</v>
      </c>
      <c r="C404" t="s">
        <v>5</v>
      </c>
      <c r="D404">
        <v>26840</v>
      </c>
      <c r="E404" t="s">
        <v>4</v>
      </c>
      <c r="F404">
        <v>1.88</v>
      </c>
      <c r="G404">
        <v>85.1</v>
      </c>
      <c r="H404">
        <v>2</v>
      </c>
      <c r="I404">
        <v>34.799999999999997</v>
      </c>
      <c r="J404" t="s">
        <v>3</v>
      </c>
      <c r="K404" t="s">
        <v>4</v>
      </c>
      <c r="L404">
        <v>8</v>
      </c>
      <c r="M404">
        <v>2.8</v>
      </c>
      <c r="N404">
        <v>2.4900000000000002</v>
      </c>
      <c r="O404">
        <v>2.5099999999999998</v>
      </c>
      <c r="P404" t="s">
        <v>12</v>
      </c>
      <c r="Q404" t="s">
        <v>13</v>
      </c>
      <c r="R404" t="s">
        <v>9</v>
      </c>
      <c r="S404">
        <v>0</v>
      </c>
    </row>
    <row r="405" spans="1:19" x14ac:dyDescent="0.3">
      <c r="A405">
        <v>404</v>
      </c>
      <c r="B405">
        <v>21.1</v>
      </c>
      <c r="C405" t="s">
        <v>11</v>
      </c>
      <c r="D405">
        <v>37966</v>
      </c>
      <c r="E405" t="s">
        <v>4</v>
      </c>
      <c r="F405">
        <v>5.0599999999999996</v>
      </c>
      <c r="G405">
        <v>85.4</v>
      </c>
      <c r="H405">
        <v>3</v>
      </c>
      <c r="I405">
        <v>33.299999999999997</v>
      </c>
      <c r="J405" t="s">
        <v>3</v>
      </c>
      <c r="K405" t="s">
        <v>4</v>
      </c>
      <c r="L405">
        <v>5.3</v>
      </c>
      <c r="M405">
        <v>2.57</v>
      </c>
      <c r="N405">
        <v>2.37</v>
      </c>
      <c r="O405">
        <v>2.29</v>
      </c>
      <c r="P405" t="s">
        <v>12</v>
      </c>
      <c r="Q405" t="s">
        <v>14</v>
      </c>
      <c r="R405" t="s">
        <v>0</v>
      </c>
      <c r="S405">
        <v>0</v>
      </c>
    </row>
    <row r="406" spans="1:19" x14ac:dyDescent="0.3">
      <c r="A406">
        <v>405</v>
      </c>
      <c r="B406">
        <v>20</v>
      </c>
      <c r="C406" t="s">
        <v>5</v>
      </c>
      <c r="D406">
        <v>43637</v>
      </c>
      <c r="E406" t="s">
        <v>4</v>
      </c>
      <c r="F406">
        <v>4.17</v>
      </c>
      <c r="G406">
        <v>87.3</v>
      </c>
      <c r="H406">
        <v>2</v>
      </c>
      <c r="I406">
        <v>26.3</v>
      </c>
      <c r="J406" t="s">
        <v>3</v>
      </c>
      <c r="K406" t="s">
        <v>4</v>
      </c>
      <c r="L406">
        <v>5.7</v>
      </c>
      <c r="M406">
        <v>1.73</v>
      </c>
      <c r="N406">
        <v>1.67</v>
      </c>
      <c r="O406">
        <v>1.67</v>
      </c>
      <c r="P406" t="s">
        <v>10</v>
      </c>
      <c r="Q406" t="s">
        <v>1</v>
      </c>
      <c r="R406" t="s">
        <v>9</v>
      </c>
      <c r="S406">
        <v>0</v>
      </c>
    </row>
    <row r="407" spans="1:19" x14ac:dyDescent="0.3">
      <c r="A407">
        <v>406</v>
      </c>
      <c r="B407">
        <v>22.4</v>
      </c>
      <c r="C407" t="s">
        <v>11</v>
      </c>
      <c r="D407">
        <v>50803</v>
      </c>
      <c r="E407" t="s">
        <v>4</v>
      </c>
      <c r="F407">
        <v>4.59</v>
      </c>
      <c r="G407">
        <v>88.4</v>
      </c>
      <c r="H407">
        <v>4</v>
      </c>
      <c r="I407">
        <v>25</v>
      </c>
      <c r="J407" t="s">
        <v>3</v>
      </c>
      <c r="K407" t="s">
        <v>4</v>
      </c>
      <c r="L407">
        <v>6.2</v>
      </c>
      <c r="M407">
        <v>1.96</v>
      </c>
      <c r="N407">
        <v>2.38</v>
      </c>
      <c r="O407">
        <v>2.39</v>
      </c>
      <c r="P407" t="s">
        <v>7</v>
      </c>
      <c r="Q407" t="s">
        <v>13</v>
      </c>
      <c r="R407" t="s">
        <v>17</v>
      </c>
      <c r="S407">
        <v>0</v>
      </c>
    </row>
    <row r="408" spans="1:19" x14ac:dyDescent="0.3">
      <c r="A408">
        <v>407</v>
      </c>
      <c r="B408">
        <v>18.7</v>
      </c>
      <c r="C408" t="s">
        <v>11</v>
      </c>
      <c r="D408">
        <v>48509</v>
      </c>
      <c r="E408" t="s">
        <v>4</v>
      </c>
      <c r="F408">
        <v>3.51</v>
      </c>
      <c r="G408">
        <v>84.7</v>
      </c>
      <c r="H408">
        <v>3</v>
      </c>
      <c r="I408">
        <v>26</v>
      </c>
      <c r="J408" t="s">
        <v>3</v>
      </c>
      <c r="K408" t="s">
        <v>3</v>
      </c>
      <c r="L408">
        <v>4.5999999999999996</v>
      </c>
      <c r="M408">
        <v>3.6</v>
      </c>
      <c r="N408">
        <v>3.67</v>
      </c>
      <c r="O408">
        <v>3.71</v>
      </c>
      <c r="P408" t="s">
        <v>10</v>
      </c>
      <c r="Q408" t="s">
        <v>1</v>
      </c>
      <c r="R408" t="s">
        <v>0</v>
      </c>
      <c r="S408">
        <v>0</v>
      </c>
    </row>
    <row r="409" spans="1:19" x14ac:dyDescent="0.3">
      <c r="A409">
        <v>408</v>
      </c>
      <c r="B409">
        <v>20.7</v>
      </c>
      <c r="C409" t="s">
        <v>11</v>
      </c>
      <c r="D409">
        <v>34605</v>
      </c>
      <c r="E409" t="s">
        <v>4</v>
      </c>
      <c r="F409">
        <v>5.97</v>
      </c>
      <c r="G409">
        <v>86.9</v>
      </c>
      <c r="H409">
        <v>1</v>
      </c>
      <c r="I409">
        <v>19.7</v>
      </c>
      <c r="J409" t="s">
        <v>4</v>
      </c>
      <c r="K409" t="s">
        <v>4</v>
      </c>
      <c r="L409">
        <v>9.4</v>
      </c>
      <c r="M409">
        <v>2.63</v>
      </c>
      <c r="N409">
        <v>2.19</v>
      </c>
      <c r="O409">
        <v>2.19</v>
      </c>
      <c r="P409" t="s">
        <v>2</v>
      </c>
      <c r="Q409" t="s">
        <v>6</v>
      </c>
      <c r="R409" t="s">
        <v>0</v>
      </c>
      <c r="S409">
        <v>0</v>
      </c>
    </row>
    <row r="410" spans="1:19" x14ac:dyDescent="0.3">
      <c r="A410">
        <v>409</v>
      </c>
      <c r="B410">
        <v>21.3</v>
      </c>
      <c r="C410" t="s">
        <v>11</v>
      </c>
      <c r="D410">
        <v>38160</v>
      </c>
      <c r="E410" t="s">
        <v>4</v>
      </c>
      <c r="F410">
        <v>5.15</v>
      </c>
      <c r="G410">
        <v>78.2</v>
      </c>
      <c r="H410">
        <v>1</v>
      </c>
      <c r="I410">
        <v>34.1</v>
      </c>
      <c r="J410" t="s">
        <v>4</v>
      </c>
      <c r="K410" t="s">
        <v>3</v>
      </c>
      <c r="L410">
        <v>3.8</v>
      </c>
      <c r="M410">
        <v>2.96</v>
      </c>
      <c r="N410">
        <v>2.62</v>
      </c>
      <c r="O410">
        <v>2.5</v>
      </c>
      <c r="P410" t="s">
        <v>7</v>
      </c>
      <c r="Q410" t="s">
        <v>13</v>
      </c>
      <c r="R410" t="s">
        <v>9</v>
      </c>
      <c r="S410">
        <v>0</v>
      </c>
    </row>
    <row r="411" spans="1:19" x14ac:dyDescent="0.3">
      <c r="A411">
        <v>410</v>
      </c>
      <c r="B411">
        <v>22.1</v>
      </c>
      <c r="C411" t="s">
        <v>11</v>
      </c>
      <c r="D411">
        <v>25000</v>
      </c>
      <c r="E411" t="s">
        <v>4</v>
      </c>
      <c r="F411">
        <v>3</v>
      </c>
      <c r="G411">
        <v>73.099999999999994</v>
      </c>
      <c r="H411">
        <v>1</v>
      </c>
      <c r="I411">
        <v>19.899999999999999</v>
      </c>
      <c r="J411" t="s">
        <v>3</v>
      </c>
      <c r="K411" t="s">
        <v>3</v>
      </c>
      <c r="L411">
        <v>5.7</v>
      </c>
      <c r="M411">
        <v>1.46</v>
      </c>
      <c r="N411">
        <v>1.56</v>
      </c>
      <c r="O411">
        <v>1.58</v>
      </c>
      <c r="P411" t="s">
        <v>12</v>
      </c>
      <c r="Q411" t="s">
        <v>6</v>
      </c>
      <c r="R411" t="s">
        <v>15</v>
      </c>
      <c r="S411">
        <v>0</v>
      </c>
    </row>
    <row r="412" spans="1:19" x14ac:dyDescent="0.3">
      <c r="A412">
        <v>411</v>
      </c>
      <c r="B412">
        <v>22.6</v>
      </c>
      <c r="C412" t="s">
        <v>11</v>
      </c>
      <c r="D412">
        <v>25000</v>
      </c>
      <c r="E412" t="s">
        <v>4</v>
      </c>
      <c r="F412">
        <v>5.46</v>
      </c>
      <c r="G412">
        <v>92.9</v>
      </c>
      <c r="H412">
        <v>2</v>
      </c>
      <c r="I412">
        <v>20.6</v>
      </c>
      <c r="J412" t="s">
        <v>3</v>
      </c>
      <c r="K412" t="s">
        <v>4</v>
      </c>
      <c r="L412">
        <v>5.7</v>
      </c>
      <c r="M412">
        <v>2.4700000000000002</v>
      </c>
      <c r="N412">
        <v>2.19</v>
      </c>
      <c r="O412">
        <v>2.19</v>
      </c>
      <c r="P412" t="s">
        <v>2</v>
      </c>
      <c r="Q412" t="s">
        <v>14</v>
      </c>
      <c r="R412" t="s">
        <v>9</v>
      </c>
      <c r="S412">
        <v>0</v>
      </c>
    </row>
    <row r="413" spans="1:19" x14ac:dyDescent="0.3">
      <c r="A413">
        <v>412</v>
      </c>
      <c r="B413">
        <v>18.5</v>
      </c>
      <c r="C413" t="s">
        <v>11</v>
      </c>
      <c r="D413">
        <v>50883</v>
      </c>
      <c r="E413" t="s">
        <v>4</v>
      </c>
      <c r="F413">
        <v>4.3899999999999997</v>
      </c>
      <c r="G413">
        <v>89</v>
      </c>
      <c r="H413">
        <v>2</v>
      </c>
      <c r="I413">
        <v>36</v>
      </c>
      <c r="J413" t="s">
        <v>3</v>
      </c>
      <c r="K413" t="s">
        <v>4</v>
      </c>
      <c r="L413">
        <v>1.6</v>
      </c>
      <c r="M413">
        <v>3.63</v>
      </c>
      <c r="N413">
        <v>3.9</v>
      </c>
      <c r="O413">
        <v>3.9</v>
      </c>
      <c r="P413" t="s">
        <v>2</v>
      </c>
      <c r="Q413" t="s">
        <v>6</v>
      </c>
      <c r="R413" t="s">
        <v>17</v>
      </c>
      <c r="S413">
        <v>0</v>
      </c>
    </row>
    <row r="414" spans="1:19" x14ac:dyDescent="0.3">
      <c r="A414">
        <v>413</v>
      </c>
      <c r="B414">
        <v>17.600000000000001</v>
      </c>
      <c r="C414" t="s">
        <v>5</v>
      </c>
      <c r="D414">
        <v>49135</v>
      </c>
      <c r="E414" t="s">
        <v>4</v>
      </c>
      <c r="F414">
        <v>3.24</v>
      </c>
      <c r="G414">
        <v>79.7</v>
      </c>
      <c r="H414">
        <v>2</v>
      </c>
      <c r="I414">
        <v>27.1</v>
      </c>
      <c r="J414" t="s">
        <v>3</v>
      </c>
      <c r="K414" t="s">
        <v>4</v>
      </c>
      <c r="L414">
        <v>4</v>
      </c>
      <c r="M414">
        <v>3.78</v>
      </c>
      <c r="N414">
        <v>3.69</v>
      </c>
      <c r="O414">
        <v>3.64</v>
      </c>
      <c r="P414" t="s">
        <v>12</v>
      </c>
      <c r="Q414" t="s">
        <v>13</v>
      </c>
      <c r="R414" t="s">
        <v>15</v>
      </c>
      <c r="S414">
        <v>0</v>
      </c>
    </row>
    <row r="415" spans="1:19" x14ac:dyDescent="0.3">
      <c r="A415">
        <v>414</v>
      </c>
      <c r="B415">
        <v>23.8</v>
      </c>
      <c r="C415" t="s">
        <v>5</v>
      </c>
      <c r="D415">
        <v>45903</v>
      </c>
      <c r="E415" t="s">
        <v>3</v>
      </c>
      <c r="F415">
        <v>1.8</v>
      </c>
      <c r="G415">
        <v>76.7</v>
      </c>
      <c r="H415">
        <v>3</v>
      </c>
      <c r="I415">
        <v>30.7</v>
      </c>
      <c r="J415" t="s">
        <v>3</v>
      </c>
      <c r="K415" t="s">
        <v>4</v>
      </c>
      <c r="L415">
        <v>3.1</v>
      </c>
      <c r="M415">
        <v>1.87</v>
      </c>
      <c r="N415">
        <v>1.77</v>
      </c>
      <c r="O415">
        <v>1.77</v>
      </c>
      <c r="P415" t="s">
        <v>12</v>
      </c>
      <c r="Q415" t="s">
        <v>13</v>
      </c>
      <c r="R415" t="s">
        <v>15</v>
      </c>
      <c r="S415">
        <v>0</v>
      </c>
    </row>
    <row r="416" spans="1:19" x14ac:dyDescent="0.3">
      <c r="A416">
        <v>415</v>
      </c>
      <c r="B416">
        <v>21.7</v>
      </c>
      <c r="C416" t="s">
        <v>5</v>
      </c>
      <c r="D416">
        <v>25000</v>
      </c>
      <c r="E416" t="s">
        <v>4</v>
      </c>
      <c r="F416">
        <v>5</v>
      </c>
      <c r="G416">
        <v>100</v>
      </c>
      <c r="H416">
        <v>4</v>
      </c>
      <c r="I416">
        <v>9.5</v>
      </c>
      <c r="J416" t="s">
        <v>3</v>
      </c>
      <c r="K416" t="s">
        <v>3</v>
      </c>
      <c r="L416">
        <v>6.8</v>
      </c>
      <c r="M416">
        <v>1.83</v>
      </c>
      <c r="N416">
        <v>1.39</v>
      </c>
      <c r="O416">
        <v>1.47</v>
      </c>
      <c r="P416" t="s">
        <v>10</v>
      </c>
      <c r="Q416" t="s">
        <v>6</v>
      </c>
      <c r="R416" t="s">
        <v>9</v>
      </c>
      <c r="S416">
        <v>0</v>
      </c>
    </row>
    <row r="417" spans="1:19" x14ac:dyDescent="0.3">
      <c r="A417">
        <v>416</v>
      </c>
      <c r="B417">
        <v>19.399999999999999</v>
      </c>
      <c r="C417" t="s">
        <v>11</v>
      </c>
      <c r="D417">
        <v>51344</v>
      </c>
      <c r="E417" t="s">
        <v>4</v>
      </c>
      <c r="F417">
        <v>3.06</v>
      </c>
      <c r="G417">
        <v>74.8</v>
      </c>
      <c r="H417">
        <v>3</v>
      </c>
      <c r="I417">
        <v>23.7</v>
      </c>
      <c r="J417" t="s">
        <v>4</v>
      </c>
      <c r="K417" t="s">
        <v>3</v>
      </c>
      <c r="L417">
        <v>2.5</v>
      </c>
      <c r="M417">
        <v>2.96</v>
      </c>
      <c r="N417">
        <v>2.29</v>
      </c>
      <c r="O417">
        <v>2.29</v>
      </c>
      <c r="P417" t="s">
        <v>2</v>
      </c>
      <c r="Q417" t="s">
        <v>6</v>
      </c>
      <c r="R417" t="s">
        <v>9</v>
      </c>
      <c r="S417">
        <v>0</v>
      </c>
    </row>
    <row r="418" spans="1:19" x14ac:dyDescent="0.3">
      <c r="A418">
        <v>417</v>
      </c>
      <c r="B418">
        <v>24.4</v>
      </c>
      <c r="C418" t="s">
        <v>5</v>
      </c>
      <c r="E418" t="s">
        <v>4</v>
      </c>
      <c r="G418">
        <v>83.8</v>
      </c>
      <c r="H418">
        <v>2</v>
      </c>
      <c r="I418">
        <v>50.2</v>
      </c>
      <c r="J418" t="s">
        <v>4</v>
      </c>
      <c r="K418" t="s">
        <v>3</v>
      </c>
      <c r="M418">
        <v>2.4300000000000002</v>
      </c>
      <c r="N418">
        <v>1.71</v>
      </c>
      <c r="O418">
        <v>1.71</v>
      </c>
      <c r="P418" t="s">
        <v>2</v>
      </c>
      <c r="Q418" t="s">
        <v>13</v>
      </c>
      <c r="R418" t="s">
        <v>9</v>
      </c>
      <c r="S418">
        <v>0</v>
      </c>
    </row>
    <row r="419" spans="1:19" x14ac:dyDescent="0.3">
      <c r="A419">
        <v>418</v>
      </c>
      <c r="B419">
        <v>21.3</v>
      </c>
      <c r="C419" t="s">
        <v>5</v>
      </c>
      <c r="D419">
        <v>56750</v>
      </c>
      <c r="E419" t="s">
        <v>3</v>
      </c>
      <c r="F419">
        <v>5.9</v>
      </c>
      <c r="G419">
        <v>76.599999999999994</v>
      </c>
      <c r="H419">
        <v>1</v>
      </c>
      <c r="I419">
        <v>8.6</v>
      </c>
      <c r="J419" t="s">
        <v>4</v>
      </c>
      <c r="K419" t="s">
        <v>3</v>
      </c>
      <c r="L419">
        <v>3.4</v>
      </c>
      <c r="M419">
        <v>4</v>
      </c>
      <c r="N419">
        <v>3.37</v>
      </c>
      <c r="O419">
        <v>3.37</v>
      </c>
      <c r="P419" t="s">
        <v>12</v>
      </c>
      <c r="Q419" t="s">
        <v>13</v>
      </c>
      <c r="R419" t="s">
        <v>0</v>
      </c>
      <c r="S419">
        <v>0</v>
      </c>
    </row>
    <row r="420" spans="1:19" x14ac:dyDescent="0.3">
      <c r="A420">
        <v>419</v>
      </c>
      <c r="B420">
        <v>23.6</v>
      </c>
      <c r="C420" t="s">
        <v>5</v>
      </c>
      <c r="D420">
        <v>25425</v>
      </c>
      <c r="E420" t="s">
        <v>4</v>
      </c>
      <c r="F420">
        <v>2.95</v>
      </c>
      <c r="G420">
        <v>78.7</v>
      </c>
      <c r="H420">
        <v>0</v>
      </c>
      <c r="I420">
        <v>51</v>
      </c>
      <c r="J420" t="s">
        <v>3</v>
      </c>
      <c r="K420" t="s">
        <v>4</v>
      </c>
      <c r="L420">
        <v>7.2</v>
      </c>
      <c r="M420">
        <v>2.2400000000000002</v>
      </c>
      <c r="N420">
        <v>1.98</v>
      </c>
      <c r="O420">
        <v>2</v>
      </c>
      <c r="P420" t="s">
        <v>10</v>
      </c>
      <c r="Q420" t="s">
        <v>8</v>
      </c>
      <c r="R420" t="s">
        <v>9</v>
      </c>
      <c r="S420">
        <v>0</v>
      </c>
    </row>
    <row r="421" spans="1:19" x14ac:dyDescent="0.3">
      <c r="A421">
        <v>420</v>
      </c>
      <c r="B421">
        <v>21.1</v>
      </c>
      <c r="C421" t="s">
        <v>11</v>
      </c>
      <c r="D421">
        <v>81675</v>
      </c>
      <c r="E421" t="s">
        <v>4</v>
      </c>
      <c r="F421">
        <v>5.75</v>
      </c>
      <c r="G421">
        <v>76</v>
      </c>
      <c r="H421">
        <v>0</v>
      </c>
      <c r="I421">
        <v>33.1</v>
      </c>
      <c r="J421" t="s">
        <v>4</v>
      </c>
      <c r="K421" t="s">
        <v>3</v>
      </c>
      <c r="L421">
        <v>3</v>
      </c>
      <c r="M421">
        <v>2.72</v>
      </c>
      <c r="N421">
        <v>2.85</v>
      </c>
      <c r="O421">
        <v>2.84</v>
      </c>
      <c r="P421" t="s">
        <v>10</v>
      </c>
      <c r="Q421" t="s">
        <v>8</v>
      </c>
      <c r="R421" t="s">
        <v>9</v>
      </c>
      <c r="S421">
        <v>0</v>
      </c>
    </row>
    <row r="422" spans="1:19" x14ac:dyDescent="0.3">
      <c r="A422">
        <v>421</v>
      </c>
      <c r="B422">
        <v>25.5</v>
      </c>
      <c r="C422" t="s">
        <v>11</v>
      </c>
      <c r="D422">
        <v>25000</v>
      </c>
      <c r="E422" t="s">
        <v>4</v>
      </c>
      <c r="F422">
        <v>2.5099999999999998</v>
      </c>
      <c r="G422">
        <v>64.7</v>
      </c>
      <c r="H422">
        <v>1</v>
      </c>
      <c r="I422">
        <v>23.6</v>
      </c>
      <c r="J422" t="s">
        <v>3</v>
      </c>
      <c r="K422" t="s">
        <v>3</v>
      </c>
      <c r="L422">
        <v>6.3</v>
      </c>
      <c r="M422">
        <v>1.18</v>
      </c>
      <c r="N422">
        <v>0.72</v>
      </c>
      <c r="O422">
        <v>0.7</v>
      </c>
      <c r="P422" t="s">
        <v>12</v>
      </c>
      <c r="Q422" t="s">
        <v>6</v>
      </c>
      <c r="R422" t="s">
        <v>0</v>
      </c>
      <c r="S422">
        <v>0</v>
      </c>
    </row>
    <row r="423" spans="1:19" x14ac:dyDescent="0.3">
      <c r="A423">
        <v>422</v>
      </c>
      <c r="B423">
        <v>24.9</v>
      </c>
      <c r="C423" t="s">
        <v>5</v>
      </c>
      <c r="D423">
        <v>85652</v>
      </c>
      <c r="E423" t="s">
        <v>4</v>
      </c>
      <c r="F423">
        <v>5.93</v>
      </c>
      <c r="G423">
        <v>85.1</v>
      </c>
      <c r="H423">
        <v>0</v>
      </c>
      <c r="I423">
        <v>27.5</v>
      </c>
      <c r="J423" t="s">
        <v>4</v>
      </c>
      <c r="K423" t="s">
        <v>3</v>
      </c>
      <c r="L423">
        <v>7.2</v>
      </c>
      <c r="M423">
        <v>2.2400000000000002</v>
      </c>
      <c r="N423">
        <v>1.93</v>
      </c>
      <c r="O423">
        <v>1.94</v>
      </c>
      <c r="P423" t="s">
        <v>10</v>
      </c>
      <c r="Q423" t="s">
        <v>1</v>
      </c>
      <c r="R423" t="s">
        <v>15</v>
      </c>
      <c r="S423">
        <v>0</v>
      </c>
    </row>
    <row r="424" spans="1:19" x14ac:dyDescent="0.3">
      <c r="A424">
        <v>423</v>
      </c>
      <c r="B424">
        <v>20.5</v>
      </c>
      <c r="C424" t="s">
        <v>5</v>
      </c>
      <c r="D424">
        <v>25000</v>
      </c>
      <c r="E424" t="s">
        <v>4</v>
      </c>
      <c r="F424">
        <v>6.37</v>
      </c>
      <c r="G424">
        <v>87.3</v>
      </c>
      <c r="H424">
        <v>7</v>
      </c>
      <c r="I424">
        <v>44.8</v>
      </c>
      <c r="J424" t="s">
        <v>4</v>
      </c>
      <c r="K424" t="s">
        <v>4</v>
      </c>
      <c r="L424">
        <v>6.5</v>
      </c>
      <c r="M424">
        <v>2.3199999999999998</v>
      </c>
      <c r="N424">
        <v>2.1</v>
      </c>
      <c r="O424">
        <v>2.13</v>
      </c>
      <c r="P424" t="s">
        <v>12</v>
      </c>
      <c r="Q424" t="s">
        <v>13</v>
      </c>
      <c r="R424" t="s">
        <v>9</v>
      </c>
      <c r="S424">
        <v>0</v>
      </c>
    </row>
    <row r="425" spans="1:19" x14ac:dyDescent="0.3">
      <c r="A425">
        <v>424</v>
      </c>
      <c r="B425">
        <v>23.1</v>
      </c>
      <c r="C425" t="s">
        <v>5</v>
      </c>
      <c r="D425">
        <v>25000</v>
      </c>
      <c r="E425" t="s">
        <v>4</v>
      </c>
      <c r="F425">
        <v>5.17</v>
      </c>
      <c r="G425">
        <v>76.7</v>
      </c>
      <c r="H425">
        <v>0</v>
      </c>
      <c r="I425">
        <v>5</v>
      </c>
      <c r="J425" t="s">
        <v>3</v>
      </c>
      <c r="K425" t="s">
        <v>3</v>
      </c>
      <c r="L425">
        <v>3.3</v>
      </c>
      <c r="M425">
        <v>3.57</v>
      </c>
      <c r="N425">
        <v>3.16</v>
      </c>
      <c r="O425">
        <v>3.13</v>
      </c>
      <c r="P425" t="s">
        <v>7</v>
      </c>
      <c r="Q425" t="s">
        <v>14</v>
      </c>
      <c r="R425" t="s">
        <v>9</v>
      </c>
      <c r="S425">
        <v>0</v>
      </c>
    </row>
    <row r="426" spans="1:19" x14ac:dyDescent="0.3">
      <c r="A426">
        <v>425</v>
      </c>
      <c r="B426">
        <v>22.4</v>
      </c>
      <c r="C426" t="s">
        <v>5</v>
      </c>
      <c r="D426">
        <v>33420</v>
      </c>
      <c r="E426" t="s">
        <v>4</v>
      </c>
      <c r="F426">
        <v>4.57</v>
      </c>
      <c r="G426">
        <v>100</v>
      </c>
      <c r="H426">
        <v>2</v>
      </c>
      <c r="I426">
        <v>47</v>
      </c>
      <c r="J426" t="s">
        <v>4</v>
      </c>
      <c r="K426" t="s">
        <v>4</v>
      </c>
      <c r="L426">
        <v>7.5</v>
      </c>
      <c r="M426">
        <v>3.78</v>
      </c>
      <c r="N426">
        <v>3.85</v>
      </c>
      <c r="O426">
        <v>3.73</v>
      </c>
      <c r="P426" t="s">
        <v>12</v>
      </c>
      <c r="Q426" t="s">
        <v>8</v>
      </c>
      <c r="R426" t="s">
        <v>9</v>
      </c>
      <c r="S426">
        <v>0</v>
      </c>
    </row>
    <row r="427" spans="1:19" x14ac:dyDescent="0.3">
      <c r="A427">
        <v>426</v>
      </c>
      <c r="B427">
        <v>24</v>
      </c>
      <c r="C427" t="s">
        <v>5</v>
      </c>
      <c r="D427">
        <v>25000</v>
      </c>
      <c r="E427" t="s">
        <v>4</v>
      </c>
      <c r="F427">
        <v>5.16</v>
      </c>
      <c r="G427">
        <v>84.3</v>
      </c>
      <c r="H427">
        <v>1</v>
      </c>
      <c r="I427">
        <v>33.200000000000003</v>
      </c>
      <c r="J427" t="s">
        <v>3</v>
      </c>
      <c r="K427" t="s">
        <v>4</v>
      </c>
      <c r="L427">
        <v>6.5</v>
      </c>
      <c r="M427">
        <v>3.11</v>
      </c>
      <c r="N427">
        <v>3.27</v>
      </c>
      <c r="O427">
        <v>3.31</v>
      </c>
      <c r="P427" t="s">
        <v>12</v>
      </c>
      <c r="Q427" t="s">
        <v>6</v>
      </c>
      <c r="R427" t="s">
        <v>0</v>
      </c>
      <c r="S427">
        <v>0</v>
      </c>
    </row>
    <row r="428" spans="1:19" x14ac:dyDescent="0.3">
      <c r="A428">
        <v>427</v>
      </c>
      <c r="B428">
        <v>18.899999999999999</v>
      </c>
      <c r="C428" t="s">
        <v>11</v>
      </c>
      <c r="D428">
        <v>28470</v>
      </c>
      <c r="E428" t="s">
        <v>4</v>
      </c>
      <c r="F428">
        <v>3.56</v>
      </c>
      <c r="G428">
        <v>83.3</v>
      </c>
      <c r="H428">
        <v>0</v>
      </c>
      <c r="I428">
        <v>42.1</v>
      </c>
      <c r="J428" t="s">
        <v>3</v>
      </c>
      <c r="K428" t="s">
        <v>3</v>
      </c>
      <c r="L428">
        <v>1.3</v>
      </c>
      <c r="M428">
        <v>3.42</v>
      </c>
      <c r="N428">
        <v>4</v>
      </c>
      <c r="O428">
        <v>4</v>
      </c>
      <c r="P428" t="s">
        <v>12</v>
      </c>
      <c r="Q428" t="s">
        <v>14</v>
      </c>
      <c r="R428" t="s">
        <v>17</v>
      </c>
      <c r="S428">
        <v>0</v>
      </c>
    </row>
    <row r="429" spans="1:19" x14ac:dyDescent="0.3">
      <c r="A429">
        <v>428</v>
      </c>
      <c r="B429">
        <v>22.5</v>
      </c>
      <c r="C429" t="s">
        <v>11</v>
      </c>
      <c r="D429">
        <v>25000</v>
      </c>
      <c r="E429" t="s">
        <v>4</v>
      </c>
      <c r="F429">
        <v>2.27</v>
      </c>
      <c r="G429">
        <v>85.1</v>
      </c>
      <c r="H429">
        <v>4</v>
      </c>
      <c r="I429">
        <v>9</v>
      </c>
      <c r="J429" t="s">
        <v>3</v>
      </c>
      <c r="K429" t="s">
        <v>4</v>
      </c>
      <c r="L429">
        <v>5.7</v>
      </c>
      <c r="M429">
        <v>0.24</v>
      </c>
      <c r="N429">
        <v>0.32</v>
      </c>
      <c r="O429">
        <v>0.35</v>
      </c>
      <c r="P429" t="s">
        <v>12</v>
      </c>
      <c r="Q429" t="s">
        <v>13</v>
      </c>
      <c r="R429" t="s">
        <v>0</v>
      </c>
      <c r="S429">
        <v>0</v>
      </c>
    </row>
    <row r="430" spans="1:19" x14ac:dyDescent="0.3">
      <c r="A430">
        <v>429</v>
      </c>
      <c r="B430">
        <v>23.3</v>
      </c>
      <c r="C430" t="s">
        <v>5</v>
      </c>
      <c r="D430">
        <v>25000</v>
      </c>
      <c r="E430" t="s">
        <v>3</v>
      </c>
      <c r="F430">
        <v>3.04</v>
      </c>
      <c r="G430">
        <v>77.3</v>
      </c>
      <c r="H430">
        <v>5</v>
      </c>
      <c r="I430">
        <v>27.3</v>
      </c>
      <c r="J430" t="s">
        <v>3</v>
      </c>
      <c r="K430" t="s">
        <v>3</v>
      </c>
      <c r="L430">
        <v>10</v>
      </c>
      <c r="M430">
        <v>0.99</v>
      </c>
      <c r="N430">
        <v>1.03</v>
      </c>
      <c r="O430">
        <v>1.03</v>
      </c>
      <c r="P430" t="s">
        <v>2</v>
      </c>
      <c r="Q430" t="s">
        <v>1</v>
      </c>
      <c r="R430" t="s">
        <v>9</v>
      </c>
      <c r="S430">
        <v>1</v>
      </c>
    </row>
    <row r="431" spans="1:19" x14ac:dyDescent="0.3">
      <c r="A431">
        <v>430</v>
      </c>
      <c r="B431">
        <v>17.100000000000001</v>
      </c>
      <c r="C431" t="s">
        <v>5</v>
      </c>
      <c r="D431">
        <v>39820</v>
      </c>
      <c r="E431" t="s">
        <v>4</v>
      </c>
      <c r="F431">
        <v>6.97</v>
      </c>
      <c r="G431">
        <v>74.2</v>
      </c>
      <c r="H431">
        <v>1</v>
      </c>
      <c r="I431">
        <v>5</v>
      </c>
      <c r="J431" t="s">
        <v>3</v>
      </c>
      <c r="K431" t="s">
        <v>3</v>
      </c>
      <c r="L431">
        <v>7.5</v>
      </c>
      <c r="M431">
        <v>1.51</v>
      </c>
      <c r="N431">
        <v>1.7</v>
      </c>
      <c r="O431">
        <v>1.7</v>
      </c>
      <c r="P431" t="s">
        <v>2</v>
      </c>
      <c r="Q431" t="s">
        <v>14</v>
      </c>
      <c r="R431" t="s">
        <v>9</v>
      </c>
      <c r="S431">
        <v>0</v>
      </c>
    </row>
    <row r="432" spans="1:19" x14ac:dyDescent="0.3">
      <c r="A432">
        <v>431</v>
      </c>
      <c r="B432">
        <v>18.399999999999999</v>
      </c>
      <c r="C432" t="s">
        <v>5</v>
      </c>
      <c r="D432">
        <v>25000</v>
      </c>
      <c r="E432" t="s">
        <v>4</v>
      </c>
      <c r="F432">
        <v>2.4900000000000002</v>
      </c>
      <c r="G432">
        <v>75.900000000000006</v>
      </c>
      <c r="H432">
        <v>4</v>
      </c>
      <c r="I432">
        <v>44.4</v>
      </c>
      <c r="J432" t="s">
        <v>4</v>
      </c>
      <c r="K432" t="s">
        <v>4</v>
      </c>
      <c r="L432">
        <v>4.5999999999999996</v>
      </c>
      <c r="M432">
        <v>2.4</v>
      </c>
      <c r="N432">
        <v>2.46</v>
      </c>
      <c r="O432">
        <v>2.46</v>
      </c>
      <c r="P432" t="s">
        <v>2</v>
      </c>
      <c r="Q432" t="s">
        <v>13</v>
      </c>
      <c r="R432" t="s">
        <v>0</v>
      </c>
      <c r="S432">
        <v>0</v>
      </c>
    </row>
    <row r="433" spans="1:19" x14ac:dyDescent="0.3">
      <c r="A433">
        <v>432</v>
      </c>
      <c r="B433">
        <v>17</v>
      </c>
      <c r="C433" t="s">
        <v>5</v>
      </c>
      <c r="D433">
        <v>25000</v>
      </c>
      <c r="E433" t="s">
        <v>4</v>
      </c>
      <c r="F433">
        <v>5.25</v>
      </c>
      <c r="G433">
        <v>77.599999999999994</v>
      </c>
      <c r="H433">
        <v>2</v>
      </c>
      <c r="I433">
        <v>18.2</v>
      </c>
      <c r="J433" t="s">
        <v>3</v>
      </c>
      <c r="K433" t="s">
        <v>4</v>
      </c>
      <c r="L433">
        <v>6.5</v>
      </c>
      <c r="M433">
        <v>3.46</v>
      </c>
      <c r="N433">
        <v>3.5</v>
      </c>
      <c r="O433">
        <v>3.53</v>
      </c>
      <c r="P433" t="s">
        <v>12</v>
      </c>
      <c r="Q433" t="s">
        <v>8</v>
      </c>
      <c r="R433" t="s">
        <v>15</v>
      </c>
      <c r="S433">
        <v>0</v>
      </c>
    </row>
    <row r="434" spans="1:19" x14ac:dyDescent="0.3">
      <c r="A434">
        <v>433</v>
      </c>
      <c r="B434">
        <v>20.399999999999999</v>
      </c>
      <c r="C434" t="s">
        <v>5</v>
      </c>
      <c r="D434">
        <v>25000</v>
      </c>
      <c r="E434" t="s">
        <v>3</v>
      </c>
      <c r="F434">
        <v>3.86</v>
      </c>
      <c r="G434">
        <v>86.5</v>
      </c>
      <c r="H434">
        <v>0</v>
      </c>
      <c r="I434">
        <v>18</v>
      </c>
      <c r="J434" t="s">
        <v>4</v>
      </c>
      <c r="K434" t="s">
        <v>3</v>
      </c>
      <c r="L434">
        <v>4.8</v>
      </c>
      <c r="M434">
        <v>3.61</v>
      </c>
      <c r="N434">
        <v>3.44</v>
      </c>
      <c r="O434">
        <v>3.42</v>
      </c>
      <c r="P434" t="s">
        <v>12</v>
      </c>
      <c r="Q434" t="s">
        <v>6</v>
      </c>
      <c r="R434" t="s">
        <v>9</v>
      </c>
      <c r="S434">
        <v>0</v>
      </c>
    </row>
    <row r="435" spans="1:19" x14ac:dyDescent="0.3">
      <c r="A435">
        <v>434</v>
      </c>
      <c r="B435">
        <v>22.6</v>
      </c>
      <c r="C435" t="s">
        <v>5</v>
      </c>
      <c r="D435">
        <v>25000</v>
      </c>
      <c r="E435" t="s">
        <v>4</v>
      </c>
      <c r="F435">
        <v>3.54</v>
      </c>
      <c r="G435">
        <v>79</v>
      </c>
      <c r="H435">
        <v>3</v>
      </c>
      <c r="I435">
        <v>6.8</v>
      </c>
      <c r="J435" t="s">
        <v>4</v>
      </c>
      <c r="K435" t="s">
        <v>3</v>
      </c>
      <c r="L435">
        <v>7.3</v>
      </c>
      <c r="M435">
        <v>0.94</v>
      </c>
      <c r="N435">
        <v>1.1399999999999999</v>
      </c>
      <c r="O435">
        <v>1.0900000000000001</v>
      </c>
      <c r="P435" t="s">
        <v>7</v>
      </c>
      <c r="Q435" t="s">
        <v>6</v>
      </c>
      <c r="R435" t="s">
        <v>9</v>
      </c>
      <c r="S435">
        <v>0</v>
      </c>
    </row>
    <row r="436" spans="1:19" x14ac:dyDescent="0.3">
      <c r="A436">
        <v>435</v>
      </c>
      <c r="B436">
        <v>24.3</v>
      </c>
      <c r="C436" t="s">
        <v>5</v>
      </c>
      <c r="D436">
        <v>65314</v>
      </c>
      <c r="E436" t="s">
        <v>4</v>
      </c>
      <c r="F436">
        <v>6.2</v>
      </c>
      <c r="G436">
        <v>86.9</v>
      </c>
      <c r="H436">
        <v>5</v>
      </c>
      <c r="I436">
        <v>35.299999999999997</v>
      </c>
      <c r="J436" t="s">
        <v>4</v>
      </c>
      <c r="K436" t="s">
        <v>3</v>
      </c>
      <c r="L436">
        <v>4</v>
      </c>
      <c r="M436">
        <v>1.21</v>
      </c>
      <c r="N436">
        <v>1.19</v>
      </c>
      <c r="O436">
        <v>1.19</v>
      </c>
      <c r="P436" t="s">
        <v>2</v>
      </c>
      <c r="Q436" t="s">
        <v>6</v>
      </c>
      <c r="R436" t="s">
        <v>15</v>
      </c>
      <c r="S436">
        <v>0</v>
      </c>
    </row>
    <row r="437" spans="1:19" x14ac:dyDescent="0.3">
      <c r="A437">
        <v>436</v>
      </c>
      <c r="B437">
        <v>21.2</v>
      </c>
      <c r="C437" t="s">
        <v>11</v>
      </c>
      <c r="D437">
        <v>25000</v>
      </c>
      <c r="E437" t="s">
        <v>3</v>
      </c>
      <c r="F437">
        <v>4.12</v>
      </c>
      <c r="G437">
        <v>71.900000000000006</v>
      </c>
      <c r="H437">
        <v>1</v>
      </c>
      <c r="I437">
        <v>30.9</v>
      </c>
      <c r="J437" t="s">
        <v>3</v>
      </c>
      <c r="K437" t="s">
        <v>3</v>
      </c>
      <c r="L437">
        <v>7.7</v>
      </c>
      <c r="M437">
        <v>0.88</v>
      </c>
      <c r="N437">
        <v>0.83</v>
      </c>
      <c r="O437">
        <v>0.85</v>
      </c>
      <c r="P437" t="s">
        <v>12</v>
      </c>
      <c r="Q437" t="s">
        <v>14</v>
      </c>
      <c r="R437" t="s">
        <v>9</v>
      </c>
      <c r="S437">
        <v>1</v>
      </c>
    </row>
    <row r="438" spans="1:19" x14ac:dyDescent="0.3">
      <c r="A438">
        <v>437</v>
      </c>
      <c r="B438">
        <v>24.6</v>
      </c>
      <c r="C438" t="s">
        <v>11</v>
      </c>
      <c r="D438">
        <v>25000</v>
      </c>
      <c r="E438" t="s">
        <v>4</v>
      </c>
      <c r="F438">
        <v>5.21</v>
      </c>
      <c r="G438">
        <v>76.8</v>
      </c>
      <c r="H438">
        <v>1</v>
      </c>
      <c r="I438">
        <v>21</v>
      </c>
      <c r="J438" t="s">
        <v>3</v>
      </c>
      <c r="K438" t="s">
        <v>4</v>
      </c>
      <c r="L438">
        <v>7.2</v>
      </c>
      <c r="M438">
        <v>2.4900000000000002</v>
      </c>
      <c r="N438">
        <v>2.35</v>
      </c>
      <c r="O438">
        <v>2.3199999999999998</v>
      </c>
      <c r="P438" t="s">
        <v>10</v>
      </c>
      <c r="Q438" t="s">
        <v>13</v>
      </c>
      <c r="R438" t="s">
        <v>15</v>
      </c>
      <c r="S438">
        <v>1</v>
      </c>
    </row>
    <row r="439" spans="1:19" x14ac:dyDescent="0.3">
      <c r="A439">
        <v>438</v>
      </c>
      <c r="B439">
        <v>18</v>
      </c>
      <c r="C439" t="s">
        <v>11</v>
      </c>
      <c r="D439">
        <v>33401</v>
      </c>
      <c r="E439" t="s">
        <v>4</v>
      </c>
      <c r="F439">
        <v>7.12</v>
      </c>
      <c r="G439">
        <v>76.3</v>
      </c>
      <c r="H439">
        <v>2</v>
      </c>
      <c r="I439">
        <v>33.200000000000003</v>
      </c>
      <c r="J439" t="s">
        <v>3</v>
      </c>
      <c r="K439" t="s">
        <v>4</v>
      </c>
      <c r="L439">
        <v>6.7</v>
      </c>
      <c r="M439">
        <v>0.64</v>
      </c>
      <c r="N439">
        <v>0.43</v>
      </c>
      <c r="O439">
        <v>0.43</v>
      </c>
      <c r="P439" t="s">
        <v>2</v>
      </c>
      <c r="Q439" t="s">
        <v>14</v>
      </c>
      <c r="R439" t="s">
        <v>9</v>
      </c>
      <c r="S439">
        <v>1</v>
      </c>
    </row>
    <row r="440" spans="1:19" x14ac:dyDescent="0.3">
      <c r="A440">
        <v>439</v>
      </c>
      <c r="B440">
        <v>17.3</v>
      </c>
      <c r="C440" t="s">
        <v>5</v>
      </c>
      <c r="D440">
        <v>25000</v>
      </c>
      <c r="E440" t="s">
        <v>4</v>
      </c>
      <c r="F440">
        <v>3.73</v>
      </c>
      <c r="G440">
        <v>51.5</v>
      </c>
      <c r="H440">
        <v>4</v>
      </c>
      <c r="I440">
        <v>20.6</v>
      </c>
      <c r="J440" t="s">
        <v>3</v>
      </c>
      <c r="K440" t="s">
        <v>4</v>
      </c>
      <c r="L440">
        <v>9.1999999999999993</v>
      </c>
      <c r="M440">
        <v>0.49</v>
      </c>
      <c r="N440">
        <v>0.74</v>
      </c>
      <c r="O440">
        <v>0.65</v>
      </c>
      <c r="P440" t="s">
        <v>7</v>
      </c>
      <c r="Q440" t="s">
        <v>1</v>
      </c>
      <c r="R440" t="s">
        <v>15</v>
      </c>
      <c r="S440">
        <v>1</v>
      </c>
    </row>
    <row r="441" spans="1:19" x14ac:dyDescent="0.3">
      <c r="A441">
        <v>440</v>
      </c>
      <c r="B441">
        <v>20.9</v>
      </c>
      <c r="C441" t="s">
        <v>11</v>
      </c>
      <c r="E441" t="s">
        <v>3</v>
      </c>
      <c r="G441">
        <v>63.3</v>
      </c>
      <c r="H441">
        <v>2</v>
      </c>
      <c r="I441">
        <v>8.9</v>
      </c>
      <c r="J441" t="s">
        <v>4</v>
      </c>
      <c r="K441" t="s">
        <v>3</v>
      </c>
      <c r="M441">
        <v>1.69</v>
      </c>
      <c r="N441">
        <v>1.74</v>
      </c>
      <c r="O441">
        <v>1.74</v>
      </c>
      <c r="P441" t="s">
        <v>12</v>
      </c>
      <c r="Q441" t="s">
        <v>1</v>
      </c>
      <c r="R441" t="s">
        <v>9</v>
      </c>
      <c r="S441">
        <v>1</v>
      </c>
    </row>
    <row r="442" spans="1:19" x14ac:dyDescent="0.3">
      <c r="A442">
        <v>441</v>
      </c>
      <c r="B442">
        <v>21.8</v>
      </c>
      <c r="C442" t="s">
        <v>11</v>
      </c>
      <c r="D442">
        <v>26970</v>
      </c>
      <c r="E442" t="s">
        <v>4</v>
      </c>
      <c r="F442">
        <v>4.92</v>
      </c>
      <c r="G442">
        <v>73.7</v>
      </c>
      <c r="H442">
        <v>2</v>
      </c>
      <c r="I442">
        <v>25.6</v>
      </c>
      <c r="J442" t="s">
        <v>3</v>
      </c>
      <c r="K442" t="s">
        <v>3</v>
      </c>
      <c r="L442">
        <v>7.3</v>
      </c>
      <c r="M442">
        <v>2.15</v>
      </c>
      <c r="N442">
        <v>1.88</v>
      </c>
      <c r="O442">
        <v>1.84</v>
      </c>
      <c r="P442" t="s">
        <v>12</v>
      </c>
      <c r="Q442" t="s">
        <v>13</v>
      </c>
      <c r="R442" t="s">
        <v>15</v>
      </c>
      <c r="S442">
        <v>1</v>
      </c>
    </row>
    <row r="443" spans="1:19" x14ac:dyDescent="0.3">
      <c r="A443">
        <v>442</v>
      </c>
      <c r="B443">
        <v>20.9</v>
      </c>
      <c r="C443" t="s">
        <v>5</v>
      </c>
      <c r="D443">
        <v>36357</v>
      </c>
      <c r="E443" t="s">
        <v>4</v>
      </c>
      <c r="F443">
        <v>3.58</v>
      </c>
      <c r="G443">
        <v>85.7</v>
      </c>
      <c r="H443">
        <v>1</v>
      </c>
      <c r="I443">
        <v>49.7</v>
      </c>
      <c r="J443" t="s">
        <v>3</v>
      </c>
      <c r="K443" t="s">
        <v>4</v>
      </c>
      <c r="L443">
        <v>7.5</v>
      </c>
      <c r="M443">
        <v>1.42</v>
      </c>
      <c r="N443">
        <v>1.66</v>
      </c>
      <c r="O443">
        <v>1.66</v>
      </c>
      <c r="P443" t="s">
        <v>2</v>
      </c>
      <c r="Q443" t="s">
        <v>14</v>
      </c>
      <c r="R443" t="s">
        <v>9</v>
      </c>
      <c r="S443">
        <v>1</v>
      </c>
    </row>
    <row r="444" spans="1:19" x14ac:dyDescent="0.3">
      <c r="A444">
        <v>443</v>
      </c>
      <c r="B444">
        <v>17</v>
      </c>
      <c r="C444" t="s">
        <v>5</v>
      </c>
      <c r="D444">
        <v>52379</v>
      </c>
      <c r="E444" t="s">
        <v>4</v>
      </c>
      <c r="F444">
        <v>4.6399999999999997</v>
      </c>
      <c r="G444">
        <v>87.9</v>
      </c>
      <c r="H444">
        <v>0</v>
      </c>
      <c r="I444">
        <v>41.7</v>
      </c>
      <c r="J444" t="s">
        <v>4</v>
      </c>
      <c r="K444" t="s">
        <v>4</v>
      </c>
      <c r="L444">
        <v>6.8</v>
      </c>
      <c r="M444">
        <v>1.37</v>
      </c>
      <c r="N444">
        <v>1.1100000000000001</v>
      </c>
      <c r="O444">
        <v>1.07</v>
      </c>
      <c r="P444" t="s">
        <v>12</v>
      </c>
      <c r="Q444" t="s">
        <v>6</v>
      </c>
      <c r="R444" t="s">
        <v>9</v>
      </c>
      <c r="S444">
        <v>1</v>
      </c>
    </row>
    <row r="445" spans="1:19" x14ac:dyDescent="0.3">
      <c r="A445">
        <v>444</v>
      </c>
      <c r="B445">
        <v>20.8</v>
      </c>
      <c r="C445" t="s">
        <v>11</v>
      </c>
      <c r="D445">
        <v>51779</v>
      </c>
      <c r="E445" t="s">
        <v>4</v>
      </c>
      <c r="F445">
        <v>5.47</v>
      </c>
      <c r="G445">
        <v>70.8</v>
      </c>
      <c r="H445">
        <v>2</v>
      </c>
      <c r="I445">
        <v>35.5</v>
      </c>
      <c r="J445" t="s">
        <v>4</v>
      </c>
      <c r="K445" t="s">
        <v>3</v>
      </c>
      <c r="L445">
        <v>6.3</v>
      </c>
      <c r="M445">
        <v>2.17</v>
      </c>
      <c r="N445">
        <v>1.96</v>
      </c>
      <c r="O445">
        <v>1.96</v>
      </c>
      <c r="P445" t="s">
        <v>2</v>
      </c>
      <c r="Q445" t="s">
        <v>13</v>
      </c>
      <c r="R445" t="s">
        <v>15</v>
      </c>
      <c r="S445">
        <v>0</v>
      </c>
    </row>
    <row r="446" spans="1:19" x14ac:dyDescent="0.3">
      <c r="A446">
        <v>445</v>
      </c>
      <c r="B446">
        <v>18.100000000000001</v>
      </c>
      <c r="C446" t="s">
        <v>5</v>
      </c>
      <c r="D446">
        <v>34200</v>
      </c>
      <c r="E446" t="s">
        <v>4</v>
      </c>
      <c r="F446">
        <v>5.0199999999999996</v>
      </c>
      <c r="G446">
        <v>80</v>
      </c>
      <c r="H446">
        <v>1</v>
      </c>
      <c r="I446">
        <v>32.9</v>
      </c>
      <c r="J446" t="s">
        <v>3</v>
      </c>
      <c r="K446" t="s">
        <v>3</v>
      </c>
      <c r="L446">
        <v>4.3</v>
      </c>
      <c r="M446">
        <v>4</v>
      </c>
      <c r="N446">
        <v>3.83</v>
      </c>
      <c r="O446">
        <v>3.83</v>
      </c>
      <c r="P446" t="s">
        <v>2</v>
      </c>
      <c r="Q446" t="s">
        <v>1</v>
      </c>
      <c r="R446" t="s">
        <v>15</v>
      </c>
      <c r="S446">
        <v>0</v>
      </c>
    </row>
    <row r="447" spans="1:19" x14ac:dyDescent="0.3">
      <c r="A447">
        <v>446</v>
      </c>
      <c r="B447">
        <v>22.5</v>
      </c>
      <c r="C447" t="s">
        <v>5</v>
      </c>
      <c r="D447">
        <v>26993</v>
      </c>
      <c r="E447" t="s">
        <v>4</v>
      </c>
      <c r="F447">
        <v>4.1500000000000004</v>
      </c>
      <c r="G447">
        <v>71.8</v>
      </c>
      <c r="H447">
        <v>0</v>
      </c>
      <c r="I447">
        <v>25.6</v>
      </c>
      <c r="J447" t="s">
        <v>3</v>
      </c>
      <c r="K447" t="s">
        <v>3</v>
      </c>
      <c r="L447">
        <v>4.3</v>
      </c>
      <c r="M447">
        <v>1.84</v>
      </c>
      <c r="N447">
        <v>1.32</v>
      </c>
      <c r="O447">
        <v>1.32</v>
      </c>
      <c r="P447" t="s">
        <v>7</v>
      </c>
      <c r="Q447" t="s">
        <v>14</v>
      </c>
      <c r="R447" t="s">
        <v>16</v>
      </c>
      <c r="S447">
        <v>0</v>
      </c>
    </row>
    <row r="448" spans="1:19" x14ac:dyDescent="0.3">
      <c r="A448">
        <v>447</v>
      </c>
      <c r="B448">
        <v>21.8</v>
      </c>
      <c r="C448" t="s">
        <v>11</v>
      </c>
      <c r="D448">
        <v>100149</v>
      </c>
      <c r="E448" t="s">
        <v>4</v>
      </c>
      <c r="F448">
        <v>0.5</v>
      </c>
      <c r="G448">
        <v>84.6</v>
      </c>
      <c r="H448">
        <v>1</v>
      </c>
      <c r="I448">
        <v>38.799999999999997</v>
      </c>
      <c r="J448" t="s">
        <v>3</v>
      </c>
      <c r="K448" t="s">
        <v>4</v>
      </c>
      <c r="L448">
        <v>6.3</v>
      </c>
      <c r="M448">
        <v>2.16</v>
      </c>
      <c r="N448">
        <v>2.14</v>
      </c>
      <c r="O448">
        <v>2.2000000000000002</v>
      </c>
      <c r="P448" t="s">
        <v>10</v>
      </c>
      <c r="Q448" t="s">
        <v>6</v>
      </c>
      <c r="R448" t="s">
        <v>17</v>
      </c>
      <c r="S448">
        <v>0</v>
      </c>
    </row>
    <row r="449" spans="1:19" x14ac:dyDescent="0.3">
      <c r="A449">
        <v>448</v>
      </c>
      <c r="B449">
        <v>18.899999999999999</v>
      </c>
      <c r="C449" t="s">
        <v>11</v>
      </c>
      <c r="D449">
        <v>28005</v>
      </c>
      <c r="E449" t="s">
        <v>4</v>
      </c>
      <c r="F449">
        <v>2.12</v>
      </c>
      <c r="G449">
        <v>76.5</v>
      </c>
      <c r="H449">
        <v>2</v>
      </c>
      <c r="I449">
        <v>36.799999999999997</v>
      </c>
      <c r="J449" t="s">
        <v>3</v>
      </c>
      <c r="K449" t="s">
        <v>3</v>
      </c>
      <c r="L449">
        <v>6.6</v>
      </c>
      <c r="M449">
        <v>1.36</v>
      </c>
      <c r="N449">
        <v>1.55</v>
      </c>
      <c r="O449">
        <v>1.51</v>
      </c>
      <c r="P449" t="s">
        <v>7</v>
      </c>
      <c r="Q449" t="s">
        <v>8</v>
      </c>
      <c r="R449" t="s">
        <v>15</v>
      </c>
      <c r="S449">
        <v>0</v>
      </c>
    </row>
    <row r="450" spans="1:19" x14ac:dyDescent="0.3">
      <c r="A450">
        <v>449</v>
      </c>
      <c r="B450">
        <v>19.899999999999999</v>
      </c>
      <c r="C450" t="s">
        <v>5</v>
      </c>
      <c r="D450">
        <v>25000</v>
      </c>
      <c r="E450" t="s">
        <v>4</v>
      </c>
      <c r="F450">
        <v>6.38</v>
      </c>
      <c r="G450">
        <v>77.7</v>
      </c>
      <c r="H450">
        <v>3</v>
      </c>
      <c r="I450">
        <v>29</v>
      </c>
      <c r="J450" t="s">
        <v>4</v>
      </c>
      <c r="K450" t="s">
        <v>3</v>
      </c>
      <c r="L450">
        <v>5.5</v>
      </c>
      <c r="M450">
        <v>2.4900000000000002</v>
      </c>
      <c r="N450">
        <v>2.44</v>
      </c>
      <c r="O450">
        <v>2.44</v>
      </c>
      <c r="P450" t="s">
        <v>7</v>
      </c>
      <c r="Q450" t="s">
        <v>13</v>
      </c>
      <c r="R450" t="s">
        <v>15</v>
      </c>
      <c r="S450">
        <v>1</v>
      </c>
    </row>
    <row r="451" spans="1:19" x14ac:dyDescent="0.3">
      <c r="A451">
        <v>450</v>
      </c>
      <c r="B451">
        <v>18.7</v>
      </c>
      <c r="C451" t="s">
        <v>11</v>
      </c>
      <c r="D451">
        <v>25000</v>
      </c>
      <c r="E451" t="s">
        <v>4</v>
      </c>
      <c r="F451">
        <v>2.76</v>
      </c>
      <c r="G451">
        <v>80.3</v>
      </c>
      <c r="H451">
        <v>0</v>
      </c>
      <c r="I451">
        <v>32.4</v>
      </c>
      <c r="J451" t="s">
        <v>4</v>
      </c>
      <c r="K451" t="s">
        <v>3</v>
      </c>
      <c r="L451">
        <v>4.5999999999999996</v>
      </c>
      <c r="M451">
        <v>3.87</v>
      </c>
      <c r="N451">
        <v>4</v>
      </c>
      <c r="O451">
        <v>4</v>
      </c>
      <c r="P451" t="s">
        <v>10</v>
      </c>
      <c r="Q451" t="s">
        <v>13</v>
      </c>
      <c r="R451" t="s">
        <v>9</v>
      </c>
      <c r="S451">
        <v>0</v>
      </c>
    </row>
    <row r="452" spans="1:19" x14ac:dyDescent="0.3">
      <c r="A452">
        <v>451</v>
      </c>
      <c r="B452">
        <v>20.9</v>
      </c>
      <c r="C452" t="s">
        <v>11</v>
      </c>
      <c r="D452">
        <v>25000</v>
      </c>
      <c r="E452" t="s">
        <v>4</v>
      </c>
      <c r="F452">
        <v>5.52</v>
      </c>
      <c r="G452">
        <v>84.3</v>
      </c>
      <c r="H452">
        <v>2</v>
      </c>
      <c r="I452">
        <v>10.7</v>
      </c>
      <c r="J452" t="s">
        <v>3</v>
      </c>
      <c r="K452" t="s">
        <v>4</v>
      </c>
      <c r="L452">
        <v>5.3</v>
      </c>
      <c r="M452">
        <v>3.44</v>
      </c>
      <c r="N452">
        <v>3.15</v>
      </c>
      <c r="O452">
        <v>3.15</v>
      </c>
      <c r="P452" t="s">
        <v>2</v>
      </c>
      <c r="Q452" t="s">
        <v>8</v>
      </c>
      <c r="R452" t="s">
        <v>15</v>
      </c>
      <c r="S452">
        <v>0</v>
      </c>
    </row>
    <row r="453" spans="1:19" x14ac:dyDescent="0.3">
      <c r="A453">
        <v>452</v>
      </c>
      <c r="B453">
        <v>23.1</v>
      </c>
      <c r="C453" t="s">
        <v>5</v>
      </c>
      <c r="D453">
        <v>48677</v>
      </c>
      <c r="E453" t="s">
        <v>4</v>
      </c>
      <c r="F453">
        <v>2.41</v>
      </c>
      <c r="G453">
        <v>82.4</v>
      </c>
      <c r="H453">
        <v>2</v>
      </c>
      <c r="I453">
        <v>24.2</v>
      </c>
      <c r="J453" t="s">
        <v>4</v>
      </c>
      <c r="K453" t="s">
        <v>4</v>
      </c>
      <c r="L453">
        <v>5.4</v>
      </c>
      <c r="M453">
        <v>3.44</v>
      </c>
      <c r="N453">
        <v>3.55</v>
      </c>
      <c r="O453">
        <v>3.6</v>
      </c>
      <c r="P453" t="s">
        <v>7</v>
      </c>
      <c r="Q453" t="s">
        <v>6</v>
      </c>
      <c r="R453" t="s">
        <v>0</v>
      </c>
      <c r="S453">
        <v>0</v>
      </c>
    </row>
    <row r="454" spans="1:19" x14ac:dyDescent="0.3">
      <c r="A454">
        <v>453</v>
      </c>
      <c r="B454">
        <v>18.8</v>
      </c>
      <c r="C454" t="s">
        <v>11</v>
      </c>
      <c r="D454">
        <v>25000</v>
      </c>
      <c r="E454" t="s">
        <v>4</v>
      </c>
      <c r="F454">
        <v>2.75</v>
      </c>
      <c r="G454">
        <v>85.1</v>
      </c>
      <c r="H454">
        <v>5</v>
      </c>
      <c r="I454">
        <v>15.7</v>
      </c>
      <c r="J454" t="s">
        <v>4</v>
      </c>
      <c r="K454" t="s">
        <v>4</v>
      </c>
      <c r="L454">
        <v>6</v>
      </c>
      <c r="M454">
        <v>3.35</v>
      </c>
      <c r="N454">
        <v>3.41</v>
      </c>
      <c r="O454">
        <v>3.33</v>
      </c>
      <c r="P454" t="s">
        <v>7</v>
      </c>
      <c r="Q454" t="s">
        <v>8</v>
      </c>
      <c r="R454" t="s">
        <v>9</v>
      </c>
      <c r="S454">
        <v>0</v>
      </c>
    </row>
    <row r="455" spans="1:19" x14ac:dyDescent="0.3">
      <c r="A455">
        <v>454</v>
      </c>
      <c r="B455">
        <v>22.1</v>
      </c>
      <c r="C455" t="s">
        <v>5</v>
      </c>
      <c r="D455">
        <v>29631</v>
      </c>
      <c r="E455" t="s">
        <v>4</v>
      </c>
      <c r="F455">
        <v>4.88</v>
      </c>
      <c r="G455">
        <v>87.8</v>
      </c>
      <c r="H455">
        <v>2</v>
      </c>
      <c r="I455">
        <v>15.5</v>
      </c>
      <c r="J455" t="s">
        <v>3</v>
      </c>
      <c r="K455" t="s">
        <v>3</v>
      </c>
      <c r="L455">
        <v>5.0999999999999996</v>
      </c>
      <c r="M455">
        <v>2.58</v>
      </c>
      <c r="N455">
        <v>1.95</v>
      </c>
      <c r="O455">
        <v>1.93</v>
      </c>
      <c r="P455" t="s">
        <v>12</v>
      </c>
      <c r="Q455" t="s">
        <v>6</v>
      </c>
      <c r="R455" t="s">
        <v>16</v>
      </c>
      <c r="S455">
        <v>0</v>
      </c>
    </row>
    <row r="456" spans="1:19" x14ac:dyDescent="0.3">
      <c r="A456">
        <v>455</v>
      </c>
      <c r="B456">
        <v>19.8</v>
      </c>
      <c r="C456" t="s">
        <v>5</v>
      </c>
      <c r="D456">
        <v>26294</v>
      </c>
      <c r="E456" t="s">
        <v>4</v>
      </c>
      <c r="F456">
        <v>6.02</v>
      </c>
      <c r="G456">
        <v>80.900000000000006</v>
      </c>
      <c r="H456">
        <v>0</v>
      </c>
      <c r="I456">
        <v>35.6</v>
      </c>
      <c r="J456" t="s">
        <v>3</v>
      </c>
      <c r="K456" t="s">
        <v>3</v>
      </c>
      <c r="L456">
        <v>7.6</v>
      </c>
      <c r="M456">
        <v>2.1</v>
      </c>
      <c r="N456">
        <v>1.93</v>
      </c>
      <c r="O456">
        <v>1.9</v>
      </c>
      <c r="P456" t="s">
        <v>12</v>
      </c>
      <c r="Q456" t="s">
        <v>6</v>
      </c>
      <c r="R456" t="s">
        <v>17</v>
      </c>
      <c r="S456">
        <v>0</v>
      </c>
    </row>
    <row r="457" spans="1:19" x14ac:dyDescent="0.3">
      <c r="A457">
        <v>456</v>
      </c>
      <c r="B457">
        <v>19.3</v>
      </c>
      <c r="C457" t="s">
        <v>11</v>
      </c>
      <c r="D457">
        <v>114003</v>
      </c>
      <c r="E457" t="s">
        <v>4</v>
      </c>
      <c r="F457">
        <v>4.8499999999999996</v>
      </c>
      <c r="G457">
        <v>73.7</v>
      </c>
      <c r="H457">
        <v>3</v>
      </c>
      <c r="I457">
        <v>14.8</v>
      </c>
      <c r="J457" t="s">
        <v>3</v>
      </c>
      <c r="K457" t="s">
        <v>3</v>
      </c>
      <c r="L457">
        <v>5.3</v>
      </c>
      <c r="M457">
        <v>3.8</v>
      </c>
      <c r="N457">
        <v>3.71</v>
      </c>
      <c r="O457">
        <v>3.71</v>
      </c>
      <c r="P457" t="s">
        <v>2</v>
      </c>
      <c r="Q457" t="s">
        <v>8</v>
      </c>
      <c r="R457" t="s">
        <v>9</v>
      </c>
      <c r="S457">
        <v>0</v>
      </c>
    </row>
    <row r="458" spans="1:19" x14ac:dyDescent="0.3">
      <c r="A458">
        <v>457</v>
      </c>
      <c r="B458">
        <v>20.8</v>
      </c>
      <c r="C458" t="s">
        <v>5</v>
      </c>
      <c r="D458">
        <v>25000</v>
      </c>
      <c r="E458" t="s">
        <v>4</v>
      </c>
      <c r="F458">
        <v>4.46</v>
      </c>
      <c r="G458">
        <v>69.2</v>
      </c>
      <c r="H458">
        <v>3</v>
      </c>
      <c r="I458">
        <v>39.200000000000003</v>
      </c>
      <c r="J458" t="s">
        <v>3</v>
      </c>
      <c r="K458" t="s">
        <v>4</v>
      </c>
      <c r="L458">
        <v>4.3</v>
      </c>
      <c r="M458">
        <v>3.66</v>
      </c>
      <c r="N458">
        <v>3.43</v>
      </c>
      <c r="O458">
        <v>3.35</v>
      </c>
      <c r="P458" t="s">
        <v>12</v>
      </c>
      <c r="Q458" t="s">
        <v>1</v>
      </c>
      <c r="R458" t="s">
        <v>15</v>
      </c>
      <c r="S458">
        <v>0</v>
      </c>
    </row>
    <row r="459" spans="1:19" x14ac:dyDescent="0.3">
      <c r="A459">
        <v>458</v>
      </c>
      <c r="B459">
        <v>18.7</v>
      </c>
      <c r="C459" t="s">
        <v>5</v>
      </c>
      <c r="D459">
        <v>25000</v>
      </c>
      <c r="E459" t="s">
        <v>4</v>
      </c>
      <c r="F459">
        <v>2.23</v>
      </c>
      <c r="G459">
        <v>75.900000000000006</v>
      </c>
      <c r="H459">
        <v>0</v>
      </c>
      <c r="I459">
        <v>42.4</v>
      </c>
      <c r="J459" t="s">
        <v>3</v>
      </c>
      <c r="K459" t="s">
        <v>3</v>
      </c>
      <c r="L459">
        <v>5.4</v>
      </c>
      <c r="M459">
        <v>2.25</v>
      </c>
      <c r="N459">
        <v>1.86</v>
      </c>
      <c r="O459">
        <v>1.9</v>
      </c>
      <c r="P459" t="s">
        <v>12</v>
      </c>
      <c r="Q459" t="s">
        <v>14</v>
      </c>
      <c r="R459" t="s">
        <v>9</v>
      </c>
      <c r="S459">
        <v>0</v>
      </c>
    </row>
    <row r="460" spans="1:19" x14ac:dyDescent="0.3">
      <c r="A460">
        <v>459</v>
      </c>
      <c r="B460">
        <v>19.8</v>
      </c>
      <c r="C460" t="s">
        <v>5</v>
      </c>
      <c r="D460">
        <v>27401</v>
      </c>
      <c r="E460" t="s">
        <v>4</v>
      </c>
      <c r="F460">
        <v>1.23</v>
      </c>
      <c r="G460">
        <v>83.8</v>
      </c>
      <c r="H460">
        <v>0</v>
      </c>
      <c r="I460">
        <v>29.3</v>
      </c>
      <c r="J460" t="s">
        <v>4</v>
      </c>
      <c r="K460" t="s">
        <v>4</v>
      </c>
      <c r="L460">
        <v>3.5</v>
      </c>
      <c r="M460">
        <v>2.52</v>
      </c>
      <c r="N460">
        <v>2.74</v>
      </c>
      <c r="O460">
        <v>2.74</v>
      </c>
      <c r="P460" t="s">
        <v>2</v>
      </c>
      <c r="Q460" t="s">
        <v>1</v>
      </c>
      <c r="R460" t="s">
        <v>15</v>
      </c>
      <c r="S460">
        <v>0</v>
      </c>
    </row>
    <row r="461" spans="1:19" x14ac:dyDescent="0.3">
      <c r="A461">
        <v>460</v>
      </c>
      <c r="B461">
        <v>18.399999999999999</v>
      </c>
      <c r="C461" t="s">
        <v>11</v>
      </c>
      <c r="D461">
        <v>26410</v>
      </c>
      <c r="E461" t="s">
        <v>4</v>
      </c>
      <c r="F461">
        <v>3.44</v>
      </c>
      <c r="G461">
        <v>70.900000000000006</v>
      </c>
      <c r="H461">
        <v>3</v>
      </c>
      <c r="I461">
        <v>22.7</v>
      </c>
      <c r="J461" t="s">
        <v>3</v>
      </c>
      <c r="K461" t="s">
        <v>3</v>
      </c>
      <c r="L461">
        <v>9.1</v>
      </c>
      <c r="M461">
        <v>2.5299999999999998</v>
      </c>
      <c r="N461">
        <v>2.56</v>
      </c>
      <c r="O461">
        <v>2.5</v>
      </c>
      <c r="P461" t="s">
        <v>7</v>
      </c>
      <c r="Q461" t="s">
        <v>1</v>
      </c>
      <c r="R461" t="s">
        <v>15</v>
      </c>
      <c r="S461">
        <v>0</v>
      </c>
    </row>
    <row r="462" spans="1:19" x14ac:dyDescent="0.3">
      <c r="A462">
        <v>461</v>
      </c>
      <c r="B462">
        <v>25.3</v>
      </c>
      <c r="C462" t="s">
        <v>11</v>
      </c>
      <c r="D462">
        <v>25000</v>
      </c>
      <c r="E462" t="s">
        <v>4</v>
      </c>
      <c r="F462">
        <v>4.2</v>
      </c>
      <c r="G462">
        <v>90.6</v>
      </c>
      <c r="H462">
        <v>2</v>
      </c>
      <c r="I462">
        <v>42.4</v>
      </c>
      <c r="J462" t="s">
        <v>3</v>
      </c>
      <c r="K462" t="s">
        <v>3</v>
      </c>
      <c r="L462">
        <v>6.7</v>
      </c>
      <c r="M462">
        <v>0.86</v>
      </c>
      <c r="N462">
        <v>1.05</v>
      </c>
      <c r="O462">
        <v>1.06</v>
      </c>
      <c r="P462" t="s">
        <v>10</v>
      </c>
      <c r="Q462" t="s">
        <v>13</v>
      </c>
      <c r="R462" t="s">
        <v>15</v>
      </c>
      <c r="S462">
        <v>1</v>
      </c>
    </row>
    <row r="463" spans="1:19" x14ac:dyDescent="0.3">
      <c r="A463">
        <v>462</v>
      </c>
      <c r="B463">
        <v>21.1</v>
      </c>
      <c r="C463" t="s">
        <v>5</v>
      </c>
      <c r="D463">
        <v>28322</v>
      </c>
      <c r="E463" t="s">
        <v>4</v>
      </c>
      <c r="F463">
        <v>3.93</v>
      </c>
      <c r="G463">
        <v>73.599999999999994</v>
      </c>
      <c r="H463">
        <v>5</v>
      </c>
      <c r="I463">
        <v>36.6</v>
      </c>
      <c r="J463" t="s">
        <v>4</v>
      </c>
      <c r="K463" t="s">
        <v>3</v>
      </c>
      <c r="L463">
        <v>5.5</v>
      </c>
      <c r="M463">
        <v>0.4</v>
      </c>
      <c r="N463">
        <v>0.38</v>
      </c>
      <c r="O463">
        <v>0.38</v>
      </c>
      <c r="P463" t="s">
        <v>2</v>
      </c>
      <c r="Q463" t="s">
        <v>1</v>
      </c>
      <c r="R463" t="s">
        <v>15</v>
      </c>
      <c r="S463">
        <v>1</v>
      </c>
    </row>
    <row r="464" spans="1:19" x14ac:dyDescent="0.3">
      <c r="A464">
        <v>463</v>
      </c>
      <c r="B464">
        <v>19.5</v>
      </c>
      <c r="C464" t="s">
        <v>11</v>
      </c>
      <c r="D464">
        <v>25000</v>
      </c>
      <c r="E464" t="s">
        <v>4</v>
      </c>
      <c r="F464">
        <v>6.87</v>
      </c>
      <c r="G464">
        <v>81.099999999999994</v>
      </c>
      <c r="H464">
        <v>3</v>
      </c>
      <c r="I464">
        <v>44.3</v>
      </c>
      <c r="J464" t="s">
        <v>3</v>
      </c>
      <c r="K464" t="s">
        <v>3</v>
      </c>
      <c r="L464">
        <v>8</v>
      </c>
      <c r="M464">
        <v>2.41</v>
      </c>
      <c r="N464">
        <v>1.98</v>
      </c>
      <c r="O464">
        <v>2.0099999999999998</v>
      </c>
      <c r="P464" t="s">
        <v>7</v>
      </c>
      <c r="Q464" t="s">
        <v>1</v>
      </c>
      <c r="R464" t="s">
        <v>9</v>
      </c>
      <c r="S464">
        <v>0</v>
      </c>
    </row>
    <row r="465" spans="1:19" x14ac:dyDescent="0.3">
      <c r="A465">
        <v>464</v>
      </c>
      <c r="B465">
        <v>21.5</v>
      </c>
      <c r="C465" t="s">
        <v>5</v>
      </c>
      <c r="D465">
        <v>36839</v>
      </c>
      <c r="E465" t="s">
        <v>4</v>
      </c>
      <c r="F465">
        <v>2</v>
      </c>
      <c r="G465">
        <v>93.8</v>
      </c>
      <c r="H465">
        <v>4</v>
      </c>
      <c r="I465">
        <v>17</v>
      </c>
      <c r="J465" t="s">
        <v>3</v>
      </c>
      <c r="K465" t="s">
        <v>4</v>
      </c>
      <c r="L465">
        <v>5.0999999999999996</v>
      </c>
      <c r="M465">
        <v>3.12</v>
      </c>
      <c r="N465">
        <v>2.79</v>
      </c>
      <c r="O465">
        <v>2.8</v>
      </c>
      <c r="P465" t="s">
        <v>10</v>
      </c>
      <c r="Q465" t="s">
        <v>6</v>
      </c>
      <c r="R465" t="s">
        <v>9</v>
      </c>
      <c r="S465">
        <v>0</v>
      </c>
    </row>
    <row r="466" spans="1:19" x14ac:dyDescent="0.3">
      <c r="A466">
        <v>465</v>
      </c>
      <c r="B466">
        <v>20.8</v>
      </c>
      <c r="C466" t="s">
        <v>11</v>
      </c>
      <c r="D466">
        <v>25000</v>
      </c>
      <c r="E466" t="s">
        <v>4</v>
      </c>
      <c r="F466">
        <v>3.6</v>
      </c>
      <c r="G466">
        <v>80.5</v>
      </c>
      <c r="H466">
        <v>3</v>
      </c>
      <c r="I466">
        <v>26.9</v>
      </c>
      <c r="J466" t="s">
        <v>3</v>
      </c>
      <c r="K466" t="s">
        <v>3</v>
      </c>
      <c r="L466">
        <v>5.4</v>
      </c>
      <c r="M466">
        <v>1.39</v>
      </c>
      <c r="N466">
        <v>1.76</v>
      </c>
      <c r="O466">
        <v>1.74</v>
      </c>
      <c r="P466" t="s">
        <v>10</v>
      </c>
      <c r="Q466" t="s">
        <v>1</v>
      </c>
      <c r="R466" t="s">
        <v>15</v>
      </c>
      <c r="S466">
        <v>0</v>
      </c>
    </row>
    <row r="467" spans="1:19" x14ac:dyDescent="0.3">
      <c r="A467">
        <v>466</v>
      </c>
      <c r="B467">
        <v>20.5</v>
      </c>
      <c r="C467" t="s">
        <v>5</v>
      </c>
      <c r="D467">
        <v>29276</v>
      </c>
      <c r="E467" t="s">
        <v>4</v>
      </c>
      <c r="F467">
        <v>6.17</v>
      </c>
      <c r="G467">
        <v>73.3</v>
      </c>
      <c r="H467">
        <v>1</v>
      </c>
      <c r="I467">
        <v>27.4</v>
      </c>
      <c r="J467" t="s">
        <v>3</v>
      </c>
      <c r="K467" t="s">
        <v>4</v>
      </c>
      <c r="L467">
        <v>4.2</v>
      </c>
      <c r="M467">
        <v>2.19</v>
      </c>
      <c r="N467">
        <v>1.92</v>
      </c>
      <c r="O467">
        <v>1.95</v>
      </c>
      <c r="P467" t="s">
        <v>10</v>
      </c>
      <c r="Q467" t="s">
        <v>1</v>
      </c>
      <c r="R467" t="s">
        <v>9</v>
      </c>
      <c r="S467">
        <v>0</v>
      </c>
    </row>
    <row r="468" spans="1:19" x14ac:dyDescent="0.3">
      <c r="A468">
        <v>467</v>
      </c>
      <c r="B468">
        <v>22.4</v>
      </c>
      <c r="C468" t="s">
        <v>11</v>
      </c>
      <c r="D468">
        <v>25000</v>
      </c>
      <c r="E468" t="s">
        <v>4</v>
      </c>
      <c r="F468">
        <v>4.8499999999999996</v>
      </c>
      <c r="G468">
        <v>61.9</v>
      </c>
      <c r="H468">
        <v>4</v>
      </c>
      <c r="I468">
        <v>32.5</v>
      </c>
      <c r="J468" t="s">
        <v>3</v>
      </c>
      <c r="K468" t="s">
        <v>3</v>
      </c>
      <c r="L468">
        <v>3.8</v>
      </c>
      <c r="M468">
        <v>1.79</v>
      </c>
      <c r="N468">
        <v>1.92</v>
      </c>
      <c r="O468">
        <v>1.91</v>
      </c>
      <c r="P468" t="s">
        <v>10</v>
      </c>
      <c r="Q468" t="s">
        <v>14</v>
      </c>
      <c r="R468" t="s">
        <v>15</v>
      </c>
      <c r="S468">
        <v>0</v>
      </c>
    </row>
    <row r="469" spans="1:19" x14ac:dyDescent="0.3">
      <c r="A469">
        <v>468</v>
      </c>
      <c r="B469">
        <v>22.7</v>
      </c>
      <c r="C469" t="s">
        <v>11</v>
      </c>
      <c r="D469">
        <v>54708</v>
      </c>
      <c r="E469" t="s">
        <v>4</v>
      </c>
      <c r="F469">
        <v>2.58</v>
      </c>
      <c r="G469">
        <v>85.2</v>
      </c>
      <c r="H469">
        <v>3</v>
      </c>
      <c r="I469">
        <v>37.5</v>
      </c>
      <c r="J469" t="s">
        <v>3</v>
      </c>
      <c r="K469" t="s">
        <v>3</v>
      </c>
      <c r="L469">
        <v>5.9</v>
      </c>
      <c r="M469">
        <v>4</v>
      </c>
      <c r="N469">
        <v>4</v>
      </c>
      <c r="O469">
        <v>3.99</v>
      </c>
      <c r="P469" t="s">
        <v>12</v>
      </c>
      <c r="Q469" t="s">
        <v>14</v>
      </c>
      <c r="R469" t="s">
        <v>17</v>
      </c>
      <c r="S469">
        <v>0</v>
      </c>
    </row>
    <row r="470" spans="1:19" x14ac:dyDescent="0.3">
      <c r="A470">
        <v>469</v>
      </c>
      <c r="B470">
        <v>19.8</v>
      </c>
      <c r="C470" t="s">
        <v>11</v>
      </c>
      <c r="D470">
        <v>85237</v>
      </c>
      <c r="E470" t="s">
        <v>4</v>
      </c>
      <c r="F470">
        <v>1.1200000000000001</v>
      </c>
      <c r="G470">
        <v>84.5</v>
      </c>
      <c r="H470">
        <v>1</v>
      </c>
      <c r="I470">
        <v>31.7</v>
      </c>
      <c r="J470" t="s">
        <v>3</v>
      </c>
      <c r="K470" t="s">
        <v>4</v>
      </c>
      <c r="L470">
        <v>7.4</v>
      </c>
      <c r="M470">
        <v>2.77</v>
      </c>
      <c r="N470">
        <v>2.63</v>
      </c>
      <c r="O470">
        <v>2.61</v>
      </c>
      <c r="P470" t="s">
        <v>12</v>
      </c>
      <c r="Q470" t="s">
        <v>13</v>
      </c>
      <c r="R470" t="s">
        <v>9</v>
      </c>
      <c r="S470">
        <v>0</v>
      </c>
    </row>
    <row r="471" spans="1:19" x14ac:dyDescent="0.3">
      <c r="A471">
        <v>470</v>
      </c>
      <c r="B471">
        <v>19.7</v>
      </c>
      <c r="C471" t="s">
        <v>5</v>
      </c>
      <c r="D471">
        <v>25000</v>
      </c>
      <c r="E471" t="s">
        <v>3</v>
      </c>
      <c r="F471">
        <v>3.49</v>
      </c>
      <c r="G471">
        <v>86.6</v>
      </c>
      <c r="H471">
        <v>3</v>
      </c>
      <c r="I471">
        <v>46</v>
      </c>
      <c r="J471" t="s">
        <v>3</v>
      </c>
      <c r="K471" t="s">
        <v>3</v>
      </c>
      <c r="L471">
        <v>3.9</v>
      </c>
      <c r="M471">
        <v>2.02</v>
      </c>
      <c r="N471">
        <v>2.2999999999999998</v>
      </c>
      <c r="O471">
        <v>2.38</v>
      </c>
      <c r="P471" t="s">
        <v>7</v>
      </c>
      <c r="Q471" t="s">
        <v>8</v>
      </c>
      <c r="R471" t="s">
        <v>9</v>
      </c>
      <c r="S471">
        <v>0</v>
      </c>
    </row>
    <row r="472" spans="1:19" x14ac:dyDescent="0.3">
      <c r="A472">
        <v>471</v>
      </c>
      <c r="B472">
        <v>20.399999999999999</v>
      </c>
      <c r="C472" t="s">
        <v>11</v>
      </c>
      <c r="D472">
        <v>68489</v>
      </c>
      <c r="E472" t="s">
        <v>4</v>
      </c>
      <c r="F472">
        <v>2.68</v>
      </c>
      <c r="G472">
        <v>82.9</v>
      </c>
      <c r="H472">
        <v>0</v>
      </c>
      <c r="I472">
        <v>25.5</v>
      </c>
      <c r="J472" t="s">
        <v>3</v>
      </c>
      <c r="K472" t="s">
        <v>4</v>
      </c>
      <c r="L472">
        <v>5.0999999999999996</v>
      </c>
      <c r="M472">
        <v>3.04</v>
      </c>
      <c r="N472">
        <v>2.84</v>
      </c>
      <c r="O472">
        <v>2.81</v>
      </c>
      <c r="P472" t="s">
        <v>12</v>
      </c>
      <c r="Q472" t="s">
        <v>8</v>
      </c>
      <c r="R472" t="s">
        <v>15</v>
      </c>
      <c r="S472">
        <v>0</v>
      </c>
    </row>
    <row r="473" spans="1:19" x14ac:dyDescent="0.3">
      <c r="A473">
        <v>472</v>
      </c>
      <c r="B473">
        <v>17</v>
      </c>
      <c r="C473" t="s">
        <v>5</v>
      </c>
      <c r="D473">
        <v>25000</v>
      </c>
      <c r="E473" t="s">
        <v>4</v>
      </c>
      <c r="F473">
        <v>3.42</v>
      </c>
      <c r="G473">
        <v>77.7</v>
      </c>
      <c r="H473">
        <v>0</v>
      </c>
      <c r="I473">
        <v>17.399999999999999</v>
      </c>
      <c r="J473" t="s">
        <v>3</v>
      </c>
      <c r="K473" t="s">
        <v>4</v>
      </c>
      <c r="L473">
        <v>5.0999999999999996</v>
      </c>
      <c r="M473">
        <v>2.04</v>
      </c>
      <c r="N473">
        <v>2.08</v>
      </c>
      <c r="O473">
        <v>2.1</v>
      </c>
      <c r="P473" t="s">
        <v>12</v>
      </c>
      <c r="Q473" t="s">
        <v>6</v>
      </c>
      <c r="R473" t="s">
        <v>0</v>
      </c>
      <c r="S473">
        <v>0</v>
      </c>
    </row>
    <row r="474" spans="1:19" x14ac:dyDescent="0.3">
      <c r="A474">
        <v>473</v>
      </c>
      <c r="B474">
        <v>17.7</v>
      </c>
      <c r="C474" t="s">
        <v>11</v>
      </c>
      <c r="D474">
        <v>25000</v>
      </c>
      <c r="E474" t="s">
        <v>4</v>
      </c>
      <c r="F474">
        <v>6.97</v>
      </c>
      <c r="G474">
        <v>75.7</v>
      </c>
      <c r="H474">
        <v>0</v>
      </c>
      <c r="I474">
        <v>22</v>
      </c>
      <c r="J474" t="s">
        <v>3</v>
      </c>
      <c r="K474" t="s">
        <v>3</v>
      </c>
      <c r="L474">
        <v>6.9</v>
      </c>
      <c r="M474">
        <v>2.74</v>
      </c>
      <c r="N474">
        <v>2.67</v>
      </c>
      <c r="O474">
        <v>2.64</v>
      </c>
      <c r="P474" t="s">
        <v>12</v>
      </c>
      <c r="Q474" t="s">
        <v>6</v>
      </c>
      <c r="R474" t="s">
        <v>17</v>
      </c>
      <c r="S474">
        <v>0</v>
      </c>
    </row>
    <row r="475" spans="1:19" x14ac:dyDescent="0.3">
      <c r="A475">
        <v>474</v>
      </c>
      <c r="B475">
        <v>24</v>
      </c>
      <c r="C475" t="s">
        <v>5</v>
      </c>
      <c r="D475">
        <v>84757</v>
      </c>
      <c r="E475" t="s">
        <v>4</v>
      </c>
      <c r="F475">
        <v>2.68</v>
      </c>
      <c r="G475">
        <v>82.3</v>
      </c>
      <c r="H475">
        <v>1</v>
      </c>
      <c r="I475">
        <v>20.5</v>
      </c>
      <c r="J475" t="s">
        <v>3</v>
      </c>
      <c r="K475" t="s">
        <v>3</v>
      </c>
      <c r="L475">
        <v>4.7</v>
      </c>
      <c r="M475">
        <v>1.95</v>
      </c>
      <c r="N475">
        <v>2.0499999999999998</v>
      </c>
      <c r="O475">
        <v>2.09</v>
      </c>
      <c r="P475" t="s">
        <v>10</v>
      </c>
      <c r="Q475" t="s">
        <v>8</v>
      </c>
      <c r="R475" t="s">
        <v>9</v>
      </c>
      <c r="S475">
        <v>0</v>
      </c>
    </row>
    <row r="476" spans="1:19" x14ac:dyDescent="0.3">
      <c r="A476">
        <v>475</v>
      </c>
      <c r="B476">
        <v>24.6</v>
      </c>
      <c r="C476" t="s">
        <v>5</v>
      </c>
      <c r="D476">
        <v>40638</v>
      </c>
      <c r="E476" t="s">
        <v>4</v>
      </c>
      <c r="F476">
        <v>3.16</v>
      </c>
      <c r="G476">
        <v>89.9</v>
      </c>
      <c r="H476">
        <v>1</v>
      </c>
      <c r="I476">
        <v>24.5</v>
      </c>
      <c r="J476" t="s">
        <v>4</v>
      </c>
      <c r="K476" t="s">
        <v>3</v>
      </c>
      <c r="L476">
        <v>6.9</v>
      </c>
      <c r="M476">
        <v>3.46</v>
      </c>
      <c r="N476">
        <v>3.69</v>
      </c>
      <c r="O476">
        <v>3.76</v>
      </c>
      <c r="P476" t="s">
        <v>10</v>
      </c>
      <c r="Q476" t="s">
        <v>6</v>
      </c>
      <c r="R476" t="s">
        <v>0</v>
      </c>
      <c r="S476">
        <v>0</v>
      </c>
    </row>
    <row r="477" spans="1:19" x14ac:dyDescent="0.3">
      <c r="A477">
        <v>476</v>
      </c>
      <c r="B477">
        <v>20.5</v>
      </c>
      <c r="C477" t="s">
        <v>5</v>
      </c>
      <c r="D477">
        <v>29812</v>
      </c>
      <c r="E477" t="s">
        <v>4</v>
      </c>
      <c r="F477">
        <v>5.19</v>
      </c>
      <c r="G477">
        <v>58.3</v>
      </c>
      <c r="H477">
        <v>4</v>
      </c>
      <c r="I477">
        <v>26.8</v>
      </c>
      <c r="J477" t="s">
        <v>3</v>
      </c>
      <c r="K477" t="s">
        <v>3</v>
      </c>
      <c r="L477">
        <v>6.8</v>
      </c>
      <c r="M477">
        <v>0</v>
      </c>
      <c r="N477">
        <v>0</v>
      </c>
      <c r="O477">
        <v>0.01</v>
      </c>
      <c r="P477" t="s">
        <v>7</v>
      </c>
      <c r="Q477" t="s">
        <v>14</v>
      </c>
      <c r="R477" t="s">
        <v>0</v>
      </c>
      <c r="S477">
        <v>1</v>
      </c>
    </row>
    <row r="478" spans="1:19" x14ac:dyDescent="0.3">
      <c r="A478">
        <v>477</v>
      </c>
      <c r="B478">
        <v>22.3</v>
      </c>
      <c r="C478" t="s">
        <v>5</v>
      </c>
      <c r="D478">
        <v>44905</v>
      </c>
      <c r="E478" t="s">
        <v>4</v>
      </c>
      <c r="F478">
        <v>4.38</v>
      </c>
      <c r="G478">
        <v>89.5</v>
      </c>
      <c r="H478">
        <v>1</v>
      </c>
      <c r="I478">
        <v>27.3</v>
      </c>
      <c r="J478" t="s">
        <v>4</v>
      </c>
      <c r="K478" t="s">
        <v>3</v>
      </c>
      <c r="L478">
        <v>4.3</v>
      </c>
      <c r="M478">
        <v>2.4500000000000002</v>
      </c>
      <c r="N478">
        <v>2.4500000000000002</v>
      </c>
      <c r="O478">
        <v>2.3199999999999998</v>
      </c>
      <c r="P478" t="s">
        <v>10</v>
      </c>
      <c r="Q478" t="s">
        <v>6</v>
      </c>
      <c r="R478" t="s">
        <v>15</v>
      </c>
      <c r="S478">
        <v>1</v>
      </c>
    </row>
    <row r="479" spans="1:19" x14ac:dyDescent="0.3">
      <c r="A479">
        <v>478</v>
      </c>
      <c r="B479">
        <v>21.7</v>
      </c>
      <c r="C479" t="s">
        <v>11</v>
      </c>
      <c r="D479">
        <v>35050</v>
      </c>
      <c r="E479" t="s">
        <v>4</v>
      </c>
      <c r="F479">
        <v>5.95</v>
      </c>
      <c r="G479">
        <v>79.7</v>
      </c>
      <c r="H479">
        <v>1</v>
      </c>
      <c r="I479">
        <v>32.799999999999997</v>
      </c>
      <c r="J479" t="s">
        <v>3</v>
      </c>
      <c r="K479" t="s">
        <v>3</v>
      </c>
      <c r="L479">
        <v>5</v>
      </c>
      <c r="M479">
        <v>3.85</v>
      </c>
      <c r="N479">
        <v>3.6</v>
      </c>
      <c r="O479">
        <v>3.6</v>
      </c>
      <c r="P479" t="s">
        <v>2</v>
      </c>
      <c r="Q479" t="s">
        <v>13</v>
      </c>
      <c r="R479" t="s">
        <v>17</v>
      </c>
      <c r="S479">
        <v>0</v>
      </c>
    </row>
    <row r="480" spans="1:19" x14ac:dyDescent="0.3">
      <c r="A480">
        <v>479</v>
      </c>
      <c r="B480">
        <v>27.8</v>
      </c>
      <c r="C480" t="s">
        <v>11</v>
      </c>
      <c r="D480">
        <v>28523</v>
      </c>
      <c r="E480" t="s">
        <v>4</v>
      </c>
      <c r="F480">
        <v>5.0599999999999996</v>
      </c>
      <c r="G480">
        <v>80.7</v>
      </c>
      <c r="H480">
        <v>2</v>
      </c>
      <c r="I480">
        <v>24.5</v>
      </c>
      <c r="J480" t="s">
        <v>4</v>
      </c>
      <c r="K480" t="s">
        <v>4</v>
      </c>
      <c r="L480">
        <v>5.6</v>
      </c>
      <c r="M480">
        <v>2.9</v>
      </c>
      <c r="N480">
        <v>3.3</v>
      </c>
      <c r="O480">
        <v>3.32</v>
      </c>
      <c r="P480" t="s">
        <v>12</v>
      </c>
      <c r="Q480" t="s">
        <v>6</v>
      </c>
      <c r="R480" t="s">
        <v>15</v>
      </c>
      <c r="S480">
        <v>0</v>
      </c>
    </row>
    <row r="481" spans="1:19" x14ac:dyDescent="0.3">
      <c r="A481">
        <v>480</v>
      </c>
      <c r="B481">
        <v>23.5</v>
      </c>
      <c r="C481" t="s">
        <v>11</v>
      </c>
      <c r="D481">
        <v>25000</v>
      </c>
      <c r="E481" t="s">
        <v>4</v>
      </c>
      <c r="F481">
        <v>3.1</v>
      </c>
      <c r="G481">
        <v>87.6</v>
      </c>
      <c r="H481">
        <v>1</v>
      </c>
      <c r="I481">
        <v>42.6</v>
      </c>
      <c r="J481" t="s">
        <v>3</v>
      </c>
      <c r="K481" t="s">
        <v>3</v>
      </c>
      <c r="L481">
        <v>4.7</v>
      </c>
      <c r="M481">
        <v>2.19</v>
      </c>
      <c r="N481">
        <v>1.86</v>
      </c>
      <c r="O481">
        <v>1.91</v>
      </c>
      <c r="P481" t="s">
        <v>12</v>
      </c>
      <c r="Q481" t="s">
        <v>6</v>
      </c>
      <c r="R481" t="s">
        <v>15</v>
      </c>
      <c r="S481">
        <v>0</v>
      </c>
    </row>
    <row r="482" spans="1:19" x14ac:dyDescent="0.3">
      <c r="A482">
        <v>481</v>
      </c>
      <c r="B482">
        <v>20.7</v>
      </c>
      <c r="C482" t="s">
        <v>11</v>
      </c>
      <c r="D482">
        <v>25278</v>
      </c>
      <c r="E482" t="s">
        <v>4</v>
      </c>
      <c r="F482">
        <v>4.67</v>
      </c>
      <c r="G482">
        <v>80.599999999999994</v>
      </c>
      <c r="H482">
        <v>2</v>
      </c>
      <c r="I482">
        <v>6.7</v>
      </c>
      <c r="J482" t="s">
        <v>3</v>
      </c>
      <c r="K482" t="s">
        <v>3</v>
      </c>
      <c r="L482">
        <v>3.9</v>
      </c>
      <c r="M482">
        <v>3.31</v>
      </c>
      <c r="N482">
        <v>3.55</v>
      </c>
      <c r="O482">
        <v>3.56</v>
      </c>
      <c r="P482" t="s">
        <v>7</v>
      </c>
      <c r="Q482" t="s">
        <v>14</v>
      </c>
      <c r="R482" t="s">
        <v>9</v>
      </c>
      <c r="S482">
        <v>0</v>
      </c>
    </row>
    <row r="483" spans="1:19" x14ac:dyDescent="0.3">
      <c r="A483">
        <v>482</v>
      </c>
      <c r="B483">
        <v>18.899999999999999</v>
      </c>
      <c r="C483" t="s">
        <v>11</v>
      </c>
      <c r="D483">
        <v>43215</v>
      </c>
      <c r="E483" t="s">
        <v>4</v>
      </c>
      <c r="F483">
        <v>4.1500000000000004</v>
      </c>
      <c r="G483">
        <v>83.8</v>
      </c>
      <c r="H483">
        <v>4</v>
      </c>
      <c r="I483">
        <v>5</v>
      </c>
      <c r="J483" t="s">
        <v>3</v>
      </c>
      <c r="K483" t="s">
        <v>3</v>
      </c>
      <c r="L483">
        <v>8.1999999999999993</v>
      </c>
      <c r="M483">
        <v>2.0099999999999998</v>
      </c>
      <c r="N483">
        <v>1.44</v>
      </c>
      <c r="O483">
        <v>1.44</v>
      </c>
      <c r="P483" t="s">
        <v>12</v>
      </c>
      <c r="Q483" t="s">
        <v>14</v>
      </c>
      <c r="R483" t="s">
        <v>0</v>
      </c>
      <c r="S483">
        <v>0</v>
      </c>
    </row>
    <row r="484" spans="1:19" x14ac:dyDescent="0.3">
      <c r="A484">
        <v>483</v>
      </c>
      <c r="B484">
        <v>17.5</v>
      </c>
      <c r="C484" t="s">
        <v>5</v>
      </c>
      <c r="D484">
        <v>27621</v>
      </c>
      <c r="E484" t="s">
        <v>4</v>
      </c>
      <c r="F484">
        <v>1.71</v>
      </c>
      <c r="G484">
        <v>68.900000000000006</v>
      </c>
      <c r="H484">
        <v>1</v>
      </c>
      <c r="I484">
        <v>42</v>
      </c>
      <c r="J484" t="s">
        <v>3</v>
      </c>
      <c r="K484" t="s">
        <v>4</v>
      </c>
      <c r="L484">
        <v>2.2999999999999998</v>
      </c>
      <c r="M484">
        <v>1.69</v>
      </c>
      <c r="N484">
        <v>1.45</v>
      </c>
      <c r="O484">
        <v>1.47</v>
      </c>
      <c r="P484" t="s">
        <v>10</v>
      </c>
      <c r="Q484" t="s">
        <v>13</v>
      </c>
      <c r="R484" t="s">
        <v>15</v>
      </c>
      <c r="S484">
        <v>0</v>
      </c>
    </row>
    <row r="485" spans="1:19" x14ac:dyDescent="0.3">
      <c r="A485">
        <v>484</v>
      </c>
      <c r="B485">
        <v>21.4</v>
      </c>
      <c r="C485" t="s">
        <v>5</v>
      </c>
      <c r="E485" t="s">
        <v>4</v>
      </c>
      <c r="G485">
        <v>79.8</v>
      </c>
      <c r="H485">
        <v>2</v>
      </c>
      <c r="I485">
        <v>41.1</v>
      </c>
      <c r="J485" t="s">
        <v>3</v>
      </c>
      <c r="K485" t="s">
        <v>4</v>
      </c>
      <c r="M485">
        <v>3.12</v>
      </c>
      <c r="N485">
        <v>2.89</v>
      </c>
      <c r="O485">
        <v>2.89</v>
      </c>
      <c r="P485" t="s">
        <v>2</v>
      </c>
      <c r="Q485" t="s">
        <v>14</v>
      </c>
      <c r="R485" t="s">
        <v>15</v>
      </c>
      <c r="S485">
        <v>0</v>
      </c>
    </row>
    <row r="486" spans="1:19" x14ac:dyDescent="0.3">
      <c r="A486">
        <v>485</v>
      </c>
      <c r="B486">
        <v>19.3</v>
      </c>
      <c r="C486" t="s">
        <v>5</v>
      </c>
      <c r="D486">
        <v>37429</v>
      </c>
      <c r="E486" t="s">
        <v>4</v>
      </c>
      <c r="F486">
        <v>2.62</v>
      </c>
      <c r="G486">
        <v>86.1</v>
      </c>
      <c r="H486">
        <v>5</v>
      </c>
      <c r="I486">
        <v>44.9</v>
      </c>
      <c r="J486" t="s">
        <v>3</v>
      </c>
      <c r="K486" t="s">
        <v>3</v>
      </c>
      <c r="L486">
        <v>8</v>
      </c>
      <c r="M486">
        <v>1.57</v>
      </c>
      <c r="N486">
        <v>1.34</v>
      </c>
      <c r="O486">
        <v>1.24</v>
      </c>
      <c r="P486" t="s">
        <v>7</v>
      </c>
      <c r="Q486" t="s">
        <v>6</v>
      </c>
      <c r="R486" t="s">
        <v>9</v>
      </c>
      <c r="S486">
        <v>0</v>
      </c>
    </row>
    <row r="487" spans="1:19" x14ac:dyDescent="0.3">
      <c r="A487">
        <v>486</v>
      </c>
      <c r="B487">
        <v>17.899999999999999</v>
      </c>
      <c r="C487" t="s">
        <v>5</v>
      </c>
      <c r="D487">
        <v>25000</v>
      </c>
      <c r="E487" t="s">
        <v>4</v>
      </c>
      <c r="F487">
        <v>3.86</v>
      </c>
      <c r="G487">
        <v>78.900000000000006</v>
      </c>
      <c r="H487">
        <v>3</v>
      </c>
      <c r="I487">
        <v>37.6</v>
      </c>
      <c r="J487" t="s">
        <v>4</v>
      </c>
      <c r="K487" t="s">
        <v>3</v>
      </c>
      <c r="L487">
        <v>4</v>
      </c>
      <c r="M487">
        <v>1.38</v>
      </c>
      <c r="N487">
        <v>1.39</v>
      </c>
      <c r="O487">
        <v>1.44</v>
      </c>
      <c r="P487" t="s">
        <v>12</v>
      </c>
      <c r="Q487" t="s">
        <v>1</v>
      </c>
      <c r="R487" t="s">
        <v>0</v>
      </c>
      <c r="S487">
        <v>0</v>
      </c>
    </row>
    <row r="488" spans="1:19" x14ac:dyDescent="0.3">
      <c r="A488">
        <v>487</v>
      </c>
      <c r="B488">
        <v>19.600000000000001</v>
      </c>
      <c r="C488" t="s">
        <v>5</v>
      </c>
      <c r="D488">
        <v>25000</v>
      </c>
      <c r="E488" t="s">
        <v>4</v>
      </c>
      <c r="F488">
        <v>3.39</v>
      </c>
      <c r="G488">
        <v>79.3</v>
      </c>
      <c r="H488">
        <v>2</v>
      </c>
      <c r="I488">
        <v>30</v>
      </c>
      <c r="J488" t="s">
        <v>4</v>
      </c>
      <c r="K488" t="s">
        <v>3</v>
      </c>
      <c r="L488">
        <v>5.5</v>
      </c>
      <c r="M488">
        <v>2.95</v>
      </c>
      <c r="N488">
        <v>3.25</v>
      </c>
      <c r="O488">
        <v>3.27</v>
      </c>
      <c r="P488" t="s">
        <v>7</v>
      </c>
      <c r="Q488" t="s">
        <v>6</v>
      </c>
      <c r="R488" t="s">
        <v>0</v>
      </c>
      <c r="S488">
        <v>0</v>
      </c>
    </row>
    <row r="489" spans="1:19" x14ac:dyDescent="0.3">
      <c r="A489">
        <v>488</v>
      </c>
      <c r="B489">
        <v>18.600000000000001</v>
      </c>
      <c r="C489" t="s">
        <v>5</v>
      </c>
      <c r="E489" t="s">
        <v>4</v>
      </c>
      <c r="G489">
        <v>83.3</v>
      </c>
      <c r="H489">
        <v>2</v>
      </c>
      <c r="I489">
        <v>26.9</v>
      </c>
      <c r="J489" t="s">
        <v>3</v>
      </c>
      <c r="K489" t="s">
        <v>3</v>
      </c>
      <c r="M489">
        <v>1.7</v>
      </c>
      <c r="N489">
        <v>2.0299999999999998</v>
      </c>
      <c r="O489">
        <v>2.04</v>
      </c>
      <c r="P489" t="s">
        <v>12</v>
      </c>
      <c r="Q489" t="s">
        <v>1</v>
      </c>
      <c r="R489" t="s">
        <v>15</v>
      </c>
      <c r="S489">
        <v>0</v>
      </c>
    </row>
    <row r="490" spans="1:19" x14ac:dyDescent="0.3">
      <c r="A490">
        <v>489</v>
      </c>
      <c r="B490">
        <v>24.7</v>
      </c>
      <c r="C490" t="s">
        <v>5</v>
      </c>
      <c r="D490">
        <v>25000</v>
      </c>
      <c r="E490" t="s">
        <v>4</v>
      </c>
      <c r="F490">
        <v>4.25</v>
      </c>
      <c r="G490">
        <v>85.4</v>
      </c>
      <c r="H490">
        <v>4</v>
      </c>
      <c r="I490">
        <v>10.8</v>
      </c>
      <c r="J490" t="s">
        <v>3</v>
      </c>
      <c r="K490" t="s">
        <v>3</v>
      </c>
      <c r="L490">
        <v>1</v>
      </c>
      <c r="M490">
        <v>3.38</v>
      </c>
      <c r="N490">
        <v>3.33</v>
      </c>
      <c r="O490">
        <v>3.36</v>
      </c>
      <c r="P490" t="s">
        <v>10</v>
      </c>
      <c r="Q490" t="s">
        <v>8</v>
      </c>
      <c r="R490" t="s">
        <v>9</v>
      </c>
      <c r="S490">
        <v>0</v>
      </c>
    </row>
    <row r="491" spans="1:19" x14ac:dyDescent="0.3">
      <c r="A491">
        <v>490</v>
      </c>
      <c r="B491">
        <v>22.9</v>
      </c>
      <c r="C491" t="s">
        <v>5</v>
      </c>
      <c r="D491">
        <v>36381</v>
      </c>
      <c r="E491" t="s">
        <v>4</v>
      </c>
      <c r="F491">
        <v>4.75</v>
      </c>
      <c r="G491">
        <v>94.2</v>
      </c>
      <c r="H491">
        <v>1</v>
      </c>
      <c r="I491">
        <v>31.8</v>
      </c>
      <c r="J491" t="s">
        <v>3</v>
      </c>
      <c r="K491" t="s">
        <v>4</v>
      </c>
      <c r="L491">
        <v>5.4</v>
      </c>
      <c r="M491">
        <v>2.3199999999999998</v>
      </c>
      <c r="N491">
        <v>2.14</v>
      </c>
      <c r="O491">
        <v>2.1800000000000002</v>
      </c>
      <c r="P491" t="s">
        <v>12</v>
      </c>
      <c r="Q491" t="s">
        <v>13</v>
      </c>
      <c r="R491" t="s">
        <v>15</v>
      </c>
      <c r="S491">
        <v>0</v>
      </c>
    </row>
    <row r="492" spans="1:19" x14ac:dyDescent="0.3">
      <c r="A492">
        <v>491</v>
      </c>
      <c r="B492">
        <v>21</v>
      </c>
      <c r="C492" t="s">
        <v>11</v>
      </c>
      <c r="D492">
        <v>25000</v>
      </c>
      <c r="E492" t="s">
        <v>4</v>
      </c>
      <c r="F492">
        <v>3.38</v>
      </c>
      <c r="G492">
        <v>85.5</v>
      </c>
      <c r="H492">
        <v>1</v>
      </c>
      <c r="I492">
        <v>12.8</v>
      </c>
      <c r="J492" t="s">
        <v>3</v>
      </c>
      <c r="K492" t="s">
        <v>4</v>
      </c>
      <c r="L492">
        <v>2.7</v>
      </c>
      <c r="M492">
        <v>1.94</v>
      </c>
      <c r="N492">
        <v>2.4300000000000002</v>
      </c>
      <c r="O492">
        <v>2.41</v>
      </c>
      <c r="P492" t="s">
        <v>7</v>
      </c>
      <c r="Q492" t="s">
        <v>14</v>
      </c>
      <c r="R492" t="s">
        <v>9</v>
      </c>
      <c r="S492">
        <v>1</v>
      </c>
    </row>
    <row r="493" spans="1:19" x14ac:dyDescent="0.3">
      <c r="A493">
        <v>492</v>
      </c>
      <c r="B493">
        <v>24.3</v>
      </c>
      <c r="C493" t="s">
        <v>5</v>
      </c>
      <c r="D493">
        <v>25000</v>
      </c>
      <c r="E493" t="s">
        <v>4</v>
      </c>
      <c r="F493">
        <v>5.41</v>
      </c>
      <c r="G493">
        <v>92.8</v>
      </c>
      <c r="H493">
        <v>0</v>
      </c>
      <c r="I493">
        <v>59.6</v>
      </c>
      <c r="J493" t="s">
        <v>3</v>
      </c>
      <c r="K493" t="s">
        <v>3</v>
      </c>
      <c r="L493">
        <v>7.2</v>
      </c>
      <c r="M493">
        <v>2.39</v>
      </c>
      <c r="N493">
        <v>2.37</v>
      </c>
      <c r="O493">
        <v>2.36</v>
      </c>
      <c r="P493" t="s">
        <v>7</v>
      </c>
      <c r="Q493" t="s">
        <v>8</v>
      </c>
      <c r="R493" t="s">
        <v>9</v>
      </c>
      <c r="S493">
        <v>0</v>
      </c>
    </row>
    <row r="494" spans="1:19" x14ac:dyDescent="0.3">
      <c r="A494">
        <v>493</v>
      </c>
      <c r="B494">
        <v>21.2</v>
      </c>
      <c r="C494" t="s">
        <v>11</v>
      </c>
      <c r="D494">
        <v>55929</v>
      </c>
      <c r="E494" t="s">
        <v>4</v>
      </c>
      <c r="F494">
        <v>3.12</v>
      </c>
      <c r="G494">
        <v>81.2</v>
      </c>
      <c r="H494">
        <v>1</v>
      </c>
      <c r="I494">
        <v>17.600000000000001</v>
      </c>
      <c r="J494" t="s">
        <v>3</v>
      </c>
      <c r="K494" t="s">
        <v>4</v>
      </c>
      <c r="L494">
        <v>4.0999999999999996</v>
      </c>
      <c r="M494">
        <v>1.71</v>
      </c>
      <c r="N494">
        <v>1.86</v>
      </c>
      <c r="O494">
        <v>1.86</v>
      </c>
      <c r="P494" t="s">
        <v>2</v>
      </c>
      <c r="Q494" t="s">
        <v>6</v>
      </c>
      <c r="R494" t="s">
        <v>15</v>
      </c>
      <c r="S494">
        <v>0</v>
      </c>
    </row>
    <row r="495" spans="1:19" x14ac:dyDescent="0.3">
      <c r="A495">
        <v>494</v>
      </c>
      <c r="B495">
        <v>19.100000000000001</v>
      </c>
      <c r="C495" t="s">
        <v>11</v>
      </c>
      <c r="D495">
        <v>32498</v>
      </c>
      <c r="E495" t="s">
        <v>4</v>
      </c>
      <c r="F495">
        <v>3.31</v>
      </c>
      <c r="G495">
        <v>63.1</v>
      </c>
      <c r="H495">
        <v>3</v>
      </c>
      <c r="I495">
        <v>29.1</v>
      </c>
      <c r="J495" t="s">
        <v>4</v>
      </c>
      <c r="K495" t="s">
        <v>3</v>
      </c>
      <c r="L495">
        <v>8.6999999999999993</v>
      </c>
      <c r="M495">
        <v>0.4</v>
      </c>
      <c r="N495">
        <v>0.55000000000000004</v>
      </c>
      <c r="O495">
        <v>0.56000000000000005</v>
      </c>
      <c r="P495" t="s">
        <v>10</v>
      </c>
      <c r="Q495" t="s">
        <v>8</v>
      </c>
      <c r="R495" t="s">
        <v>15</v>
      </c>
      <c r="S495">
        <v>1</v>
      </c>
    </row>
    <row r="496" spans="1:19" x14ac:dyDescent="0.3">
      <c r="A496">
        <v>495</v>
      </c>
      <c r="B496">
        <v>24.4</v>
      </c>
      <c r="C496" t="s">
        <v>11</v>
      </c>
      <c r="D496">
        <v>25000</v>
      </c>
      <c r="E496" t="s">
        <v>4</v>
      </c>
      <c r="F496">
        <v>1.76</v>
      </c>
      <c r="G496">
        <v>78.599999999999994</v>
      </c>
      <c r="H496">
        <v>0</v>
      </c>
      <c r="I496">
        <v>48.1</v>
      </c>
      <c r="J496" t="s">
        <v>4</v>
      </c>
      <c r="K496" t="s">
        <v>3</v>
      </c>
      <c r="L496">
        <v>3.8</v>
      </c>
      <c r="M496">
        <v>3.14</v>
      </c>
      <c r="N496">
        <v>2.9</v>
      </c>
      <c r="O496">
        <v>2.85</v>
      </c>
      <c r="P496" t="s">
        <v>12</v>
      </c>
      <c r="Q496" t="s">
        <v>13</v>
      </c>
      <c r="R496" t="s">
        <v>9</v>
      </c>
      <c r="S496">
        <v>0</v>
      </c>
    </row>
    <row r="497" spans="1:19" x14ac:dyDescent="0.3">
      <c r="A497">
        <v>496</v>
      </c>
      <c r="B497">
        <v>22.2</v>
      </c>
      <c r="C497" t="s">
        <v>5</v>
      </c>
      <c r="D497">
        <v>30049</v>
      </c>
      <c r="E497" t="s">
        <v>4</v>
      </c>
      <c r="F497">
        <v>4.3</v>
      </c>
      <c r="G497">
        <v>75.5</v>
      </c>
      <c r="H497">
        <v>5</v>
      </c>
      <c r="I497">
        <v>25.6</v>
      </c>
      <c r="J497" t="s">
        <v>4</v>
      </c>
      <c r="K497" t="s">
        <v>4</v>
      </c>
      <c r="L497">
        <v>6.3</v>
      </c>
      <c r="M497">
        <v>2.04</v>
      </c>
      <c r="N497">
        <v>2.4500000000000002</v>
      </c>
      <c r="O497">
        <v>2.4500000000000002</v>
      </c>
      <c r="P497" t="s">
        <v>2</v>
      </c>
      <c r="Q497" t="s">
        <v>13</v>
      </c>
      <c r="R497" t="s">
        <v>9</v>
      </c>
      <c r="S497">
        <v>0</v>
      </c>
    </row>
    <row r="498" spans="1:19" x14ac:dyDescent="0.3">
      <c r="A498">
        <v>497</v>
      </c>
      <c r="B498">
        <v>18.7</v>
      </c>
      <c r="C498" t="s">
        <v>5</v>
      </c>
      <c r="D498">
        <v>68006</v>
      </c>
      <c r="E498" t="s">
        <v>4</v>
      </c>
      <c r="F498">
        <v>5.98</v>
      </c>
      <c r="G498">
        <v>81.5</v>
      </c>
      <c r="H498">
        <v>1</v>
      </c>
      <c r="I498">
        <v>25.7</v>
      </c>
      <c r="J498" t="s">
        <v>3</v>
      </c>
      <c r="K498" t="s">
        <v>4</v>
      </c>
      <c r="L498">
        <v>3.9</v>
      </c>
      <c r="M498">
        <v>1.35</v>
      </c>
      <c r="N498">
        <v>1.51</v>
      </c>
      <c r="O498">
        <v>1.46</v>
      </c>
      <c r="P498" t="s">
        <v>7</v>
      </c>
      <c r="Q498" t="s">
        <v>14</v>
      </c>
      <c r="R498" t="s">
        <v>15</v>
      </c>
      <c r="S498">
        <v>0</v>
      </c>
    </row>
    <row r="499" spans="1:19" x14ac:dyDescent="0.3">
      <c r="A499">
        <v>498</v>
      </c>
      <c r="B499">
        <v>20.6</v>
      </c>
      <c r="C499" t="s">
        <v>5</v>
      </c>
      <c r="D499">
        <v>35464</v>
      </c>
      <c r="E499" t="s">
        <v>4</v>
      </c>
      <c r="F499">
        <v>3.68</v>
      </c>
      <c r="G499">
        <v>79.400000000000006</v>
      </c>
      <c r="H499">
        <v>2</v>
      </c>
      <c r="I499">
        <v>5</v>
      </c>
      <c r="J499" t="s">
        <v>4</v>
      </c>
      <c r="K499" t="s">
        <v>3</v>
      </c>
      <c r="L499">
        <v>5.0999999999999996</v>
      </c>
      <c r="M499">
        <v>2.4300000000000002</v>
      </c>
      <c r="N499">
        <v>2.66</v>
      </c>
      <c r="O499">
        <v>2.67</v>
      </c>
      <c r="P499" t="s">
        <v>7</v>
      </c>
      <c r="Q499" t="s">
        <v>14</v>
      </c>
      <c r="R499" t="s">
        <v>0</v>
      </c>
      <c r="S499">
        <v>1</v>
      </c>
    </row>
    <row r="500" spans="1:19" x14ac:dyDescent="0.3">
      <c r="A500">
        <v>499</v>
      </c>
      <c r="B500">
        <v>19.100000000000001</v>
      </c>
      <c r="C500" t="s">
        <v>5</v>
      </c>
      <c r="D500">
        <v>42437</v>
      </c>
      <c r="E500" t="s">
        <v>4</v>
      </c>
      <c r="F500">
        <v>6.29</v>
      </c>
      <c r="G500">
        <v>84.1</v>
      </c>
      <c r="H500">
        <v>3</v>
      </c>
      <c r="I500">
        <v>14.3</v>
      </c>
      <c r="J500" t="s">
        <v>3</v>
      </c>
      <c r="K500" t="s">
        <v>4</v>
      </c>
      <c r="L500">
        <v>5.5</v>
      </c>
      <c r="M500">
        <v>2.89</v>
      </c>
      <c r="N500">
        <v>2.66</v>
      </c>
      <c r="O500">
        <v>2.58</v>
      </c>
      <c r="P500" t="s">
        <v>12</v>
      </c>
      <c r="Q500" t="s">
        <v>8</v>
      </c>
      <c r="R500" t="s">
        <v>15</v>
      </c>
      <c r="S500">
        <v>1</v>
      </c>
    </row>
    <row r="501" spans="1:19" x14ac:dyDescent="0.3">
      <c r="A501">
        <v>500</v>
      </c>
      <c r="B501">
        <v>18</v>
      </c>
      <c r="C501" t="s">
        <v>5</v>
      </c>
      <c r="D501">
        <v>25000</v>
      </c>
      <c r="E501" t="s">
        <v>4</v>
      </c>
      <c r="F501">
        <v>2.58</v>
      </c>
      <c r="G501">
        <v>76.599999999999994</v>
      </c>
      <c r="H501">
        <v>2</v>
      </c>
      <c r="I501">
        <v>36.700000000000003</v>
      </c>
      <c r="J501" t="s">
        <v>3</v>
      </c>
      <c r="K501" t="s">
        <v>3</v>
      </c>
      <c r="L501">
        <v>5.5</v>
      </c>
      <c r="M501">
        <v>2.95</v>
      </c>
      <c r="N501">
        <v>2.4300000000000002</v>
      </c>
      <c r="O501">
        <v>2.4500000000000002</v>
      </c>
      <c r="P501" t="s">
        <v>7</v>
      </c>
      <c r="Q501" t="s">
        <v>14</v>
      </c>
      <c r="R501" t="s">
        <v>0</v>
      </c>
      <c r="S501">
        <v>0</v>
      </c>
    </row>
    <row r="502" spans="1:19" x14ac:dyDescent="0.3">
      <c r="A502">
        <v>501</v>
      </c>
      <c r="B502">
        <v>23</v>
      </c>
      <c r="C502" t="s">
        <v>11</v>
      </c>
      <c r="E502" t="s">
        <v>4</v>
      </c>
      <c r="G502">
        <v>83.7</v>
      </c>
      <c r="H502">
        <v>2</v>
      </c>
      <c r="I502">
        <v>50.1</v>
      </c>
      <c r="J502" t="s">
        <v>4</v>
      </c>
      <c r="K502" t="s">
        <v>3</v>
      </c>
      <c r="M502">
        <v>1.47</v>
      </c>
      <c r="N502">
        <v>1.17</v>
      </c>
      <c r="O502">
        <v>1.17</v>
      </c>
      <c r="P502" t="s">
        <v>12</v>
      </c>
      <c r="Q502" t="s">
        <v>1</v>
      </c>
      <c r="R502" t="s">
        <v>15</v>
      </c>
      <c r="S502">
        <v>0</v>
      </c>
    </row>
    <row r="503" spans="1:19" x14ac:dyDescent="0.3">
      <c r="A503">
        <v>502</v>
      </c>
      <c r="B503">
        <v>25.2</v>
      </c>
      <c r="C503" t="s">
        <v>11</v>
      </c>
      <c r="D503">
        <v>119475</v>
      </c>
      <c r="E503" t="s">
        <v>4</v>
      </c>
      <c r="F503">
        <v>5.81</v>
      </c>
      <c r="G503">
        <v>85</v>
      </c>
      <c r="H503">
        <v>1</v>
      </c>
      <c r="I503">
        <v>19.3</v>
      </c>
      <c r="J503" t="s">
        <v>4</v>
      </c>
      <c r="K503" t="s">
        <v>4</v>
      </c>
      <c r="L503">
        <v>8.1</v>
      </c>
      <c r="M503">
        <v>1.06</v>
      </c>
      <c r="N503">
        <v>0.95</v>
      </c>
      <c r="O503">
        <v>0.91</v>
      </c>
      <c r="P503" t="s">
        <v>12</v>
      </c>
      <c r="Q503" t="s">
        <v>14</v>
      </c>
      <c r="R503" t="s">
        <v>9</v>
      </c>
      <c r="S503">
        <v>1</v>
      </c>
    </row>
    <row r="504" spans="1:19" x14ac:dyDescent="0.3">
      <c r="A504">
        <v>503</v>
      </c>
      <c r="B504">
        <v>17.899999999999999</v>
      </c>
      <c r="C504" t="s">
        <v>11</v>
      </c>
      <c r="D504">
        <v>25000</v>
      </c>
      <c r="E504" t="s">
        <v>4</v>
      </c>
      <c r="F504">
        <v>3.78</v>
      </c>
      <c r="G504">
        <v>82.3</v>
      </c>
      <c r="H504">
        <v>1</v>
      </c>
      <c r="I504">
        <v>32.4</v>
      </c>
      <c r="J504" t="s">
        <v>3</v>
      </c>
      <c r="K504" t="s">
        <v>3</v>
      </c>
      <c r="L504">
        <v>4.2</v>
      </c>
      <c r="M504">
        <v>1.86</v>
      </c>
      <c r="N504">
        <v>2.15</v>
      </c>
      <c r="O504">
        <v>2.15</v>
      </c>
      <c r="P504" t="s">
        <v>2</v>
      </c>
      <c r="Q504" t="s">
        <v>6</v>
      </c>
      <c r="R504" t="s">
        <v>9</v>
      </c>
      <c r="S504">
        <v>0</v>
      </c>
    </row>
    <row r="505" spans="1:19" x14ac:dyDescent="0.3">
      <c r="A505">
        <v>504</v>
      </c>
      <c r="B505">
        <v>22.2</v>
      </c>
      <c r="C505" t="s">
        <v>5</v>
      </c>
      <c r="D505">
        <v>25000</v>
      </c>
      <c r="E505" t="s">
        <v>4</v>
      </c>
      <c r="F505">
        <v>2.73</v>
      </c>
      <c r="G505">
        <v>70.3</v>
      </c>
      <c r="H505">
        <v>2</v>
      </c>
      <c r="I505">
        <v>62.5</v>
      </c>
      <c r="J505" t="s">
        <v>4</v>
      </c>
      <c r="K505" t="s">
        <v>3</v>
      </c>
      <c r="L505">
        <v>5.6</v>
      </c>
      <c r="M505">
        <v>2.52</v>
      </c>
      <c r="N505">
        <v>2.81</v>
      </c>
      <c r="O505">
        <v>2.81</v>
      </c>
      <c r="P505" t="s">
        <v>2</v>
      </c>
      <c r="Q505" t="s">
        <v>1</v>
      </c>
      <c r="R505" t="s">
        <v>9</v>
      </c>
      <c r="S505">
        <v>1</v>
      </c>
    </row>
    <row r="506" spans="1:19" x14ac:dyDescent="0.3">
      <c r="A506">
        <v>505</v>
      </c>
      <c r="B506">
        <v>19.600000000000001</v>
      </c>
      <c r="C506" t="s">
        <v>5</v>
      </c>
      <c r="D506">
        <v>33035</v>
      </c>
      <c r="E506" t="s">
        <v>4</v>
      </c>
      <c r="F506">
        <v>4.34</v>
      </c>
      <c r="G506">
        <v>89.2</v>
      </c>
      <c r="H506">
        <v>0</v>
      </c>
      <c r="I506">
        <v>36.799999999999997</v>
      </c>
      <c r="J506" t="s">
        <v>3</v>
      </c>
      <c r="K506" t="s">
        <v>4</v>
      </c>
      <c r="L506">
        <v>3.4</v>
      </c>
      <c r="M506">
        <v>4</v>
      </c>
      <c r="N506">
        <v>3.75</v>
      </c>
      <c r="O506">
        <v>3.75</v>
      </c>
      <c r="P506" t="s">
        <v>2</v>
      </c>
      <c r="Q506" t="s">
        <v>14</v>
      </c>
      <c r="R506" t="s">
        <v>0</v>
      </c>
      <c r="S506">
        <v>0</v>
      </c>
    </row>
    <row r="507" spans="1:19" x14ac:dyDescent="0.3">
      <c r="A507">
        <v>506</v>
      </c>
      <c r="B507">
        <v>19.899999999999999</v>
      </c>
      <c r="C507" t="s">
        <v>11</v>
      </c>
      <c r="D507">
        <v>50277</v>
      </c>
      <c r="E507" t="s">
        <v>4</v>
      </c>
      <c r="F507">
        <v>4.43</v>
      </c>
      <c r="G507">
        <v>87</v>
      </c>
      <c r="H507">
        <v>2</v>
      </c>
      <c r="I507">
        <v>41.7</v>
      </c>
      <c r="J507" t="s">
        <v>3</v>
      </c>
      <c r="K507" t="s">
        <v>3</v>
      </c>
      <c r="L507">
        <v>3</v>
      </c>
      <c r="M507">
        <v>3.38</v>
      </c>
      <c r="N507">
        <v>3.08</v>
      </c>
      <c r="O507">
        <v>3.1</v>
      </c>
      <c r="P507" t="s">
        <v>7</v>
      </c>
      <c r="Q507" t="s">
        <v>8</v>
      </c>
      <c r="R507" t="s">
        <v>17</v>
      </c>
      <c r="S507">
        <v>0</v>
      </c>
    </row>
    <row r="508" spans="1:19" x14ac:dyDescent="0.3">
      <c r="A508">
        <v>507</v>
      </c>
      <c r="B508">
        <v>19.7</v>
      </c>
      <c r="C508" t="s">
        <v>5</v>
      </c>
      <c r="D508">
        <v>28146</v>
      </c>
      <c r="E508" t="s">
        <v>4</v>
      </c>
      <c r="F508">
        <v>5.23</v>
      </c>
      <c r="G508">
        <v>80.5</v>
      </c>
      <c r="H508">
        <v>1</v>
      </c>
      <c r="I508">
        <v>20.8</v>
      </c>
      <c r="J508" t="s">
        <v>3</v>
      </c>
      <c r="K508" t="s">
        <v>3</v>
      </c>
      <c r="L508">
        <v>4.3</v>
      </c>
      <c r="M508">
        <v>4</v>
      </c>
      <c r="N508">
        <v>3.66</v>
      </c>
      <c r="O508">
        <v>3.66</v>
      </c>
      <c r="P508" t="s">
        <v>7</v>
      </c>
      <c r="Q508" t="s">
        <v>14</v>
      </c>
      <c r="R508" t="s">
        <v>15</v>
      </c>
      <c r="S508">
        <v>0</v>
      </c>
    </row>
    <row r="509" spans="1:19" x14ac:dyDescent="0.3">
      <c r="A509">
        <v>508</v>
      </c>
      <c r="B509">
        <v>19.100000000000001</v>
      </c>
      <c r="C509" t="s">
        <v>11</v>
      </c>
      <c r="D509">
        <v>25000</v>
      </c>
      <c r="E509" t="s">
        <v>4</v>
      </c>
      <c r="F509">
        <v>3.57</v>
      </c>
      <c r="G509">
        <v>67.5</v>
      </c>
      <c r="H509">
        <v>1</v>
      </c>
      <c r="I509">
        <v>48.6</v>
      </c>
      <c r="J509" t="s">
        <v>3</v>
      </c>
      <c r="K509" t="s">
        <v>3</v>
      </c>
      <c r="L509">
        <v>8.5</v>
      </c>
      <c r="M509">
        <v>0</v>
      </c>
      <c r="N509">
        <v>0</v>
      </c>
      <c r="O509">
        <v>0</v>
      </c>
      <c r="P509" t="s">
        <v>7</v>
      </c>
      <c r="Q509" t="s">
        <v>8</v>
      </c>
      <c r="R509" t="s">
        <v>9</v>
      </c>
      <c r="S509">
        <v>1</v>
      </c>
    </row>
    <row r="510" spans="1:19" x14ac:dyDescent="0.3">
      <c r="A510">
        <v>509</v>
      </c>
      <c r="B510">
        <v>21.1</v>
      </c>
      <c r="C510" t="s">
        <v>11</v>
      </c>
      <c r="D510">
        <v>27857</v>
      </c>
      <c r="E510" t="s">
        <v>4</v>
      </c>
      <c r="F510">
        <v>2.2400000000000002</v>
      </c>
      <c r="G510">
        <v>84.4</v>
      </c>
      <c r="H510">
        <v>2</v>
      </c>
      <c r="I510">
        <v>21.7</v>
      </c>
      <c r="J510" t="s">
        <v>4</v>
      </c>
      <c r="K510" t="s">
        <v>3</v>
      </c>
      <c r="L510">
        <v>2.5</v>
      </c>
      <c r="M510">
        <v>2.2999999999999998</v>
      </c>
      <c r="N510">
        <v>2.23</v>
      </c>
      <c r="O510">
        <v>2.13</v>
      </c>
      <c r="P510" t="s">
        <v>10</v>
      </c>
      <c r="Q510" t="s">
        <v>13</v>
      </c>
      <c r="R510" t="s">
        <v>16</v>
      </c>
      <c r="S510">
        <v>0</v>
      </c>
    </row>
    <row r="511" spans="1:19" x14ac:dyDescent="0.3">
      <c r="A511">
        <v>510</v>
      </c>
      <c r="B511">
        <v>19.2</v>
      </c>
      <c r="C511" t="s">
        <v>5</v>
      </c>
      <c r="D511">
        <v>42568</v>
      </c>
      <c r="E511" t="s">
        <v>4</v>
      </c>
      <c r="F511">
        <v>3.64</v>
      </c>
      <c r="G511">
        <v>77.8</v>
      </c>
      <c r="H511">
        <v>1</v>
      </c>
      <c r="I511">
        <v>19.600000000000001</v>
      </c>
      <c r="J511" t="s">
        <v>4</v>
      </c>
      <c r="K511" t="s">
        <v>4</v>
      </c>
      <c r="L511">
        <v>6.5</v>
      </c>
      <c r="M511">
        <v>2.2599999999999998</v>
      </c>
      <c r="N511">
        <v>2.2200000000000002</v>
      </c>
      <c r="O511">
        <v>2.33</v>
      </c>
      <c r="P511" t="s">
        <v>7</v>
      </c>
      <c r="Q511" t="s">
        <v>6</v>
      </c>
      <c r="R511" t="s">
        <v>9</v>
      </c>
      <c r="S511">
        <v>1</v>
      </c>
    </row>
    <row r="512" spans="1:19" x14ac:dyDescent="0.3">
      <c r="A512">
        <v>511</v>
      </c>
      <c r="B512">
        <v>21.6</v>
      </c>
      <c r="C512" t="s">
        <v>5</v>
      </c>
      <c r="E512" t="s">
        <v>4</v>
      </c>
      <c r="G512">
        <v>62.599999999999902</v>
      </c>
      <c r="H512">
        <v>1</v>
      </c>
      <c r="I512">
        <v>47.8</v>
      </c>
      <c r="J512" t="s">
        <v>3</v>
      </c>
      <c r="K512" t="s">
        <v>4</v>
      </c>
      <c r="M512">
        <v>2.5</v>
      </c>
      <c r="N512">
        <v>2.75</v>
      </c>
      <c r="O512">
        <v>2.66</v>
      </c>
      <c r="P512" t="s">
        <v>12</v>
      </c>
      <c r="Q512" t="s">
        <v>14</v>
      </c>
      <c r="R512" t="s">
        <v>15</v>
      </c>
      <c r="S512">
        <v>0</v>
      </c>
    </row>
    <row r="513" spans="1:19" x14ac:dyDescent="0.3">
      <c r="A513">
        <v>512</v>
      </c>
      <c r="B513">
        <v>20.9</v>
      </c>
      <c r="C513" t="s">
        <v>5</v>
      </c>
      <c r="D513">
        <v>42803</v>
      </c>
      <c r="E513" t="s">
        <v>4</v>
      </c>
      <c r="F513">
        <v>5.46</v>
      </c>
      <c r="G513">
        <v>81.400000000000006</v>
      </c>
      <c r="H513">
        <v>0</v>
      </c>
      <c r="I513">
        <v>22.4</v>
      </c>
      <c r="J513" t="s">
        <v>4</v>
      </c>
      <c r="K513" t="s">
        <v>4</v>
      </c>
      <c r="L513">
        <v>4.2</v>
      </c>
      <c r="M513">
        <v>2.0499999999999998</v>
      </c>
      <c r="N513">
        <v>2.4500000000000002</v>
      </c>
      <c r="O513">
        <v>2.5299999999999998</v>
      </c>
      <c r="P513" t="s">
        <v>10</v>
      </c>
      <c r="Q513" t="s">
        <v>1</v>
      </c>
      <c r="R513" t="s">
        <v>9</v>
      </c>
      <c r="S513">
        <v>0</v>
      </c>
    </row>
    <row r="514" spans="1:19" x14ac:dyDescent="0.3">
      <c r="A514">
        <v>513</v>
      </c>
      <c r="B514">
        <v>20.5</v>
      </c>
      <c r="C514" t="s">
        <v>5</v>
      </c>
      <c r="D514">
        <v>59804</v>
      </c>
      <c r="E514" t="s">
        <v>4</v>
      </c>
      <c r="F514">
        <v>2.04</v>
      </c>
      <c r="G514">
        <v>93.6</v>
      </c>
      <c r="H514">
        <v>3</v>
      </c>
      <c r="I514">
        <v>30</v>
      </c>
      <c r="J514" t="s">
        <v>4</v>
      </c>
      <c r="K514" t="s">
        <v>4</v>
      </c>
      <c r="L514">
        <v>6.7</v>
      </c>
      <c r="M514">
        <v>1</v>
      </c>
      <c r="N514">
        <v>0.49</v>
      </c>
      <c r="O514">
        <v>0.51</v>
      </c>
      <c r="P514" t="s">
        <v>10</v>
      </c>
      <c r="Q514" t="s">
        <v>8</v>
      </c>
      <c r="R514" t="s">
        <v>15</v>
      </c>
      <c r="S514">
        <v>0</v>
      </c>
    </row>
    <row r="515" spans="1:19" x14ac:dyDescent="0.3">
      <c r="A515">
        <v>514</v>
      </c>
      <c r="B515">
        <v>19</v>
      </c>
      <c r="C515" t="s">
        <v>5</v>
      </c>
      <c r="D515">
        <v>34342</v>
      </c>
      <c r="E515" t="s">
        <v>3</v>
      </c>
      <c r="F515">
        <v>3.51</v>
      </c>
      <c r="G515">
        <v>83.2</v>
      </c>
      <c r="H515">
        <v>0</v>
      </c>
      <c r="I515">
        <v>49.5</v>
      </c>
      <c r="J515" t="s">
        <v>3</v>
      </c>
      <c r="K515" t="s">
        <v>4</v>
      </c>
      <c r="L515">
        <v>6.7</v>
      </c>
      <c r="M515">
        <v>0.72</v>
      </c>
      <c r="N515">
        <v>0.61</v>
      </c>
      <c r="O515">
        <v>0.6</v>
      </c>
      <c r="P515" t="s">
        <v>12</v>
      </c>
      <c r="Q515" t="s">
        <v>1</v>
      </c>
      <c r="R515" t="s">
        <v>9</v>
      </c>
      <c r="S515">
        <v>1</v>
      </c>
    </row>
    <row r="516" spans="1:19" x14ac:dyDescent="0.3">
      <c r="A516">
        <v>515</v>
      </c>
      <c r="B516">
        <v>19.7</v>
      </c>
      <c r="C516" t="s">
        <v>5</v>
      </c>
      <c r="D516">
        <v>29238</v>
      </c>
      <c r="E516" t="s">
        <v>4</v>
      </c>
      <c r="F516">
        <v>4.38</v>
      </c>
      <c r="G516">
        <v>81.099999999999994</v>
      </c>
      <c r="H516">
        <v>3</v>
      </c>
      <c r="I516">
        <v>19</v>
      </c>
      <c r="J516" t="s">
        <v>4</v>
      </c>
      <c r="K516" t="s">
        <v>4</v>
      </c>
      <c r="L516">
        <v>5.4</v>
      </c>
      <c r="M516">
        <v>1.78</v>
      </c>
      <c r="N516">
        <v>1.52</v>
      </c>
      <c r="O516">
        <v>1.59</v>
      </c>
      <c r="P516" t="s">
        <v>10</v>
      </c>
      <c r="Q516" t="s">
        <v>14</v>
      </c>
      <c r="R516" t="s">
        <v>15</v>
      </c>
      <c r="S516">
        <v>0</v>
      </c>
    </row>
    <row r="517" spans="1:19" x14ac:dyDescent="0.3">
      <c r="A517">
        <v>516</v>
      </c>
      <c r="B517">
        <v>22.7</v>
      </c>
      <c r="C517" t="s">
        <v>5</v>
      </c>
      <c r="D517">
        <v>48904</v>
      </c>
      <c r="E517" t="s">
        <v>4</v>
      </c>
      <c r="F517">
        <v>6.01</v>
      </c>
      <c r="G517">
        <v>77.8</v>
      </c>
      <c r="H517">
        <v>2</v>
      </c>
      <c r="I517">
        <v>27.2</v>
      </c>
      <c r="J517" t="s">
        <v>4</v>
      </c>
      <c r="K517" t="s">
        <v>4</v>
      </c>
      <c r="L517">
        <v>5.2</v>
      </c>
      <c r="M517">
        <v>2.0299999999999998</v>
      </c>
      <c r="N517">
        <v>2.27</v>
      </c>
      <c r="O517">
        <v>2.27</v>
      </c>
      <c r="P517" t="s">
        <v>2</v>
      </c>
      <c r="Q517" t="s">
        <v>8</v>
      </c>
      <c r="R517" t="s">
        <v>9</v>
      </c>
      <c r="S517">
        <v>1</v>
      </c>
    </row>
    <row r="518" spans="1:19" x14ac:dyDescent="0.3">
      <c r="A518">
        <v>517</v>
      </c>
      <c r="B518">
        <v>22.1</v>
      </c>
      <c r="C518" t="s">
        <v>5</v>
      </c>
      <c r="D518">
        <v>25000</v>
      </c>
      <c r="E518" t="s">
        <v>4</v>
      </c>
      <c r="F518">
        <v>3.13</v>
      </c>
      <c r="G518">
        <v>82.2</v>
      </c>
      <c r="H518">
        <v>3</v>
      </c>
      <c r="I518">
        <v>22.7</v>
      </c>
      <c r="J518" t="s">
        <v>3</v>
      </c>
      <c r="K518" t="s">
        <v>4</v>
      </c>
      <c r="L518">
        <v>5.0999999999999996</v>
      </c>
      <c r="M518">
        <v>3.21</v>
      </c>
      <c r="N518">
        <v>3.18</v>
      </c>
      <c r="O518">
        <v>3.16</v>
      </c>
      <c r="P518" t="s">
        <v>7</v>
      </c>
      <c r="Q518" t="s">
        <v>13</v>
      </c>
      <c r="R518" t="s">
        <v>15</v>
      </c>
      <c r="S518">
        <v>0</v>
      </c>
    </row>
    <row r="519" spans="1:19" x14ac:dyDescent="0.3">
      <c r="A519">
        <v>518</v>
      </c>
      <c r="B519">
        <v>18.8</v>
      </c>
      <c r="C519" t="s">
        <v>11</v>
      </c>
      <c r="D519">
        <v>25000</v>
      </c>
      <c r="E519" t="s">
        <v>4</v>
      </c>
      <c r="F519">
        <v>2.94</v>
      </c>
      <c r="G519">
        <v>82</v>
      </c>
      <c r="H519">
        <v>4</v>
      </c>
      <c r="I519">
        <v>26.1</v>
      </c>
      <c r="J519" t="s">
        <v>4</v>
      </c>
      <c r="K519" t="s">
        <v>3</v>
      </c>
      <c r="L519">
        <v>4</v>
      </c>
      <c r="M519">
        <v>1.18</v>
      </c>
      <c r="N519">
        <v>1.59</v>
      </c>
      <c r="O519">
        <v>1.57</v>
      </c>
      <c r="P519" t="s">
        <v>7</v>
      </c>
      <c r="Q519" t="s">
        <v>14</v>
      </c>
      <c r="R519" t="s">
        <v>17</v>
      </c>
      <c r="S519">
        <v>1</v>
      </c>
    </row>
    <row r="520" spans="1:19" x14ac:dyDescent="0.3">
      <c r="A520">
        <v>519</v>
      </c>
      <c r="B520">
        <v>21.2</v>
      </c>
      <c r="C520" t="s">
        <v>5</v>
      </c>
      <c r="E520" t="s">
        <v>4</v>
      </c>
      <c r="G520">
        <v>86.8</v>
      </c>
      <c r="H520">
        <v>2</v>
      </c>
      <c r="I520">
        <v>30.5</v>
      </c>
      <c r="J520" t="s">
        <v>3</v>
      </c>
      <c r="K520" t="s">
        <v>4</v>
      </c>
      <c r="M520">
        <v>1.83</v>
      </c>
      <c r="N520">
        <v>1.9</v>
      </c>
      <c r="O520">
        <v>1.89</v>
      </c>
      <c r="P520" t="s">
        <v>12</v>
      </c>
      <c r="Q520" t="s">
        <v>14</v>
      </c>
      <c r="R520" t="s">
        <v>9</v>
      </c>
      <c r="S520">
        <v>0</v>
      </c>
    </row>
    <row r="521" spans="1:19" x14ac:dyDescent="0.3">
      <c r="A521">
        <v>520</v>
      </c>
      <c r="B521">
        <v>22.7</v>
      </c>
      <c r="C521" t="s">
        <v>11</v>
      </c>
      <c r="D521">
        <v>25000</v>
      </c>
      <c r="E521" t="s">
        <v>4</v>
      </c>
      <c r="F521">
        <v>1.04</v>
      </c>
      <c r="G521">
        <v>77.7</v>
      </c>
      <c r="H521">
        <v>2</v>
      </c>
      <c r="I521">
        <v>46.1</v>
      </c>
      <c r="J521" t="s">
        <v>3</v>
      </c>
      <c r="K521" t="s">
        <v>3</v>
      </c>
      <c r="L521">
        <v>4.5999999999999996</v>
      </c>
      <c r="M521">
        <v>0.11</v>
      </c>
      <c r="N521">
        <v>0</v>
      </c>
      <c r="O521">
        <v>0.09</v>
      </c>
      <c r="P521" t="s">
        <v>7</v>
      </c>
      <c r="Q521" t="s">
        <v>13</v>
      </c>
      <c r="R521" t="s">
        <v>9</v>
      </c>
      <c r="S521">
        <v>0</v>
      </c>
    </row>
    <row r="522" spans="1:19" x14ac:dyDescent="0.3">
      <c r="A522">
        <v>521</v>
      </c>
      <c r="B522">
        <v>17.3</v>
      </c>
      <c r="C522" t="s">
        <v>11</v>
      </c>
      <c r="D522">
        <v>25000</v>
      </c>
      <c r="E522" t="s">
        <v>4</v>
      </c>
      <c r="F522">
        <v>3.26</v>
      </c>
      <c r="G522">
        <v>75.5</v>
      </c>
      <c r="H522">
        <v>1</v>
      </c>
      <c r="I522">
        <v>49.7</v>
      </c>
      <c r="J522" t="s">
        <v>3</v>
      </c>
      <c r="K522" t="s">
        <v>3</v>
      </c>
      <c r="L522">
        <v>5.8</v>
      </c>
      <c r="M522">
        <v>2.29</v>
      </c>
      <c r="N522">
        <v>2.09</v>
      </c>
      <c r="O522">
        <v>2.2200000000000002</v>
      </c>
      <c r="P522" t="s">
        <v>12</v>
      </c>
      <c r="Q522" t="s">
        <v>1</v>
      </c>
      <c r="R522" t="s">
        <v>0</v>
      </c>
      <c r="S522">
        <v>0</v>
      </c>
    </row>
    <row r="523" spans="1:19" x14ac:dyDescent="0.3">
      <c r="A523">
        <v>522</v>
      </c>
      <c r="B523">
        <v>22.2</v>
      </c>
      <c r="C523" t="s">
        <v>11</v>
      </c>
      <c r="D523">
        <v>89168</v>
      </c>
      <c r="E523" t="s">
        <v>4</v>
      </c>
      <c r="F523">
        <v>4.7699999999999996</v>
      </c>
      <c r="G523">
        <v>78.5</v>
      </c>
      <c r="H523">
        <v>4</v>
      </c>
      <c r="I523">
        <v>31.9</v>
      </c>
      <c r="J523" t="s">
        <v>4</v>
      </c>
      <c r="K523" t="s">
        <v>3</v>
      </c>
      <c r="L523">
        <v>4.4000000000000004</v>
      </c>
      <c r="M523">
        <v>1.34</v>
      </c>
      <c r="N523">
        <v>1.32</v>
      </c>
      <c r="O523">
        <v>1.36</v>
      </c>
      <c r="P523" t="s">
        <v>12</v>
      </c>
      <c r="Q523" t="s">
        <v>6</v>
      </c>
      <c r="R523" t="s">
        <v>9</v>
      </c>
      <c r="S523">
        <v>0</v>
      </c>
    </row>
    <row r="524" spans="1:19" x14ac:dyDescent="0.3">
      <c r="A524">
        <v>523</v>
      </c>
      <c r="B524">
        <v>19.5</v>
      </c>
      <c r="C524" t="s">
        <v>11</v>
      </c>
      <c r="D524">
        <v>109447</v>
      </c>
      <c r="E524" t="s">
        <v>3</v>
      </c>
      <c r="F524">
        <v>4.46</v>
      </c>
      <c r="G524">
        <v>81.3</v>
      </c>
      <c r="H524">
        <v>1</v>
      </c>
      <c r="I524">
        <v>21.3</v>
      </c>
      <c r="J524" t="s">
        <v>3</v>
      </c>
      <c r="K524" t="s">
        <v>3</v>
      </c>
      <c r="L524">
        <v>4.3</v>
      </c>
      <c r="M524">
        <v>3.73</v>
      </c>
      <c r="N524">
        <v>3.83</v>
      </c>
      <c r="O524">
        <v>3.88</v>
      </c>
      <c r="P524" t="s">
        <v>10</v>
      </c>
      <c r="Q524" t="s">
        <v>1</v>
      </c>
      <c r="R524" t="s">
        <v>9</v>
      </c>
      <c r="S524">
        <v>0</v>
      </c>
    </row>
    <row r="525" spans="1:19" x14ac:dyDescent="0.3">
      <c r="A525">
        <v>524</v>
      </c>
      <c r="B525">
        <v>22.3</v>
      </c>
      <c r="C525" t="s">
        <v>5</v>
      </c>
      <c r="D525">
        <v>25000</v>
      </c>
      <c r="E525" t="s">
        <v>4</v>
      </c>
      <c r="F525">
        <v>4.26</v>
      </c>
      <c r="G525">
        <v>81.8</v>
      </c>
      <c r="H525">
        <v>1</v>
      </c>
      <c r="I525">
        <v>38.1</v>
      </c>
      <c r="J525" t="s">
        <v>4</v>
      </c>
      <c r="K525" t="s">
        <v>3</v>
      </c>
      <c r="L525">
        <v>4.5</v>
      </c>
      <c r="M525">
        <v>2.69</v>
      </c>
      <c r="N525">
        <v>2.57</v>
      </c>
      <c r="O525">
        <v>2.57</v>
      </c>
      <c r="P525" t="s">
        <v>10</v>
      </c>
      <c r="Q525" t="s">
        <v>6</v>
      </c>
      <c r="R525" t="s">
        <v>15</v>
      </c>
      <c r="S525">
        <v>0</v>
      </c>
    </row>
    <row r="526" spans="1:19" x14ac:dyDescent="0.3">
      <c r="A526">
        <v>525</v>
      </c>
      <c r="B526">
        <v>19.3</v>
      </c>
      <c r="C526" t="s">
        <v>5</v>
      </c>
      <c r="D526">
        <v>31415</v>
      </c>
      <c r="E526" t="s">
        <v>4</v>
      </c>
      <c r="F526">
        <v>1.87</v>
      </c>
      <c r="G526">
        <v>81.900000000000006</v>
      </c>
      <c r="H526">
        <v>0</v>
      </c>
      <c r="I526">
        <v>30.1</v>
      </c>
      <c r="J526" t="s">
        <v>3</v>
      </c>
      <c r="K526" t="s">
        <v>3</v>
      </c>
      <c r="L526">
        <v>7.8</v>
      </c>
      <c r="M526">
        <v>2.89</v>
      </c>
      <c r="N526">
        <v>2.6</v>
      </c>
      <c r="O526">
        <v>2.6</v>
      </c>
      <c r="P526" t="s">
        <v>2</v>
      </c>
      <c r="Q526" t="s">
        <v>1</v>
      </c>
      <c r="R526" t="s">
        <v>15</v>
      </c>
      <c r="S526">
        <v>0</v>
      </c>
    </row>
    <row r="527" spans="1:19" x14ac:dyDescent="0.3">
      <c r="A527">
        <v>526</v>
      </c>
      <c r="B527">
        <v>17</v>
      </c>
      <c r="C527" t="s">
        <v>11</v>
      </c>
      <c r="D527">
        <v>26564</v>
      </c>
      <c r="E527" t="s">
        <v>4</v>
      </c>
      <c r="F527">
        <v>2.34</v>
      </c>
      <c r="G527">
        <v>74.099999999999994</v>
      </c>
      <c r="H527">
        <v>2</v>
      </c>
      <c r="I527">
        <v>30.5</v>
      </c>
      <c r="J527" t="s">
        <v>3</v>
      </c>
      <c r="K527" t="s">
        <v>4</v>
      </c>
      <c r="L527">
        <v>3</v>
      </c>
      <c r="M527">
        <v>2.2000000000000002</v>
      </c>
      <c r="N527">
        <v>1.74</v>
      </c>
      <c r="O527">
        <v>1.75</v>
      </c>
      <c r="P527" t="s">
        <v>7</v>
      </c>
      <c r="Q527" t="s">
        <v>13</v>
      </c>
      <c r="R527" t="s">
        <v>9</v>
      </c>
      <c r="S527">
        <v>0</v>
      </c>
    </row>
    <row r="528" spans="1:19" x14ac:dyDescent="0.3">
      <c r="A528">
        <v>527</v>
      </c>
      <c r="B528">
        <v>17.399999999999999</v>
      </c>
      <c r="C528" t="s">
        <v>11</v>
      </c>
      <c r="D528">
        <v>57786</v>
      </c>
      <c r="E528" t="s">
        <v>4</v>
      </c>
      <c r="F528">
        <v>5.75</v>
      </c>
      <c r="G528">
        <v>81.3</v>
      </c>
      <c r="H528">
        <v>2</v>
      </c>
      <c r="I528">
        <v>17.600000000000001</v>
      </c>
      <c r="J528" t="s">
        <v>3</v>
      </c>
      <c r="K528" t="s">
        <v>3</v>
      </c>
      <c r="L528">
        <v>8.6999999999999993</v>
      </c>
      <c r="M528">
        <v>2.4700000000000002</v>
      </c>
      <c r="N528">
        <v>2.12</v>
      </c>
      <c r="O528">
        <v>2.12</v>
      </c>
      <c r="P528" t="s">
        <v>2</v>
      </c>
      <c r="Q528" t="s">
        <v>6</v>
      </c>
      <c r="R528" t="s">
        <v>0</v>
      </c>
      <c r="S528">
        <v>0</v>
      </c>
    </row>
    <row r="529" spans="1:19" x14ac:dyDescent="0.3">
      <c r="A529">
        <v>528</v>
      </c>
      <c r="B529">
        <v>21.1</v>
      </c>
      <c r="C529" t="s">
        <v>11</v>
      </c>
      <c r="D529">
        <v>65081</v>
      </c>
      <c r="E529" t="s">
        <v>4</v>
      </c>
      <c r="F529">
        <v>3.88</v>
      </c>
      <c r="G529">
        <v>87.5</v>
      </c>
      <c r="H529">
        <v>1</v>
      </c>
      <c r="I529">
        <v>10.6</v>
      </c>
      <c r="J529" t="s">
        <v>4</v>
      </c>
      <c r="K529" t="s">
        <v>3</v>
      </c>
      <c r="L529">
        <v>6.9</v>
      </c>
      <c r="M529">
        <v>2.41</v>
      </c>
      <c r="N529">
        <v>2.52</v>
      </c>
      <c r="O529">
        <v>2.54</v>
      </c>
      <c r="P529" t="s">
        <v>10</v>
      </c>
      <c r="Q529" t="s">
        <v>1</v>
      </c>
      <c r="R529" t="s">
        <v>9</v>
      </c>
      <c r="S529">
        <v>1</v>
      </c>
    </row>
    <row r="530" spans="1:19" x14ac:dyDescent="0.3">
      <c r="A530">
        <v>529</v>
      </c>
      <c r="B530">
        <v>21.6</v>
      </c>
      <c r="C530" t="s">
        <v>11</v>
      </c>
      <c r="D530">
        <v>25000</v>
      </c>
      <c r="E530" t="s">
        <v>4</v>
      </c>
      <c r="F530">
        <v>3.72</v>
      </c>
      <c r="G530">
        <v>92.2</v>
      </c>
      <c r="H530">
        <v>3</v>
      </c>
      <c r="I530">
        <v>29.8</v>
      </c>
      <c r="J530" t="s">
        <v>4</v>
      </c>
      <c r="K530" t="s">
        <v>3</v>
      </c>
      <c r="L530">
        <v>2.7</v>
      </c>
      <c r="M530">
        <v>2.87</v>
      </c>
      <c r="N530">
        <v>3.09</v>
      </c>
      <c r="O530">
        <v>3.11</v>
      </c>
      <c r="P530" t="s">
        <v>7</v>
      </c>
      <c r="Q530" t="s">
        <v>13</v>
      </c>
      <c r="R530" t="s">
        <v>16</v>
      </c>
      <c r="S530">
        <v>0</v>
      </c>
    </row>
    <row r="531" spans="1:19" x14ac:dyDescent="0.3">
      <c r="A531">
        <v>530</v>
      </c>
      <c r="B531">
        <v>19</v>
      </c>
      <c r="C531" t="s">
        <v>5</v>
      </c>
      <c r="D531">
        <v>39561</v>
      </c>
      <c r="E531" t="s">
        <v>4</v>
      </c>
      <c r="F531">
        <v>2.97</v>
      </c>
      <c r="G531">
        <v>89.9</v>
      </c>
      <c r="H531">
        <v>2</v>
      </c>
      <c r="I531">
        <v>17.2</v>
      </c>
      <c r="J531" t="s">
        <v>3</v>
      </c>
      <c r="K531" t="s">
        <v>3</v>
      </c>
      <c r="L531">
        <v>4.5</v>
      </c>
      <c r="M531">
        <v>4</v>
      </c>
      <c r="N531">
        <v>4</v>
      </c>
      <c r="O531">
        <v>4</v>
      </c>
      <c r="P531" t="s">
        <v>2</v>
      </c>
      <c r="Q531" t="s">
        <v>14</v>
      </c>
      <c r="R531" t="s">
        <v>0</v>
      </c>
      <c r="S531">
        <v>0</v>
      </c>
    </row>
    <row r="532" spans="1:19" x14ac:dyDescent="0.3">
      <c r="A532">
        <v>531</v>
      </c>
      <c r="B532">
        <v>22.4</v>
      </c>
      <c r="C532" t="s">
        <v>5</v>
      </c>
      <c r="D532">
        <v>25000</v>
      </c>
      <c r="E532" t="s">
        <v>4</v>
      </c>
      <c r="F532">
        <v>4.0199999999999996</v>
      </c>
      <c r="G532">
        <v>81.5</v>
      </c>
      <c r="H532">
        <v>0</v>
      </c>
      <c r="I532">
        <v>23.6</v>
      </c>
      <c r="J532" t="s">
        <v>3</v>
      </c>
      <c r="K532" t="s">
        <v>3</v>
      </c>
      <c r="L532">
        <v>2.6</v>
      </c>
      <c r="M532">
        <v>0.47</v>
      </c>
      <c r="N532">
        <v>0.37</v>
      </c>
      <c r="O532">
        <v>0.47</v>
      </c>
      <c r="P532" t="s">
        <v>7</v>
      </c>
      <c r="Q532" t="s">
        <v>14</v>
      </c>
      <c r="R532" t="s">
        <v>9</v>
      </c>
      <c r="S532">
        <v>0</v>
      </c>
    </row>
    <row r="533" spans="1:19" x14ac:dyDescent="0.3">
      <c r="A533">
        <v>532</v>
      </c>
      <c r="B533">
        <v>17.3</v>
      </c>
      <c r="C533" t="s">
        <v>5</v>
      </c>
      <c r="D533">
        <v>85388</v>
      </c>
      <c r="E533" t="s">
        <v>4</v>
      </c>
      <c r="F533">
        <v>3.37</v>
      </c>
      <c r="G533">
        <v>80.7</v>
      </c>
      <c r="H533">
        <v>2</v>
      </c>
      <c r="I533">
        <v>47.8</v>
      </c>
      <c r="J533" t="s">
        <v>3</v>
      </c>
      <c r="K533" t="s">
        <v>4</v>
      </c>
      <c r="L533">
        <v>6.7</v>
      </c>
      <c r="M533">
        <v>0.28000000000000003</v>
      </c>
      <c r="N533">
        <v>0.28999999999999998</v>
      </c>
      <c r="O533">
        <v>0.28999999999999998</v>
      </c>
      <c r="P533" t="s">
        <v>2</v>
      </c>
      <c r="Q533" t="s">
        <v>1</v>
      </c>
      <c r="R533" t="s">
        <v>9</v>
      </c>
      <c r="S533">
        <v>0</v>
      </c>
    </row>
    <row r="534" spans="1:19" x14ac:dyDescent="0.3">
      <c r="A534">
        <v>533</v>
      </c>
      <c r="B534">
        <v>20.9</v>
      </c>
      <c r="C534" t="s">
        <v>5</v>
      </c>
      <c r="D534">
        <v>38721</v>
      </c>
      <c r="E534" t="s">
        <v>3</v>
      </c>
      <c r="F534">
        <v>5.1100000000000003</v>
      </c>
      <c r="G534">
        <v>91.9</v>
      </c>
      <c r="H534">
        <v>1</v>
      </c>
      <c r="I534">
        <v>29.2</v>
      </c>
      <c r="J534" t="s">
        <v>3</v>
      </c>
      <c r="K534" t="s">
        <v>3</v>
      </c>
      <c r="L534">
        <v>7.8</v>
      </c>
      <c r="M534">
        <v>1.56</v>
      </c>
      <c r="N534">
        <v>1.49</v>
      </c>
      <c r="O534">
        <v>1.49</v>
      </c>
      <c r="P534" t="s">
        <v>2</v>
      </c>
      <c r="Q534" t="s">
        <v>14</v>
      </c>
      <c r="R534" t="s">
        <v>9</v>
      </c>
      <c r="S534">
        <v>0</v>
      </c>
    </row>
    <row r="535" spans="1:19" x14ac:dyDescent="0.3">
      <c r="A535">
        <v>534</v>
      </c>
      <c r="B535">
        <v>18.3</v>
      </c>
      <c r="C535" t="s">
        <v>5</v>
      </c>
      <c r="D535">
        <v>25000</v>
      </c>
      <c r="E535" t="s">
        <v>4</v>
      </c>
      <c r="F535">
        <v>2.63</v>
      </c>
      <c r="G535">
        <v>81.099999999999994</v>
      </c>
      <c r="H535">
        <v>1</v>
      </c>
      <c r="I535">
        <v>43.3</v>
      </c>
      <c r="J535" t="s">
        <v>4</v>
      </c>
      <c r="K535" t="s">
        <v>3</v>
      </c>
      <c r="L535">
        <v>5.9</v>
      </c>
      <c r="M535">
        <v>1.27</v>
      </c>
      <c r="N535">
        <v>1.4</v>
      </c>
      <c r="O535">
        <v>1.38</v>
      </c>
      <c r="P535" t="s">
        <v>10</v>
      </c>
      <c r="Q535" t="s">
        <v>14</v>
      </c>
      <c r="R535" t="s">
        <v>15</v>
      </c>
      <c r="S535">
        <v>1</v>
      </c>
    </row>
    <row r="536" spans="1:19" x14ac:dyDescent="0.3">
      <c r="A536">
        <v>535</v>
      </c>
      <c r="B536">
        <v>19.600000000000001</v>
      </c>
      <c r="C536" t="s">
        <v>11</v>
      </c>
      <c r="D536">
        <v>25725</v>
      </c>
      <c r="E536" t="s">
        <v>4</v>
      </c>
      <c r="F536">
        <v>5.09</v>
      </c>
      <c r="G536">
        <v>88.9</v>
      </c>
      <c r="H536">
        <v>3</v>
      </c>
      <c r="I536">
        <v>33.6</v>
      </c>
      <c r="J536" t="s">
        <v>4</v>
      </c>
      <c r="K536" t="s">
        <v>3</v>
      </c>
      <c r="L536">
        <v>7.7</v>
      </c>
      <c r="M536">
        <v>2.0699999999999998</v>
      </c>
      <c r="N536">
        <v>1.87</v>
      </c>
      <c r="O536">
        <v>1.93</v>
      </c>
      <c r="P536" t="s">
        <v>10</v>
      </c>
      <c r="Q536" t="s">
        <v>14</v>
      </c>
      <c r="R536" t="s">
        <v>15</v>
      </c>
      <c r="S536">
        <v>1</v>
      </c>
    </row>
    <row r="537" spans="1:19" x14ac:dyDescent="0.3">
      <c r="A537">
        <v>536</v>
      </c>
      <c r="B537">
        <v>21.1</v>
      </c>
      <c r="C537" t="s">
        <v>11</v>
      </c>
      <c r="D537">
        <v>25000</v>
      </c>
      <c r="E537" t="s">
        <v>4</v>
      </c>
      <c r="F537">
        <v>6.14</v>
      </c>
      <c r="G537">
        <v>81.8</v>
      </c>
      <c r="H537">
        <v>2</v>
      </c>
      <c r="I537">
        <v>37</v>
      </c>
      <c r="J537" t="s">
        <v>3</v>
      </c>
      <c r="K537" t="s">
        <v>3</v>
      </c>
      <c r="L537">
        <v>5.8</v>
      </c>
      <c r="M537">
        <v>2.56</v>
      </c>
      <c r="N537">
        <v>3</v>
      </c>
      <c r="O537">
        <v>3.01</v>
      </c>
      <c r="P537" t="s">
        <v>12</v>
      </c>
      <c r="Q537" t="s">
        <v>6</v>
      </c>
      <c r="R537" t="s">
        <v>15</v>
      </c>
      <c r="S537">
        <v>1</v>
      </c>
    </row>
    <row r="538" spans="1:19" x14ac:dyDescent="0.3">
      <c r="A538">
        <v>537</v>
      </c>
      <c r="B538">
        <v>19.100000000000001</v>
      </c>
      <c r="C538" t="s">
        <v>5</v>
      </c>
      <c r="D538">
        <v>40744</v>
      </c>
      <c r="E538" t="s">
        <v>4</v>
      </c>
      <c r="F538">
        <v>4.8</v>
      </c>
      <c r="G538">
        <v>62.8</v>
      </c>
      <c r="H538">
        <v>2</v>
      </c>
      <c r="I538">
        <v>23.4</v>
      </c>
      <c r="J538" t="s">
        <v>3</v>
      </c>
      <c r="K538" t="s">
        <v>3</v>
      </c>
      <c r="L538">
        <v>7.2</v>
      </c>
      <c r="M538">
        <v>1.94</v>
      </c>
      <c r="N538">
        <v>1.95</v>
      </c>
      <c r="O538">
        <v>1.99</v>
      </c>
      <c r="P538" t="s">
        <v>10</v>
      </c>
      <c r="Q538" t="s">
        <v>13</v>
      </c>
      <c r="R538" t="s">
        <v>15</v>
      </c>
      <c r="S538">
        <v>1</v>
      </c>
    </row>
    <row r="539" spans="1:19" x14ac:dyDescent="0.3">
      <c r="A539">
        <v>538</v>
      </c>
      <c r="B539">
        <v>20.2</v>
      </c>
      <c r="C539" t="s">
        <v>11</v>
      </c>
      <c r="D539">
        <v>55556</v>
      </c>
      <c r="E539" t="s">
        <v>4</v>
      </c>
      <c r="F539">
        <v>2.4</v>
      </c>
      <c r="G539">
        <v>87.3</v>
      </c>
      <c r="H539">
        <v>1</v>
      </c>
      <c r="I539">
        <v>43.8</v>
      </c>
      <c r="J539" t="s">
        <v>4</v>
      </c>
      <c r="K539" t="s">
        <v>3</v>
      </c>
      <c r="L539">
        <v>6</v>
      </c>
      <c r="M539">
        <v>1.21</v>
      </c>
      <c r="N539">
        <v>1.59</v>
      </c>
      <c r="O539">
        <v>1.55</v>
      </c>
      <c r="P539" t="s">
        <v>10</v>
      </c>
      <c r="Q539" t="s">
        <v>1</v>
      </c>
      <c r="R539" t="s">
        <v>9</v>
      </c>
      <c r="S539">
        <v>1</v>
      </c>
    </row>
    <row r="540" spans="1:19" x14ac:dyDescent="0.3">
      <c r="A540">
        <v>539</v>
      </c>
      <c r="B540">
        <v>23.2</v>
      </c>
      <c r="C540" t="s">
        <v>11</v>
      </c>
      <c r="D540">
        <v>25000</v>
      </c>
      <c r="E540" t="s">
        <v>4</v>
      </c>
      <c r="F540">
        <v>5.07</v>
      </c>
      <c r="G540">
        <v>89.7</v>
      </c>
      <c r="H540">
        <v>2</v>
      </c>
      <c r="I540">
        <v>33.700000000000003</v>
      </c>
      <c r="J540" t="s">
        <v>3</v>
      </c>
      <c r="K540" t="s">
        <v>3</v>
      </c>
      <c r="L540">
        <v>5.5</v>
      </c>
      <c r="M540">
        <v>2.54</v>
      </c>
      <c r="N540">
        <v>2.37</v>
      </c>
      <c r="O540">
        <v>2.41</v>
      </c>
      <c r="P540" t="s">
        <v>7</v>
      </c>
      <c r="Q540" t="s">
        <v>14</v>
      </c>
      <c r="R540" t="s">
        <v>0</v>
      </c>
      <c r="S540">
        <v>0</v>
      </c>
    </row>
    <row r="541" spans="1:19" x14ac:dyDescent="0.3">
      <c r="A541">
        <v>540</v>
      </c>
      <c r="B541">
        <v>19.7</v>
      </c>
      <c r="C541" t="s">
        <v>11</v>
      </c>
      <c r="D541">
        <v>89613</v>
      </c>
      <c r="E541" t="s">
        <v>4</v>
      </c>
      <c r="F541">
        <v>3.36</v>
      </c>
      <c r="G541">
        <v>79.400000000000006</v>
      </c>
      <c r="H541">
        <v>2</v>
      </c>
      <c r="I541">
        <v>26.8</v>
      </c>
      <c r="J541" t="s">
        <v>4</v>
      </c>
      <c r="K541" t="s">
        <v>3</v>
      </c>
      <c r="L541">
        <v>6.9</v>
      </c>
      <c r="M541">
        <v>1.6</v>
      </c>
      <c r="N541">
        <v>1.56</v>
      </c>
      <c r="O541">
        <v>1.58</v>
      </c>
      <c r="P541" t="s">
        <v>10</v>
      </c>
      <c r="Q541" t="s">
        <v>6</v>
      </c>
      <c r="R541" t="s">
        <v>0</v>
      </c>
      <c r="S541">
        <v>1</v>
      </c>
    </row>
    <row r="542" spans="1:19" x14ac:dyDescent="0.3">
      <c r="A542">
        <v>541</v>
      </c>
      <c r="B542">
        <v>22.8</v>
      </c>
      <c r="C542" t="s">
        <v>5</v>
      </c>
      <c r="D542">
        <v>77918</v>
      </c>
      <c r="E542" t="s">
        <v>4</v>
      </c>
      <c r="F542">
        <v>3.32</v>
      </c>
      <c r="G542">
        <v>72.7</v>
      </c>
      <c r="H542">
        <v>3</v>
      </c>
      <c r="I542">
        <v>33.700000000000003</v>
      </c>
      <c r="J542" t="s">
        <v>4</v>
      </c>
      <c r="K542" t="s">
        <v>3</v>
      </c>
      <c r="L542">
        <v>5.2</v>
      </c>
      <c r="M542">
        <v>0.5</v>
      </c>
      <c r="N542">
        <v>0.79</v>
      </c>
      <c r="O542">
        <v>0.84</v>
      </c>
      <c r="P542" t="s">
        <v>12</v>
      </c>
      <c r="Q542" t="s">
        <v>8</v>
      </c>
      <c r="R542" t="s">
        <v>9</v>
      </c>
      <c r="S542">
        <v>0</v>
      </c>
    </row>
    <row r="543" spans="1:19" x14ac:dyDescent="0.3">
      <c r="A543">
        <v>542</v>
      </c>
      <c r="B543">
        <v>18.5</v>
      </c>
      <c r="C543" t="s">
        <v>11</v>
      </c>
      <c r="D543">
        <v>25000</v>
      </c>
      <c r="E543" t="s">
        <v>4</v>
      </c>
      <c r="F543">
        <v>4.18</v>
      </c>
      <c r="G543">
        <v>94.2</v>
      </c>
      <c r="H543">
        <v>1</v>
      </c>
      <c r="I543">
        <v>21.4</v>
      </c>
      <c r="J543" t="s">
        <v>3</v>
      </c>
      <c r="K543" t="s">
        <v>3</v>
      </c>
      <c r="L543">
        <v>8.1</v>
      </c>
      <c r="M543">
        <v>2.27</v>
      </c>
      <c r="N543">
        <v>1.71</v>
      </c>
      <c r="O543">
        <v>1.73</v>
      </c>
      <c r="P543" t="s">
        <v>12</v>
      </c>
      <c r="Q543" t="s">
        <v>1</v>
      </c>
      <c r="R543" t="s">
        <v>17</v>
      </c>
      <c r="S543">
        <v>0</v>
      </c>
    </row>
    <row r="544" spans="1:19" x14ac:dyDescent="0.3">
      <c r="A544">
        <v>543</v>
      </c>
      <c r="B544">
        <v>22.2</v>
      </c>
      <c r="C544" t="s">
        <v>11</v>
      </c>
      <c r="D544">
        <v>31060</v>
      </c>
      <c r="E544" t="s">
        <v>4</v>
      </c>
      <c r="F544">
        <v>3.68</v>
      </c>
      <c r="G544">
        <v>80.8</v>
      </c>
      <c r="H544">
        <v>2</v>
      </c>
      <c r="I544">
        <v>26.5</v>
      </c>
      <c r="J544" t="s">
        <v>4</v>
      </c>
      <c r="K544" t="s">
        <v>4</v>
      </c>
      <c r="L544">
        <v>4.9000000000000004</v>
      </c>
      <c r="M544">
        <v>3.48</v>
      </c>
      <c r="N544">
        <v>3.56</v>
      </c>
      <c r="O544">
        <v>3.56</v>
      </c>
      <c r="P544" t="s">
        <v>2</v>
      </c>
      <c r="Q544" t="s">
        <v>13</v>
      </c>
      <c r="R544" t="s">
        <v>0</v>
      </c>
      <c r="S544">
        <v>0</v>
      </c>
    </row>
    <row r="545" spans="1:19" x14ac:dyDescent="0.3">
      <c r="A545">
        <v>544</v>
      </c>
      <c r="B545">
        <v>24.2</v>
      </c>
      <c r="C545" t="s">
        <v>5</v>
      </c>
      <c r="D545">
        <v>82991</v>
      </c>
      <c r="E545" t="s">
        <v>4</v>
      </c>
      <c r="F545">
        <v>3.4</v>
      </c>
      <c r="G545">
        <v>79.2</v>
      </c>
      <c r="H545">
        <v>1</v>
      </c>
      <c r="I545">
        <v>29.3</v>
      </c>
      <c r="J545" t="s">
        <v>4</v>
      </c>
      <c r="K545" t="s">
        <v>3</v>
      </c>
      <c r="L545">
        <v>6.5</v>
      </c>
      <c r="M545">
        <v>1.23</v>
      </c>
      <c r="N545">
        <v>0.66</v>
      </c>
      <c r="O545">
        <v>0.69</v>
      </c>
      <c r="P545" t="s">
        <v>7</v>
      </c>
      <c r="Q545" t="s">
        <v>1</v>
      </c>
      <c r="R545" t="s">
        <v>9</v>
      </c>
      <c r="S545">
        <v>0</v>
      </c>
    </row>
    <row r="546" spans="1:19" x14ac:dyDescent="0.3">
      <c r="A546">
        <v>545</v>
      </c>
      <c r="B546">
        <v>17</v>
      </c>
      <c r="C546" t="s">
        <v>5</v>
      </c>
      <c r="D546">
        <v>62302</v>
      </c>
      <c r="E546" t="s">
        <v>4</v>
      </c>
      <c r="F546">
        <v>4.8899999999999997</v>
      </c>
      <c r="G546">
        <v>85.6</v>
      </c>
      <c r="H546">
        <v>2</v>
      </c>
      <c r="I546">
        <v>23.7</v>
      </c>
      <c r="J546" t="s">
        <v>3</v>
      </c>
      <c r="K546" t="s">
        <v>4</v>
      </c>
      <c r="L546">
        <v>4.2</v>
      </c>
      <c r="M546">
        <v>3.47</v>
      </c>
      <c r="N546">
        <v>3.65</v>
      </c>
      <c r="O546">
        <v>3.65</v>
      </c>
      <c r="P546" t="s">
        <v>2</v>
      </c>
      <c r="Q546" t="s">
        <v>1</v>
      </c>
      <c r="R546" t="s">
        <v>9</v>
      </c>
      <c r="S546">
        <v>1</v>
      </c>
    </row>
    <row r="547" spans="1:19" x14ac:dyDescent="0.3">
      <c r="A547">
        <v>546</v>
      </c>
      <c r="B547">
        <v>19.2</v>
      </c>
      <c r="C547" t="s">
        <v>11</v>
      </c>
      <c r="D547">
        <v>25000</v>
      </c>
      <c r="E547" t="s">
        <v>4</v>
      </c>
      <c r="F547">
        <v>4.1500000000000004</v>
      </c>
      <c r="G547">
        <v>100</v>
      </c>
      <c r="H547">
        <v>1</v>
      </c>
      <c r="I547">
        <v>48.7</v>
      </c>
      <c r="J547" t="s">
        <v>3</v>
      </c>
      <c r="K547" t="s">
        <v>3</v>
      </c>
      <c r="L547">
        <v>2.7</v>
      </c>
      <c r="M547">
        <v>3.67</v>
      </c>
      <c r="N547">
        <v>3.41</v>
      </c>
      <c r="O547">
        <v>3.41</v>
      </c>
      <c r="P547" t="s">
        <v>10</v>
      </c>
      <c r="Q547" t="s">
        <v>8</v>
      </c>
      <c r="R547" t="s">
        <v>15</v>
      </c>
      <c r="S547">
        <v>0</v>
      </c>
    </row>
    <row r="548" spans="1:19" x14ac:dyDescent="0.3">
      <c r="A548">
        <v>547</v>
      </c>
      <c r="B548">
        <v>22.3</v>
      </c>
      <c r="C548" t="s">
        <v>5</v>
      </c>
      <c r="D548">
        <v>48465</v>
      </c>
      <c r="E548" t="s">
        <v>4</v>
      </c>
      <c r="F548">
        <v>1.51</v>
      </c>
      <c r="G548">
        <v>85.9</v>
      </c>
      <c r="H548">
        <v>1</v>
      </c>
      <c r="I548">
        <v>25</v>
      </c>
      <c r="J548" t="s">
        <v>4</v>
      </c>
      <c r="K548" t="s">
        <v>4</v>
      </c>
      <c r="L548">
        <v>6.1</v>
      </c>
      <c r="M548">
        <v>1.61</v>
      </c>
      <c r="N548">
        <v>1.36</v>
      </c>
      <c r="O548">
        <v>1.38</v>
      </c>
      <c r="P548" t="s">
        <v>10</v>
      </c>
      <c r="Q548" t="s">
        <v>8</v>
      </c>
      <c r="R548" t="s">
        <v>15</v>
      </c>
      <c r="S548">
        <v>0</v>
      </c>
    </row>
    <row r="549" spans="1:19" x14ac:dyDescent="0.3">
      <c r="A549">
        <v>548</v>
      </c>
      <c r="B549">
        <v>20.6</v>
      </c>
      <c r="C549" t="s">
        <v>5</v>
      </c>
      <c r="D549">
        <v>179570</v>
      </c>
      <c r="E549" t="s">
        <v>4</v>
      </c>
      <c r="F549">
        <v>5.33</v>
      </c>
      <c r="G549">
        <v>83.4</v>
      </c>
      <c r="H549">
        <v>3</v>
      </c>
      <c r="I549">
        <v>55</v>
      </c>
      <c r="J549" t="s">
        <v>4</v>
      </c>
      <c r="K549" t="s">
        <v>3</v>
      </c>
      <c r="L549">
        <v>2.2999999999999998</v>
      </c>
      <c r="M549">
        <v>4</v>
      </c>
      <c r="N549">
        <v>4</v>
      </c>
      <c r="O549">
        <v>4</v>
      </c>
      <c r="P549" t="s">
        <v>7</v>
      </c>
      <c r="Q549" t="s">
        <v>6</v>
      </c>
      <c r="R549" t="s">
        <v>15</v>
      </c>
      <c r="S549">
        <v>0</v>
      </c>
    </row>
    <row r="550" spans="1:19" x14ac:dyDescent="0.3">
      <c r="A550">
        <v>549</v>
      </c>
      <c r="B550">
        <v>21.8</v>
      </c>
      <c r="C550" t="s">
        <v>5</v>
      </c>
      <c r="D550">
        <v>31669</v>
      </c>
      <c r="E550" t="s">
        <v>4</v>
      </c>
      <c r="F550">
        <v>5.56</v>
      </c>
      <c r="G550">
        <v>82.6</v>
      </c>
      <c r="H550">
        <v>2</v>
      </c>
      <c r="I550">
        <v>30.8</v>
      </c>
      <c r="J550" t="s">
        <v>3</v>
      </c>
      <c r="K550" t="s">
        <v>4</v>
      </c>
      <c r="L550">
        <v>9.4</v>
      </c>
      <c r="M550">
        <v>1.32</v>
      </c>
      <c r="N550">
        <v>1.5</v>
      </c>
      <c r="O550">
        <v>1.56</v>
      </c>
      <c r="P550" t="s">
        <v>12</v>
      </c>
      <c r="Q550" t="s">
        <v>8</v>
      </c>
      <c r="R550" t="s">
        <v>16</v>
      </c>
      <c r="S550">
        <v>1</v>
      </c>
    </row>
    <row r="551" spans="1:19" x14ac:dyDescent="0.3">
      <c r="A551">
        <v>550</v>
      </c>
      <c r="B551">
        <v>19.7</v>
      </c>
      <c r="C551" t="s">
        <v>11</v>
      </c>
      <c r="D551">
        <v>25000</v>
      </c>
      <c r="E551" t="s">
        <v>4</v>
      </c>
      <c r="F551">
        <v>4.78</v>
      </c>
      <c r="G551">
        <v>95.2</v>
      </c>
      <c r="H551">
        <v>4</v>
      </c>
      <c r="I551">
        <v>27.2</v>
      </c>
      <c r="J551" t="s">
        <v>4</v>
      </c>
      <c r="K551" t="s">
        <v>4</v>
      </c>
      <c r="L551">
        <v>4.9000000000000004</v>
      </c>
      <c r="M551">
        <v>3.41</v>
      </c>
      <c r="N551">
        <v>3.68</v>
      </c>
      <c r="O551">
        <v>3.68</v>
      </c>
      <c r="P551" t="s">
        <v>2</v>
      </c>
      <c r="Q551" t="s">
        <v>6</v>
      </c>
      <c r="R551" t="s">
        <v>17</v>
      </c>
      <c r="S551">
        <v>0</v>
      </c>
    </row>
    <row r="552" spans="1:19" x14ac:dyDescent="0.3">
      <c r="A552">
        <v>551</v>
      </c>
      <c r="B552">
        <v>21.2</v>
      </c>
      <c r="C552" t="s">
        <v>11</v>
      </c>
      <c r="D552">
        <v>32973</v>
      </c>
      <c r="E552" t="s">
        <v>4</v>
      </c>
      <c r="F552">
        <v>4.8600000000000003</v>
      </c>
      <c r="G552">
        <v>86.2</v>
      </c>
      <c r="H552">
        <v>1</v>
      </c>
      <c r="I552">
        <v>23.9</v>
      </c>
      <c r="J552" t="s">
        <v>4</v>
      </c>
      <c r="K552" t="s">
        <v>3</v>
      </c>
      <c r="L552">
        <v>5.4</v>
      </c>
      <c r="M552">
        <v>2.82</v>
      </c>
      <c r="N552">
        <v>2.27</v>
      </c>
      <c r="O552">
        <v>2.3199999999999998</v>
      </c>
      <c r="P552" t="s">
        <v>10</v>
      </c>
      <c r="Q552" t="s">
        <v>14</v>
      </c>
      <c r="R552" t="s">
        <v>0</v>
      </c>
      <c r="S552">
        <v>0</v>
      </c>
    </row>
    <row r="553" spans="1:19" x14ac:dyDescent="0.3">
      <c r="A553">
        <v>552</v>
      </c>
      <c r="B553">
        <v>20.7</v>
      </c>
      <c r="C553" t="s">
        <v>5</v>
      </c>
      <c r="D553">
        <v>34473</v>
      </c>
      <c r="E553" t="s">
        <v>4</v>
      </c>
      <c r="F553">
        <v>3.71</v>
      </c>
      <c r="G553">
        <v>88.9</v>
      </c>
      <c r="H553">
        <v>3</v>
      </c>
      <c r="I553">
        <v>35.1</v>
      </c>
      <c r="J553" t="s">
        <v>4</v>
      </c>
      <c r="K553" t="s">
        <v>4</v>
      </c>
      <c r="L553">
        <v>4.9000000000000004</v>
      </c>
      <c r="M553">
        <v>0.38</v>
      </c>
      <c r="N553">
        <v>0.68</v>
      </c>
      <c r="O553">
        <v>0.64</v>
      </c>
      <c r="P553" t="s">
        <v>12</v>
      </c>
      <c r="Q553" t="s">
        <v>8</v>
      </c>
      <c r="R553" t="s">
        <v>15</v>
      </c>
      <c r="S553">
        <v>0</v>
      </c>
    </row>
    <row r="554" spans="1:19" x14ac:dyDescent="0.3">
      <c r="A554">
        <v>553</v>
      </c>
      <c r="B554">
        <v>23.6</v>
      </c>
      <c r="C554" t="s">
        <v>5</v>
      </c>
      <c r="D554">
        <v>25000</v>
      </c>
      <c r="E554" t="s">
        <v>4</v>
      </c>
      <c r="F554">
        <v>2.44</v>
      </c>
      <c r="G554">
        <v>84.4</v>
      </c>
      <c r="H554">
        <v>3</v>
      </c>
      <c r="I554">
        <v>40.700000000000003</v>
      </c>
      <c r="J554" t="s">
        <v>4</v>
      </c>
      <c r="K554" t="s">
        <v>4</v>
      </c>
      <c r="L554">
        <v>5.8</v>
      </c>
      <c r="M554">
        <v>3.03</v>
      </c>
      <c r="N554">
        <v>3.13</v>
      </c>
      <c r="O554">
        <v>3.06</v>
      </c>
      <c r="P554" t="s">
        <v>12</v>
      </c>
      <c r="Q554" t="s">
        <v>8</v>
      </c>
      <c r="R554" t="s">
        <v>9</v>
      </c>
      <c r="S554">
        <v>1</v>
      </c>
    </row>
    <row r="555" spans="1:19" x14ac:dyDescent="0.3">
      <c r="A555">
        <v>554</v>
      </c>
      <c r="B555">
        <v>21.6</v>
      </c>
      <c r="C555" t="s">
        <v>11</v>
      </c>
      <c r="D555">
        <v>38753</v>
      </c>
      <c r="E555" t="s">
        <v>4</v>
      </c>
      <c r="F555">
        <v>4.2300000000000004</v>
      </c>
      <c r="G555">
        <v>86.3</v>
      </c>
      <c r="H555">
        <v>3</v>
      </c>
      <c r="I555">
        <v>5</v>
      </c>
      <c r="J555" t="s">
        <v>3</v>
      </c>
      <c r="K555" t="s">
        <v>4</v>
      </c>
      <c r="L555">
        <v>6.1</v>
      </c>
      <c r="M555">
        <v>3.19</v>
      </c>
      <c r="N555">
        <v>3.02</v>
      </c>
      <c r="O555">
        <v>3.04</v>
      </c>
      <c r="P555" t="s">
        <v>12</v>
      </c>
      <c r="Q555" t="s">
        <v>13</v>
      </c>
      <c r="R555" t="s">
        <v>15</v>
      </c>
      <c r="S555">
        <v>0</v>
      </c>
    </row>
    <row r="556" spans="1:19" x14ac:dyDescent="0.3">
      <c r="A556">
        <v>555</v>
      </c>
      <c r="B556">
        <v>21.7</v>
      </c>
      <c r="C556" t="s">
        <v>11</v>
      </c>
      <c r="D556">
        <v>25000</v>
      </c>
      <c r="E556" t="s">
        <v>4</v>
      </c>
      <c r="F556">
        <v>6.01</v>
      </c>
      <c r="G556">
        <v>79.8</v>
      </c>
      <c r="H556">
        <v>1</v>
      </c>
      <c r="I556">
        <v>30.1</v>
      </c>
      <c r="J556" t="s">
        <v>3</v>
      </c>
      <c r="K556" t="s">
        <v>3</v>
      </c>
      <c r="L556">
        <v>4</v>
      </c>
      <c r="M556">
        <v>3.96</v>
      </c>
      <c r="N556">
        <v>3.89</v>
      </c>
      <c r="O556">
        <v>3.89</v>
      </c>
      <c r="P556" t="s">
        <v>2</v>
      </c>
      <c r="Q556" t="s">
        <v>8</v>
      </c>
      <c r="R556" t="s">
        <v>15</v>
      </c>
      <c r="S556">
        <v>0</v>
      </c>
    </row>
    <row r="557" spans="1:19" x14ac:dyDescent="0.3">
      <c r="A557">
        <v>556</v>
      </c>
      <c r="B557">
        <v>20.100000000000001</v>
      </c>
      <c r="C557" t="s">
        <v>11</v>
      </c>
      <c r="D557">
        <v>25000</v>
      </c>
      <c r="E557" t="s">
        <v>4</v>
      </c>
      <c r="F557">
        <v>4.3499999999999996</v>
      </c>
      <c r="G557">
        <v>83.4</v>
      </c>
      <c r="H557">
        <v>1</v>
      </c>
      <c r="I557">
        <v>6.1</v>
      </c>
      <c r="J557" t="s">
        <v>3</v>
      </c>
      <c r="K557" t="s">
        <v>3</v>
      </c>
      <c r="L557">
        <v>1</v>
      </c>
      <c r="M557">
        <v>3.43</v>
      </c>
      <c r="N557">
        <v>4</v>
      </c>
      <c r="O557">
        <v>4</v>
      </c>
      <c r="P557" t="s">
        <v>12</v>
      </c>
      <c r="Q557" t="s">
        <v>8</v>
      </c>
      <c r="R557" t="s">
        <v>0</v>
      </c>
      <c r="S557">
        <v>0</v>
      </c>
    </row>
    <row r="558" spans="1:19" x14ac:dyDescent="0.3">
      <c r="A558">
        <v>557</v>
      </c>
      <c r="B558">
        <v>19.899999999999999</v>
      </c>
      <c r="C558" t="s">
        <v>5</v>
      </c>
      <c r="D558">
        <v>46861</v>
      </c>
      <c r="E558" t="s">
        <v>3</v>
      </c>
      <c r="F558">
        <v>6.16</v>
      </c>
      <c r="G558">
        <v>76.5</v>
      </c>
      <c r="H558">
        <v>1</v>
      </c>
      <c r="I558">
        <v>41.8</v>
      </c>
      <c r="J558" t="s">
        <v>3</v>
      </c>
      <c r="K558" t="s">
        <v>3</v>
      </c>
      <c r="L558">
        <v>3.5</v>
      </c>
      <c r="M558">
        <v>4</v>
      </c>
      <c r="N558">
        <v>3.14</v>
      </c>
      <c r="O558">
        <v>3.14</v>
      </c>
      <c r="P558" t="s">
        <v>10</v>
      </c>
      <c r="Q558" t="s">
        <v>13</v>
      </c>
      <c r="R558" t="s">
        <v>15</v>
      </c>
      <c r="S558">
        <v>0</v>
      </c>
    </row>
    <row r="559" spans="1:19" x14ac:dyDescent="0.3">
      <c r="A559">
        <v>558</v>
      </c>
      <c r="B559">
        <v>20</v>
      </c>
      <c r="C559" t="s">
        <v>5</v>
      </c>
      <c r="D559">
        <v>25000</v>
      </c>
      <c r="E559" t="s">
        <v>4</v>
      </c>
      <c r="F559">
        <v>6.22</v>
      </c>
      <c r="G559">
        <v>77.900000000000006</v>
      </c>
      <c r="H559">
        <v>2</v>
      </c>
      <c r="I559">
        <v>42</v>
      </c>
      <c r="J559" t="s">
        <v>3</v>
      </c>
      <c r="K559" t="s">
        <v>4</v>
      </c>
      <c r="L559">
        <v>4.5999999999999996</v>
      </c>
      <c r="M559">
        <v>4</v>
      </c>
      <c r="N559">
        <v>4</v>
      </c>
      <c r="O559">
        <v>4</v>
      </c>
      <c r="P559" t="s">
        <v>12</v>
      </c>
      <c r="Q559" t="s">
        <v>1</v>
      </c>
      <c r="R559" t="s">
        <v>9</v>
      </c>
      <c r="S559">
        <v>0</v>
      </c>
    </row>
    <row r="560" spans="1:19" x14ac:dyDescent="0.3">
      <c r="A560">
        <v>559</v>
      </c>
      <c r="B560">
        <v>21.9</v>
      </c>
      <c r="C560" t="s">
        <v>5</v>
      </c>
      <c r="D560">
        <v>51118</v>
      </c>
      <c r="E560" t="s">
        <v>4</v>
      </c>
      <c r="F560">
        <v>3.95</v>
      </c>
      <c r="G560">
        <v>85.9</v>
      </c>
      <c r="H560">
        <v>1</v>
      </c>
      <c r="I560">
        <v>30.5</v>
      </c>
      <c r="J560" t="s">
        <v>4</v>
      </c>
      <c r="K560" t="s">
        <v>3</v>
      </c>
      <c r="L560">
        <v>6</v>
      </c>
      <c r="M560">
        <v>3.13</v>
      </c>
      <c r="N560">
        <v>3.28</v>
      </c>
      <c r="O560">
        <v>3.34</v>
      </c>
      <c r="P560" t="s">
        <v>12</v>
      </c>
      <c r="Q560" t="s">
        <v>1</v>
      </c>
      <c r="R560" t="s">
        <v>9</v>
      </c>
      <c r="S560">
        <v>0</v>
      </c>
    </row>
    <row r="561" spans="1:19" x14ac:dyDescent="0.3">
      <c r="A561">
        <v>560</v>
      </c>
      <c r="B561">
        <v>20.100000000000001</v>
      </c>
      <c r="C561" t="s">
        <v>11</v>
      </c>
      <c r="D561">
        <v>25000</v>
      </c>
      <c r="E561" t="s">
        <v>4</v>
      </c>
      <c r="F561">
        <v>3.4</v>
      </c>
      <c r="G561">
        <v>76.400000000000006</v>
      </c>
      <c r="H561">
        <v>2</v>
      </c>
      <c r="I561">
        <v>32.5</v>
      </c>
      <c r="J561" t="s">
        <v>3</v>
      </c>
      <c r="K561" t="s">
        <v>3</v>
      </c>
      <c r="L561">
        <v>5.8</v>
      </c>
      <c r="M561">
        <v>1.44</v>
      </c>
      <c r="N561">
        <v>1.7</v>
      </c>
      <c r="O561">
        <v>1.7</v>
      </c>
      <c r="P561" t="s">
        <v>2</v>
      </c>
      <c r="Q561" t="s">
        <v>1</v>
      </c>
      <c r="R561" t="s">
        <v>15</v>
      </c>
      <c r="S561">
        <v>0</v>
      </c>
    </row>
    <row r="562" spans="1:19" x14ac:dyDescent="0.3">
      <c r="A562">
        <v>561</v>
      </c>
      <c r="B562">
        <v>21.6</v>
      </c>
      <c r="C562" t="s">
        <v>5</v>
      </c>
      <c r="D562">
        <v>25000</v>
      </c>
      <c r="E562" t="s">
        <v>4</v>
      </c>
      <c r="F562">
        <v>3.44</v>
      </c>
      <c r="G562">
        <v>83</v>
      </c>
      <c r="H562">
        <v>2</v>
      </c>
      <c r="I562">
        <v>12.8</v>
      </c>
      <c r="J562" t="s">
        <v>3</v>
      </c>
      <c r="K562" t="s">
        <v>3</v>
      </c>
      <c r="L562">
        <v>6.9</v>
      </c>
      <c r="M562">
        <v>0.94</v>
      </c>
      <c r="N562">
        <v>0.84</v>
      </c>
      <c r="O562">
        <v>0.84</v>
      </c>
      <c r="P562" t="s">
        <v>2</v>
      </c>
      <c r="Q562" t="s">
        <v>8</v>
      </c>
      <c r="R562" t="s">
        <v>9</v>
      </c>
      <c r="S562">
        <v>1</v>
      </c>
    </row>
    <row r="563" spans="1:19" x14ac:dyDescent="0.3">
      <c r="A563">
        <v>562</v>
      </c>
      <c r="B563">
        <v>25.6</v>
      </c>
      <c r="C563" t="s">
        <v>5</v>
      </c>
      <c r="D563">
        <v>25000</v>
      </c>
      <c r="E563" t="s">
        <v>4</v>
      </c>
      <c r="F563">
        <v>3.84</v>
      </c>
      <c r="G563">
        <v>79.099999999999994</v>
      </c>
      <c r="H563">
        <v>0</v>
      </c>
      <c r="I563">
        <v>23.4</v>
      </c>
      <c r="J563" t="s">
        <v>4</v>
      </c>
      <c r="K563" t="s">
        <v>3</v>
      </c>
      <c r="L563">
        <v>2.5</v>
      </c>
      <c r="M563">
        <v>4</v>
      </c>
      <c r="N563">
        <v>4</v>
      </c>
      <c r="O563">
        <v>4</v>
      </c>
      <c r="P563" t="s">
        <v>12</v>
      </c>
      <c r="Q563" t="s">
        <v>8</v>
      </c>
      <c r="R563" t="s">
        <v>16</v>
      </c>
      <c r="S563">
        <v>0</v>
      </c>
    </row>
    <row r="564" spans="1:19" x14ac:dyDescent="0.3">
      <c r="A564">
        <v>563</v>
      </c>
      <c r="B564">
        <v>22.9</v>
      </c>
      <c r="C564" t="s">
        <v>5</v>
      </c>
      <c r="D564">
        <v>35317</v>
      </c>
      <c r="E564" t="s">
        <v>4</v>
      </c>
      <c r="F564">
        <v>2.73</v>
      </c>
      <c r="G564">
        <v>73</v>
      </c>
      <c r="H564">
        <v>3</v>
      </c>
      <c r="I564">
        <v>22.7</v>
      </c>
      <c r="J564" t="s">
        <v>3</v>
      </c>
      <c r="K564" t="s">
        <v>3</v>
      </c>
      <c r="L564">
        <v>3.9</v>
      </c>
      <c r="M564">
        <v>1.9</v>
      </c>
      <c r="N564">
        <v>1.86</v>
      </c>
      <c r="O564">
        <v>1.83</v>
      </c>
      <c r="P564" t="s">
        <v>7</v>
      </c>
      <c r="Q564" t="s">
        <v>8</v>
      </c>
      <c r="R564" t="s">
        <v>9</v>
      </c>
      <c r="S564">
        <v>1</v>
      </c>
    </row>
    <row r="565" spans="1:19" x14ac:dyDescent="0.3">
      <c r="A565">
        <v>564</v>
      </c>
      <c r="B565">
        <v>20.3</v>
      </c>
      <c r="C565" t="s">
        <v>5</v>
      </c>
      <c r="D565">
        <v>65852</v>
      </c>
      <c r="E565" t="s">
        <v>4</v>
      </c>
      <c r="F565">
        <v>4.72</v>
      </c>
      <c r="G565">
        <v>83.8</v>
      </c>
      <c r="H565">
        <v>1</v>
      </c>
      <c r="I565">
        <v>24.6</v>
      </c>
      <c r="J565" t="s">
        <v>3</v>
      </c>
      <c r="K565" t="s">
        <v>4</v>
      </c>
      <c r="L565">
        <v>4.7</v>
      </c>
      <c r="M565">
        <v>4</v>
      </c>
      <c r="N565">
        <v>4</v>
      </c>
      <c r="O565">
        <v>4</v>
      </c>
      <c r="P565" t="s">
        <v>7</v>
      </c>
      <c r="Q565" t="s">
        <v>14</v>
      </c>
      <c r="R565" t="s">
        <v>0</v>
      </c>
      <c r="S565">
        <v>0</v>
      </c>
    </row>
    <row r="566" spans="1:19" x14ac:dyDescent="0.3">
      <c r="A566">
        <v>565</v>
      </c>
      <c r="B566">
        <v>23.6</v>
      </c>
      <c r="C566" t="s">
        <v>11</v>
      </c>
      <c r="D566">
        <v>30779</v>
      </c>
      <c r="E566" t="s">
        <v>4</v>
      </c>
      <c r="F566">
        <v>5.24</v>
      </c>
      <c r="G566">
        <v>88.2</v>
      </c>
      <c r="H566">
        <v>4</v>
      </c>
      <c r="I566">
        <v>40.5</v>
      </c>
      <c r="J566" t="s">
        <v>3</v>
      </c>
      <c r="K566" t="s">
        <v>4</v>
      </c>
      <c r="L566">
        <v>8.1999999999999993</v>
      </c>
      <c r="M566">
        <v>0.67</v>
      </c>
      <c r="N566">
        <v>0.6</v>
      </c>
      <c r="O566">
        <v>0.56000000000000005</v>
      </c>
      <c r="P566" t="s">
        <v>7</v>
      </c>
      <c r="Q566" t="s">
        <v>6</v>
      </c>
      <c r="R566" t="s">
        <v>0</v>
      </c>
      <c r="S566">
        <v>1</v>
      </c>
    </row>
    <row r="567" spans="1:19" x14ac:dyDescent="0.3">
      <c r="A567">
        <v>566</v>
      </c>
      <c r="B567">
        <v>20.100000000000001</v>
      </c>
      <c r="C567" t="s">
        <v>5</v>
      </c>
      <c r="D567">
        <v>25644</v>
      </c>
      <c r="E567" t="s">
        <v>4</v>
      </c>
      <c r="F567">
        <v>1.59</v>
      </c>
      <c r="G567">
        <v>71.5</v>
      </c>
      <c r="H567">
        <v>1</v>
      </c>
      <c r="I567">
        <v>45.4</v>
      </c>
      <c r="J567" t="s">
        <v>4</v>
      </c>
      <c r="K567" t="s">
        <v>3</v>
      </c>
      <c r="L567">
        <v>10</v>
      </c>
      <c r="M567">
        <v>0</v>
      </c>
      <c r="N567">
        <v>0</v>
      </c>
      <c r="O567">
        <v>0</v>
      </c>
      <c r="P567" t="s">
        <v>2</v>
      </c>
      <c r="Q567" t="s">
        <v>8</v>
      </c>
      <c r="R567" t="s">
        <v>9</v>
      </c>
      <c r="S567">
        <v>1</v>
      </c>
    </row>
    <row r="568" spans="1:19" x14ac:dyDescent="0.3">
      <c r="A568">
        <v>567</v>
      </c>
      <c r="B568">
        <v>17</v>
      </c>
      <c r="C568" t="s">
        <v>11</v>
      </c>
      <c r="D568">
        <v>42098</v>
      </c>
      <c r="E568" t="s">
        <v>4</v>
      </c>
      <c r="F568">
        <v>6.32</v>
      </c>
      <c r="G568">
        <v>86.9</v>
      </c>
      <c r="H568">
        <v>3</v>
      </c>
      <c r="I568">
        <v>37.299999999999997</v>
      </c>
      <c r="J568" t="s">
        <v>4</v>
      </c>
      <c r="K568" t="s">
        <v>3</v>
      </c>
      <c r="L568">
        <v>3.1</v>
      </c>
      <c r="M568">
        <v>4</v>
      </c>
      <c r="N568">
        <v>3.94</v>
      </c>
      <c r="O568">
        <v>3.93</v>
      </c>
      <c r="P568" t="s">
        <v>7</v>
      </c>
      <c r="Q568" t="s">
        <v>14</v>
      </c>
      <c r="R568" t="s">
        <v>9</v>
      </c>
      <c r="S568">
        <v>0</v>
      </c>
    </row>
    <row r="569" spans="1:19" x14ac:dyDescent="0.3">
      <c r="A569">
        <v>568</v>
      </c>
      <c r="B569">
        <v>18.8</v>
      </c>
      <c r="C569" t="s">
        <v>11</v>
      </c>
      <c r="D569">
        <v>25000</v>
      </c>
      <c r="E569" t="s">
        <v>4</v>
      </c>
      <c r="F569">
        <v>3.31</v>
      </c>
      <c r="G569">
        <v>73.099999999999994</v>
      </c>
      <c r="H569">
        <v>1</v>
      </c>
      <c r="I569">
        <v>26.1</v>
      </c>
      <c r="J569" t="s">
        <v>4</v>
      </c>
      <c r="K569" t="s">
        <v>3</v>
      </c>
      <c r="L569">
        <v>7.5</v>
      </c>
      <c r="M569">
        <v>2.92</v>
      </c>
      <c r="N569">
        <v>2.97</v>
      </c>
      <c r="O569">
        <v>2.97</v>
      </c>
      <c r="P569" t="s">
        <v>10</v>
      </c>
      <c r="Q569" t="s">
        <v>13</v>
      </c>
      <c r="R569" t="s">
        <v>9</v>
      </c>
      <c r="S569">
        <v>0</v>
      </c>
    </row>
    <row r="570" spans="1:19" x14ac:dyDescent="0.3">
      <c r="A570">
        <v>569</v>
      </c>
      <c r="B570">
        <v>17</v>
      </c>
      <c r="C570" t="s">
        <v>5</v>
      </c>
      <c r="E570" t="s">
        <v>4</v>
      </c>
      <c r="G570">
        <v>92.8</v>
      </c>
      <c r="H570">
        <v>1</v>
      </c>
      <c r="I570">
        <v>21</v>
      </c>
      <c r="J570" t="s">
        <v>4</v>
      </c>
      <c r="K570" t="s">
        <v>3</v>
      </c>
      <c r="M570">
        <v>2.52</v>
      </c>
      <c r="N570">
        <v>2.73</v>
      </c>
      <c r="O570">
        <v>2.69</v>
      </c>
      <c r="P570" t="s">
        <v>7</v>
      </c>
      <c r="Q570" t="s">
        <v>8</v>
      </c>
      <c r="R570" t="s">
        <v>15</v>
      </c>
      <c r="S570">
        <v>0</v>
      </c>
    </row>
    <row r="571" spans="1:19" x14ac:dyDescent="0.3">
      <c r="A571">
        <v>570</v>
      </c>
      <c r="B571">
        <v>20.2</v>
      </c>
      <c r="C571" t="s">
        <v>11</v>
      </c>
      <c r="D571">
        <v>25000</v>
      </c>
      <c r="E571" t="s">
        <v>4</v>
      </c>
      <c r="F571">
        <v>4.4000000000000004</v>
      </c>
      <c r="G571">
        <v>86.5</v>
      </c>
      <c r="H571">
        <v>0</v>
      </c>
      <c r="I571">
        <v>31.1</v>
      </c>
      <c r="J571" t="s">
        <v>3</v>
      </c>
      <c r="K571" t="s">
        <v>3</v>
      </c>
      <c r="L571">
        <v>6.5</v>
      </c>
      <c r="M571">
        <v>3.61</v>
      </c>
      <c r="N571">
        <v>4</v>
      </c>
      <c r="O571">
        <v>3.99</v>
      </c>
      <c r="P571" t="s">
        <v>12</v>
      </c>
      <c r="Q571" t="s">
        <v>8</v>
      </c>
      <c r="R571" t="s">
        <v>15</v>
      </c>
      <c r="S571">
        <v>0</v>
      </c>
    </row>
    <row r="572" spans="1:19" x14ac:dyDescent="0.3">
      <c r="A572">
        <v>571</v>
      </c>
      <c r="B572">
        <v>21</v>
      </c>
      <c r="C572" t="s">
        <v>11</v>
      </c>
      <c r="D572">
        <v>31243</v>
      </c>
      <c r="E572" t="s">
        <v>4</v>
      </c>
      <c r="F572">
        <v>2.91</v>
      </c>
      <c r="G572">
        <v>71.5</v>
      </c>
      <c r="H572">
        <v>1</v>
      </c>
      <c r="I572">
        <v>33.6</v>
      </c>
      <c r="J572" t="s">
        <v>4</v>
      </c>
      <c r="K572" t="s">
        <v>3</v>
      </c>
      <c r="L572">
        <v>3.1</v>
      </c>
      <c r="M572">
        <v>2.76</v>
      </c>
      <c r="N572">
        <v>2.73</v>
      </c>
      <c r="O572">
        <v>2.66</v>
      </c>
      <c r="P572" t="s">
        <v>12</v>
      </c>
      <c r="Q572" t="s">
        <v>13</v>
      </c>
      <c r="R572" t="s">
        <v>0</v>
      </c>
      <c r="S572">
        <v>0</v>
      </c>
    </row>
    <row r="573" spans="1:19" x14ac:dyDescent="0.3">
      <c r="A573">
        <v>572</v>
      </c>
      <c r="B573">
        <v>24.7</v>
      </c>
      <c r="C573" t="s">
        <v>11</v>
      </c>
      <c r="D573">
        <v>27504</v>
      </c>
      <c r="E573" t="s">
        <v>4</v>
      </c>
      <c r="F573">
        <v>3.23</v>
      </c>
      <c r="G573">
        <v>88.8</v>
      </c>
      <c r="H573">
        <v>3</v>
      </c>
      <c r="I573">
        <v>27.3</v>
      </c>
      <c r="J573" t="s">
        <v>3</v>
      </c>
      <c r="K573" t="s">
        <v>4</v>
      </c>
      <c r="L573">
        <v>7.9</v>
      </c>
      <c r="M573">
        <v>1.38</v>
      </c>
      <c r="N573">
        <v>1.44</v>
      </c>
      <c r="O573">
        <v>1.54</v>
      </c>
      <c r="P573" t="s">
        <v>10</v>
      </c>
      <c r="Q573" t="s">
        <v>6</v>
      </c>
      <c r="R573" t="s">
        <v>15</v>
      </c>
      <c r="S573">
        <v>0</v>
      </c>
    </row>
    <row r="574" spans="1:19" x14ac:dyDescent="0.3">
      <c r="A574">
        <v>573</v>
      </c>
      <c r="B574">
        <v>21.7</v>
      </c>
      <c r="C574" t="s">
        <v>5</v>
      </c>
      <c r="D574">
        <v>25000</v>
      </c>
      <c r="E574" t="s">
        <v>4</v>
      </c>
      <c r="F574">
        <v>2.92</v>
      </c>
      <c r="G574">
        <v>77.099999999999994</v>
      </c>
      <c r="H574">
        <v>3</v>
      </c>
      <c r="I574">
        <v>22.1</v>
      </c>
      <c r="J574" t="s">
        <v>4</v>
      </c>
      <c r="K574" t="s">
        <v>3</v>
      </c>
      <c r="L574">
        <v>1.5</v>
      </c>
      <c r="M574">
        <v>4</v>
      </c>
      <c r="N574">
        <v>3.99</v>
      </c>
      <c r="O574">
        <v>3.99</v>
      </c>
      <c r="P574" t="s">
        <v>2</v>
      </c>
      <c r="Q574" t="s">
        <v>8</v>
      </c>
      <c r="R574" t="s">
        <v>15</v>
      </c>
      <c r="S574">
        <v>0</v>
      </c>
    </row>
    <row r="575" spans="1:19" x14ac:dyDescent="0.3">
      <c r="A575">
        <v>574</v>
      </c>
      <c r="B575">
        <v>20.5</v>
      </c>
      <c r="C575" t="s">
        <v>5</v>
      </c>
      <c r="D575">
        <v>32828</v>
      </c>
      <c r="E575" t="s">
        <v>4</v>
      </c>
      <c r="F575">
        <v>4</v>
      </c>
      <c r="G575">
        <v>74.3</v>
      </c>
      <c r="H575">
        <v>0</v>
      </c>
      <c r="I575">
        <v>37.4</v>
      </c>
      <c r="J575" t="s">
        <v>3</v>
      </c>
      <c r="K575" t="s">
        <v>4</v>
      </c>
      <c r="L575">
        <v>3.1</v>
      </c>
      <c r="M575">
        <v>2</v>
      </c>
      <c r="N575">
        <v>1.94</v>
      </c>
      <c r="O575">
        <v>1.94</v>
      </c>
      <c r="P575" t="s">
        <v>2</v>
      </c>
      <c r="Q575" t="s">
        <v>8</v>
      </c>
      <c r="R575" t="s">
        <v>0</v>
      </c>
      <c r="S575">
        <v>0</v>
      </c>
    </row>
    <row r="576" spans="1:19" x14ac:dyDescent="0.3">
      <c r="A576">
        <v>575</v>
      </c>
      <c r="B576">
        <v>22.8</v>
      </c>
      <c r="C576" t="s">
        <v>5</v>
      </c>
      <c r="D576">
        <v>32700</v>
      </c>
      <c r="E576" t="s">
        <v>4</v>
      </c>
      <c r="F576">
        <v>3.24</v>
      </c>
      <c r="G576">
        <v>87.8</v>
      </c>
      <c r="H576">
        <v>2</v>
      </c>
      <c r="I576">
        <v>38.6</v>
      </c>
      <c r="J576" t="s">
        <v>3</v>
      </c>
      <c r="K576" t="s">
        <v>3</v>
      </c>
      <c r="L576">
        <v>5</v>
      </c>
      <c r="M576">
        <v>2.52</v>
      </c>
      <c r="N576">
        <v>2.61</v>
      </c>
      <c r="O576">
        <v>2.61</v>
      </c>
      <c r="P576" t="s">
        <v>2</v>
      </c>
      <c r="Q576" t="s">
        <v>1</v>
      </c>
      <c r="R576" t="s">
        <v>9</v>
      </c>
      <c r="S576">
        <v>0</v>
      </c>
    </row>
    <row r="577" spans="1:19" x14ac:dyDescent="0.3">
      <c r="A577">
        <v>576</v>
      </c>
      <c r="B577">
        <v>17</v>
      </c>
      <c r="C577" t="s">
        <v>11</v>
      </c>
      <c r="D577">
        <v>60191</v>
      </c>
      <c r="E577" t="s">
        <v>4</v>
      </c>
      <c r="F577">
        <v>4.49</v>
      </c>
      <c r="G577">
        <v>91.7</v>
      </c>
      <c r="H577">
        <v>4</v>
      </c>
      <c r="I577">
        <v>14.3</v>
      </c>
      <c r="J577" t="s">
        <v>3</v>
      </c>
      <c r="K577" t="s">
        <v>3</v>
      </c>
      <c r="L577">
        <v>4.4000000000000004</v>
      </c>
      <c r="M577">
        <v>3.6</v>
      </c>
      <c r="N577">
        <v>3.96</v>
      </c>
      <c r="O577">
        <v>3.96</v>
      </c>
      <c r="P577" t="s">
        <v>2</v>
      </c>
      <c r="Q577" t="s">
        <v>8</v>
      </c>
      <c r="R577" t="s">
        <v>9</v>
      </c>
      <c r="S577">
        <v>0</v>
      </c>
    </row>
    <row r="578" spans="1:19" x14ac:dyDescent="0.3">
      <c r="A578">
        <v>577</v>
      </c>
      <c r="B578">
        <v>21.5</v>
      </c>
      <c r="C578" t="s">
        <v>11</v>
      </c>
      <c r="E578" t="s">
        <v>4</v>
      </c>
      <c r="G578">
        <v>70.8</v>
      </c>
      <c r="H578">
        <v>2</v>
      </c>
      <c r="I578">
        <v>25.4</v>
      </c>
      <c r="J578" t="s">
        <v>3</v>
      </c>
      <c r="K578" t="s">
        <v>3</v>
      </c>
      <c r="M578">
        <v>2.1800000000000002</v>
      </c>
      <c r="N578">
        <v>2.4500000000000002</v>
      </c>
      <c r="O578">
        <v>2.56</v>
      </c>
      <c r="P578" t="s">
        <v>7</v>
      </c>
      <c r="Q578" t="s">
        <v>13</v>
      </c>
      <c r="R578" t="s">
        <v>0</v>
      </c>
      <c r="S578">
        <v>1</v>
      </c>
    </row>
    <row r="579" spans="1:19" x14ac:dyDescent="0.3">
      <c r="A579">
        <v>578</v>
      </c>
      <c r="B579">
        <v>22.7</v>
      </c>
      <c r="C579" t="s">
        <v>11</v>
      </c>
      <c r="D579">
        <v>28406</v>
      </c>
      <c r="E579" t="s">
        <v>4</v>
      </c>
      <c r="F579">
        <v>4.58</v>
      </c>
      <c r="G579">
        <v>79</v>
      </c>
      <c r="H579">
        <v>1</v>
      </c>
      <c r="I579">
        <v>39.299999999999997</v>
      </c>
      <c r="J579" t="s">
        <v>4</v>
      </c>
      <c r="K579" t="s">
        <v>3</v>
      </c>
      <c r="L579">
        <v>4.3</v>
      </c>
      <c r="M579">
        <v>2.31</v>
      </c>
      <c r="N579">
        <v>2.69</v>
      </c>
      <c r="O579">
        <v>2.71</v>
      </c>
      <c r="P579" t="s">
        <v>12</v>
      </c>
      <c r="Q579" t="s">
        <v>8</v>
      </c>
      <c r="R579" t="s">
        <v>9</v>
      </c>
      <c r="S579">
        <v>0</v>
      </c>
    </row>
    <row r="580" spans="1:19" x14ac:dyDescent="0.3">
      <c r="A580">
        <v>579</v>
      </c>
      <c r="B580">
        <v>17.7</v>
      </c>
      <c r="C580" t="s">
        <v>5</v>
      </c>
      <c r="D580">
        <v>25000</v>
      </c>
      <c r="E580" t="s">
        <v>4</v>
      </c>
      <c r="F580">
        <v>2.5299999999999998</v>
      </c>
      <c r="G580">
        <v>83.4</v>
      </c>
      <c r="H580">
        <v>0</v>
      </c>
      <c r="I580">
        <v>41.9</v>
      </c>
      <c r="J580" t="s">
        <v>4</v>
      </c>
      <c r="K580" t="s">
        <v>4</v>
      </c>
      <c r="L580">
        <v>4.9000000000000004</v>
      </c>
      <c r="M580">
        <v>2.2999999999999998</v>
      </c>
      <c r="N580">
        <v>1.95</v>
      </c>
      <c r="O580">
        <v>1.94</v>
      </c>
      <c r="P580" t="s">
        <v>12</v>
      </c>
      <c r="Q580" t="s">
        <v>6</v>
      </c>
      <c r="R580" t="s">
        <v>9</v>
      </c>
      <c r="S580">
        <v>0</v>
      </c>
    </row>
    <row r="581" spans="1:19" x14ac:dyDescent="0.3">
      <c r="A581">
        <v>580</v>
      </c>
      <c r="B581">
        <v>23.5</v>
      </c>
      <c r="C581" t="s">
        <v>5</v>
      </c>
      <c r="D581">
        <v>50104</v>
      </c>
      <c r="E581" t="s">
        <v>3</v>
      </c>
      <c r="F581">
        <v>5.31</v>
      </c>
      <c r="G581">
        <v>77.3</v>
      </c>
      <c r="H581">
        <v>3</v>
      </c>
      <c r="I581">
        <v>30.8</v>
      </c>
      <c r="J581" t="s">
        <v>3</v>
      </c>
      <c r="K581" t="s">
        <v>4</v>
      </c>
      <c r="L581">
        <v>5.2</v>
      </c>
      <c r="M581">
        <v>2.14</v>
      </c>
      <c r="N581">
        <v>2.38</v>
      </c>
      <c r="O581">
        <v>2.34</v>
      </c>
      <c r="P581" t="s">
        <v>12</v>
      </c>
      <c r="Q581" t="s">
        <v>6</v>
      </c>
      <c r="R581" t="s">
        <v>9</v>
      </c>
      <c r="S581">
        <v>0</v>
      </c>
    </row>
    <row r="582" spans="1:19" x14ac:dyDescent="0.3">
      <c r="A582">
        <v>581</v>
      </c>
      <c r="B582">
        <v>21.7</v>
      </c>
      <c r="C582" t="s">
        <v>11</v>
      </c>
      <c r="D582">
        <v>46740</v>
      </c>
      <c r="E582" t="s">
        <v>4</v>
      </c>
      <c r="F582">
        <v>5.0599999999999996</v>
      </c>
      <c r="G582">
        <v>80.599999999999994</v>
      </c>
      <c r="H582">
        <v>1</v>
      </c>
      <c r="I582">
        <v>34.4</v>
      </c>
      <c r="J582" t="s">
        <v>3</v>
      </c>
      <c r="K582" t="s">
        <v>4</v>
      </c>
      <c r="L582">
        <v>5.0999999999999996</v>
      </c>
      <c r="M582">
        <v>2.25</v>
      </c>
      <c r="N582">
        <v>2.57</v>
      </c>
      <c r="O582">
        <v>2.5299999999999998</v>
      </c>
      <c r="P582" t="s">
        <v>12</v>
      </c>
      <c r="Q582" t="s">
        <v>13</v>
      </c>
      <c r="R582" t="s">
        <v>9</v>
      </c>
      <c r="S582">
        <v>0</v>
      </c>
    </row>
    <row r="583" spans="1:19" x14ac:dyDescent="0.3">
      <c r="A583">
        <v>582</v>
      </c>
      <c r="B583">
        <v>20.100000000000001</v>
      </c>
      <c r="C583" t="s">
        <v>5</v>
      </c>
      <c r="D583">
        <v>40325</v>
      </c>
      <c r="E583" t="s">
        <v>4</v>
      </c>
      <c r="F583">
        <v>1.22</v>
      </c>
      <c r="G583">
        <v>85.3</v>
      </c>
      <c r="H583">
        <v>3</v>
      </c>
      <c r="I583">
        <v>33</v>
      </c>
      <c r="J583" t="s">
        <v>3</v>
      </c>
      <c r="K583" t="s">
        <v>4</v>
      </c>
      <c r="L583">
        <v>5.8</v>
      </c>
      <c r="M583">
        <v>0.95</v>
      </c>
      <c r="N583">
        <v>1.28</v>
      </c>
      <c r="O583">
        <v>1.23</v>
      </c>
      <c r="P583" t="s">
        <v>12</v>
      </c>
      <c r="Q583" t="s">
        <v>6</v>
      </c>
      <c r="R583" t="s">
        <v>9</v>
      </c>
      <c r="S583">
        <v>0</v>
      </c>
    </row>
    <row r="584" spans="1:19" x14ac:dyDescent="0.3">
      <c r="A584">
        <v>583</v>
      </c>
      <c r="B584">
        <v>22.4</v>
      </c>
      <c r="C584" t="s">
        <v>11</v>
      </c>
      <c r="E584" t="s">
        <v>4</v>
      </c>
      <c r="G584">
        <v>55.599999999999902</v>
      </c>
      <c r="H584">
        <v>1</v>
      </c>
      <c r="I584">
        <v>41.5</v>
      </c>
      <c r="J584" t="s">
        <v>3</v>
      </c>
      <c r="K584" t="s">
        <v>3</v>
      </c>
      <c r="M584">
        <v>3.07</v>
      </c>
      <c r="N584">
        <v>3.33</v>
      </c>
      <c r="O584">
        <v>3.33</v>
      </c>
      <c r="P584" t="s">
        <v>2</v>
      </c>
      <c r="Q584" t="s">
        <v>14</v>
      </c>
      <c r="R584" t="s">
        <v>0</v>
      </c>
      <c r="S584">
        <v>0</v>
      </c>
    </row>
    <row r="585" spans="1:19" x14ac:dyDescent="0.3">
      <c r="A585">
        <v>584</v>
      </c>
      <c r="B585">
        <v>26</v>
      </c>
      <c r="C585" t="s">
        <v>5</v>
      </c>
      <c r="D585">
        <v>50579</v>
      </c>
      <c r="E585" t="s">
        <v>4</v>
      </c>
      <c r="F585">
        <v>0.61</v>
      </c>
      <c r="G585">
        <v>85.6</v>
      </c>
      <c r="H585">
        <v>2</v>
      </c>
      <c r="I585">
        <v>16.7</v>
      </c>
      <c r="J585" t="s">
        <v>3</v>
      </c>
      <c r="K585" t="s">
        <v>3</v>
      </c>
      <c r="L585">
        <v>4.0999999999999996</v>
      </c>
      <c r="M585">
        <v>0.66</v>
      </c>
      <c r="N585">
        <v>0.48</v>
      </c>
      <c r="O585">
        <v>0.48</v>
      </c>
      <c r="P585" t="s">
        <v>10</v>
      </c>
      <c r="Q585" t="s">
        <v>6</v>
      </c>
      <c r="R585" t="s">
        <v>15</v>
      </c>
      <c r="S585">
        <v>0</v>
      </c>
    </row>
    <row r="586" spans="1:19" x14ac:dyDescent="0.3">
      <c r="A586">
        <v>585</v>
      </c>
      <c r="B586">
        <v>21.4</v>
      </c>
      <c r="C586" t="s">
        <v>5</v>
      </c>
      <c r="D586">
        <v>25000</v>
      </c>
      <c r="E586" t="s">
        <v>4</v>
      </c>
      <c r="F586">
        <v>2.48</v>
      </c>
      <c r="G586">
        <v>70.7</v>
      </c>
      <c r="H586">
        <v>1</v>
      </c>
      <c r="I586">
        <v>33.200000000000003</v>
      </c>
      <c r="J586" t="s">
        <v>3</v>
      </c>
      <c r="K586" t="s">
        <v>4</v>
      </c>
      <c r="L586">
        <v>7.9</v>
      </c>
      <c r="M586">
        <v>1.57</v>
      </c>
      <c r="N586">
        <v>1.82</v>
      </c>
      <c r="O586">
        <v>1.86</v>
      </c>
      <c r="P586" t="s">
        <v>12</v>
      </c>
      <c r="Q586" t="s">
        <v>8</v>
      </c>
      <c r="R586" t="s">
        <v>0</v>
      </c>
      <c r="S586">
        <v>1</v>
      </c>
    </row>
    <row r="587" spans="1:19" x14ac:dyDescent="0.3">
      <c r="A587">
        <v>586</v>
      </c>
      <c r="B587">
        <v>21.5</v>
      </c>
      <c r="C587" t="s">
        <v>5</v>
      </c>
      <c r="D587">
        <v>25000</v>
      </c>
      <c r="E587" t="s">
        <v>3</v>
      </c>
      <c r="F587">
        <v>5.34</v>
      </c>
      <c r="G587">
        <v>71.8</v>
      </c>
      <c r="H587">
        <v>1</v>
      </c>
      <c r="I587">
        <v>19.3</v>
      </c>
      <c r="J587" t="s">
        <v>3</v>
      </c>
      <c r="K587" t="s">
        <v>4</v>
      </c>
      <c r="L587">
        <v>5.6</v>
      </c>
      <c r="M587">
        <v>2.29</v>
      </c>
      <c r="N587">
        <v>2.02</v>
      </c>
      <c r="O587">
        <v>2.02</v>
      </c>
      <c r="P587" t="s">
        <v>2</v>
      </c>
      <c r="Q587" t="s">
        <v>14</v>
      </c>
      <c r="R587" t="s">
        <v>9</v>
      </c>
      <c r="S587">
        <v>1</v>
      </c>
    </row>
    <row r="588" spans="1:19" x14ac:dyDescent="0.3">
      <c r="A588">
        <v>587</v>
      </c>
      <c r="B588">
        <v>20</v>
      </c>
      <c r="C588" t="s">
        <v>5</v>
      </c>
      <c r="D588">
        <v>25000</v>
      </c>
      <c r="E588" t="s">
        <v>4</v>
      </c>
      <c r="F588">
        <v>3.3</v>
      </c>
      <c r="G588">
        <v>87.2</v>
      </c>
      <c r="H588">
        <v>2</v>
      </c>
      <c r="I588">
        <v>43.1</v>
      </c>
      <c r="J588" t="s">
        <v>4</v>
      </c>
      <c r="K588" t="s">
        <v>3</v>
      </c>
      <c r="L588">
        <v>7.8</v>
      </c>
      <c r="M588">
        <v>2.91</v>
      </c>
      <c r="N588">
        <v>2.83</v>
      </c>
      <c r="O588">
        <v>2.85</v>
      </c>
      <c r="P588" t="s">
        <v>10</v>
      </c>
      <c r="Q588" t="s">
        <v>13</v>
      </c>
      <c r="R588" t="s">
        <v>17</v>
      </c>
      <c r="S588">
        <v>0</v>
      </c>
    </row>
    <row r="589" spans="1:19" x14ac:dyDescent="0.3">
      <c r="A589">
        <v>588</v>
      </c>
      <c r="B589">
        <v>19.100000000000001</v>
      </c>
      <c r="C589" t="s">
        <v>5</v>
      </c>
      <c r="D589">
        <v>29141</v>
      </c>
      <c r="E589" t="s">
        <v>4</v>
      </c>
      <c r="F589">
        <v>6.03</v>
      </c>
      <c r="G589">
        <v>75.2</v>
      </c>
      <c r="H589">
        <v>1</v>
      </c>
      <c r="I589">
        <v>17.3</v>
      </c>
      <c r="J589" t="s">
        <v>4</v>
      </c>
      <c r="K589" t="s">
        <v>3</v>
      </c>
      <c r="L589">
        <v>4.9000000000000004</v>
      </c>
      <c r="M589">
        <v>2.54</v>
      </c>
      <c r="N589">
        <v>2.5299999999999998</v>
      </c>
      <c r="O589">
        <v>2.5499999999999998</v>
      </c>
      <c r="P589" t="s">
        <v>10</v>
      </c>
      <c r="Q589" t="s">
        <v>8</v>
      </c>
      <c r="R589" t="s">
        <v>15</v>
      </c>
      <c r="S589">
        <v>0</v>
      </c>
    </row>
    <row r="590" spans="1:19" x14ac:dyDescent="0.3">
      <c r="A590">
        <v>589</v>
      </c>
      <c r="B590">
        <v>22.8</v>
      </c>
      <c r="C590" t="s">
        <v>5</v>
      </c>
      <c r="D590">
        <v>44583</v>
      </c>
      <c r="E590" t="s">
        <v>3</v>
      </c>
      <c r="F590">
        <v>4.92</v>
      </c>
      <c r="G590">
        <v>74.099999999999994</v>
      </c>
      <c r="H590">
        <v>3</v>
      </c>
      <c r="I590">
        <v>34.9</v>
      </c>
      <c r="J590" t="s">
        <v>3</v>
      </c>
      <c r="K590" t="s">
        <v>3</v>
      </c>
      <c r="L590">
        <v>3.9</v>
      </c>
      <c r="M590">
        <v>0.34</v>
      </c>
      <c r="N590">
        <v>0.53</v>
      </c>
      <c r="O590">
        <v>0.53</v>
      </c>
      <c r="P590" t="s">
        <v>2</v>
      </c>
      <c r="Q590" t="s">
        <v>6</v>
      </c>
      <c r="R590" t="s">
        <v>0</v>
      </c>
      <c r="S590">
        <v>1</v>
      </c>
    </row>
    <row r="591" spans="1:19" x14ac:dyDescent="0.3">
      <c r="A591">
        <v>590</v>
      </c>
      <c r="B591">
        <v>19.100000000000001</v>
      </c>
      <c r="C591" t="s">
        <v>5</v>
      </c>
      <c r="D591">
        <v>25000</v>
      </c>
      <c r="E591" t="s">
        <v>4</v>
      </c>
      <c r="F591">
        <v>3.44</v>
      </c>
      <c r="G591">
        <v>79.599999999999994</v>
      </c>
      <c r="H591">
        <v>3</v>
      </c>
      <c r="I591">
        <v>19.399999999999999</v>
      </c>
      <c r="J591" t="s">
        <v>3</v>
      </c>
      <c r="K591" t="s">
        <v>3</v>
      </c>
      <c r="L591">
        <v>5.6</v>
      </c>
      <c r="M591">
        <v>3.18</v>
      </c>
      <c r="N591">
        <v>3.55</v>
      </c>
      <c r="O591">
        <v>3.55</v>
      </c>
      <c r="P591" t="s">
        <v>2</v>
      </c>
      <c r="Q591" t="s">
        <v>6</v>
      </c>
      <c r="R591" t="s">
        <v>15</v>
      </c>
      <c r="S591">
        <v>0</v>
      </c>
    </row>
    <row r="592" spans="1:19" x14ac:dyDescent="0.3">
      <c r="A592">
        <v>591</v>
      </c>
      <c r="B592">
        <v>21.2</v>
      </c>
      <c r="C592" t="s">
        <v>5</v>
      </c>
      <c r="D592">
        <v>65752</v>
      </c>
      <c r="E592" t="s">
        <v>4</v>
      </c>
      <c r="F592">
        <v>3.25</v>
      </c>
      <c r="G592">
        <v>77.3</v>
      </c>
      <c r="H592">
        <v>1</v>
      </c>
      <c r="I592">
        <v>39</v>
      </c>
      <c r="J592" t="s">
        <v>3</v>
      </c>
      <c r="K592" t="s">
        <v>3</v>
      </c>
      <c r="L592">
        <v>10</v>
      </c>
      <c r="M592">
        <v>0.95</v>
      </c>
      <c r="N592">
        <v>0.82</v>
      </c>
      <c r="O592">
        <v>0.83</v>
      </c>
      <c r="P592" t="s">
        <v>10</v>
      </c>
      <c r="Q592" t="s">
        <v>8</v>
      </c>
      <c r="R592" t="s">
        <v>0</v>
      </c>
      <c r="S592">
        <v>0</v>
      </c>
    </row>
    <row r="593" spans="1:19" x14ac:dyDescent="0.3">
      <c r="A593">
        <v>592</v>
      </c>
      <c r="B593">
        <v>19.899999999999999</v>
      </c>
      <c r="C593" t="s">
        <v>5</v>
      </c>
      <c r="D593">
        <v>32166</v>
      </c>
      <c r="E593" t="s">
        <v>4</v>
      </c>
      <c r="F593">
        <v>5.95</v>
      </c>
      <c r="G593">
        <v>83.9</v>
      </c>
      <c r="H593">
        <v>0</v>
      </c>
      <c r="I593">
        <v>35.299999999999997</v>
      </c>
      <c r="J593" t="s">
        <v>3</v>
      </c>
      <c r="K593" t="s">
        <v>3</v>
      </c>
      <c r="L593">
        <v>3</v>
      </c>
      <c r="M593">
        <v>2.99</v>
      </c>
      <c r="N593">
        <v>2.56</v>
      </c>
      <c r="O593">
        <v>2.56</v>
      </c>
      <c r="P593" t="s">
        <v>2</v>
      </c>
      <c r="Q593" t="s">
        <v>14</v>
      </c>
      <c r="R593" t="s">
        <v>16</v>
      </c>
      <c r="S593">
        <v>0</v>
      </c>
    </row>
    <row r="594" spans="1:19" x14ac:dyDescent="0.3">
      <c r="A594">
        <v>593</v>
      </c>
      <c r="B594">
        <v>22.1</v>
      </c>
      <c r="C594" t="s">
        <v>11</v>
      </c>
      <c r="D594">
        <v>25000</v>
      </c>
      <c r="E594" t="s">
        <v>4</v>
      </c>
      <c r="F594">
        <v>3.38</v>
      </c>
      <c r="G594">
        <v>83.4</v>
      </c>
      <c r="H594">
        <v>2</v>
      </c>
      <c r="I594">
        <v>32.9</v>
      </c>
      <c r="J594" t="s">
        <v>4</v>
      </c>
      <c r="K594" t="s">
        <v>3</v>
      </c>
      <c r="L594">
        <v>6.7</v>
      </c>
      <c r="M594">
        <v>0</v>
      </c>
      <c r="N594">
        <v>0</v>
      </c>
      <c r="O594">
        <v>0</v>
      </c>
      <c r="P594" t="s">
        <v>10</v>
      </c>
      <c r="Q594" t="s">
        <v>1</v>
      </c>
      <c r="R594" t="s">
        <v>9</v>
      </c>
      <c r="S594">
        <v>1</v>
      </c>
    </row>
    <row r="595" spans="1:19" x14ac:dyDescent="0.3">
      <c r="A595">
        <v>594</v>
      </c>
      <c r="B595">
        <v>21.7</v>
      </c>
      <c r="C595" t="s">
        <v>5</v>
      </c>
      <c r="D595">
        <v>31589</v>
      </c>
      <c r="E595" t="s">
        <v>4</v>
      </c>
      <c r="F595">
        <v>1.58</v>
      </c>
      <c r="G595">
        <v>74.099999999999994</v>
      </c>
      <c r="H595">
        <v>1</v>
      </c>
      <c r="I595">
        <v>53.5</v>
      </c>
      <c r="J595" t="s">
        <v>3</v>
      </c>
      <c r="K595" t="s">
        <v>4</v>
      </c>
      <c r="L595">
        <v>5.8</v>
      </c>
      <c r="M595">
        <v>1.79</v>
      </c>
      <c r="N595">
        <v>1.92</v>
      </c>
      <c r="O595">
        <v>1.91</v>
      </c>
      <c r="P595" t="s">
        <v>7</v>
      </c>
      <c r="Q595" t="s">
        <v>6</v>
      </c>
      <c r="R595" t="s">
        <v>15</v>
      </c>
      <c r="S595">
        <v>0</v>
      </c>
    </row>
    <row r="596" spans="1:19" x14ac:dyDescent="0.3">
      <c r="A596">
        <v>595</v>
      </c>
      <c r="B596">
        <v>23.3</v>
      </c>
      <c r="C596" t="s">
        <v>11</v>
      </c>
      <c r="D596">
        <v>57269</v>
      </c>
      <c r="E596" t="s">
        <v>4</v>
      </c>
      <c r="F596">
        <v>2.79</v>
      </c>
      <c r="G596">
        <v>68.3</v>
      </c>
      <c r="H596">
        <v>1</v>
      </c>
      <c r="I596">
        <v>21.6</v>
      </c>
      <c r="J596" t="s">
        <v>4</v>
      </c>
      <c r="K596" t="s">
        <v>3</v>
      </c>
      <c r="L596">
        <v>6.2</v>
      </c>
      <c r="M596">
        <v>0</v>
      </c>
      <c r="N596">
        <v>0</v>
      </c>
      <c r="O596">
        <v>0</v>
      </c>
      <c r="P596" t="s">
        <v>12</v>
      </c>
      <c r="Q596" t="s">
        <v>13</v>
      </c>
      <c r="R596" t="s">
        <v>9</v>
      </c>
      <c r="S596">
        <v>1</v>
      </c>
    </row>
    <row r="597" spans="1:19" x14ac:dyDescent="0.3">
      <c r="A597">
        <v>596</v>
      </c>
      <c r="B597">
        <v>19.899999999999999</v>
      </c>
      <c r="C597" t="s">
        <v>11</v>
      </c>
      <c r="D597">
        <v>42602</v>
      </c>
      <c r="E597" t="s">
        <v>4</v>
      </c>
      <c r="F597">
        <v>4.16</v>
      </c>
      <c r="G597">
        <v>80.400000000000006</v>
      </c>
      <c r="H597">
        <v>0</v>
      </c>
      <c r="I597">
        <v>41.1</v>
      </c>
      <c r="J597" t="s">
        <v>3</v>
      </c>
      <c r="K597" t="s">
        <v>4</v>
      </c>
      <c r="L597">
        <v>3.3</v>
      </c>
      <c r="M597">
        <v>0.77</v>
      </c>
      <c r="N597">
        <v>1.33</v>
      </c>
      <c r="O597">
        <v>1.33</v>
      </c>
      <c r="P597" t="s">
        <v>12</v>
      </c>
      <c r="Q597" t="s">
        <v>13</v>
      </c>
      <c r="R597" t="s">
        <v>0</v>
      </c>
      <c r="S597">
        <v>1</v>
      </c>
    </row>
    <row r="598" spans="1:19" x14ac:dyDescent="0.3">
      <c r="A598">
        <v>597</v>
      </c>
      <c r="B598">
        <v>20.399999999999999</v>
      </c>
      <c r="C598" t="s">
        <v>11</v>
      </c>
      <c r="D598">
        <v>57494</v>
      </c>
      <c r="E598" t="s">
        <v>3</v>
      </c>
      <c r="F598">
        <v>2.98</v>
      </c>
      <c r="G598">
        <v>90.8</v>
      </c>
      <c r="H598">
        <v>1</v>
      </c>
      <c r="I598">
        <v>44.1</v>
      </c>
      <c r="J598" t="s">
        <v>3</v>
      </c>
      <c r="K598" t="s">
        <v>3</v>
      </c>
      <c r="L598">
        <v>6.3</v>
      </c>
      <c r="M598">
        <v>3.37</v>
      </c>
      <c r="N598">
        <v>3.62</v>
      </c>
      <c r="O598">
        <v>3.62</v>
      </c>
      <c r="P598" t="s">
        <v>2</v>
      </c>
      <c r="Q598" t="s">
        <v>6</v>
      </c>
      <c r="R598" t="s">
        <v>0</v>
      </c>
      <c r="S598">
        <v>0</v>
      </c>
    </row>
    <row r="599" spans="1:19" x14ac:dyDescent="0.3">
      <c r="A599">
        <v>598</v>
      </c>
      <c r="B599">
        <v>18.8</v>
      </c>
      <c r="C599" t="s">
        <v>11</v>
      </c>
      <c r="D599">
        <v>25000</v>
      </c>
      <c r="E599" t="s">
        <v>4</v>
      </c>
      <c r="F599">
        <v>7.11</v>
      </c>
      <c r="G599">
        <v>81.5</v>
      </c>
      <c r="H599">
        <v>2</v>
      </c>
      <c r="I599">
        <v>41.1</v>
      </c>
      <c r="J599" t="s">
        <v>3</v>
      </c>
      <c r="K599" t="s">
        <v>4</v>
      </c>
      <c r="L599">
        <v>6</v>
      </c>
      <c r="M599">
        <v>2.5099999999999998</v>
      </c>
      <c r="N599">
        <v>2.82</v>
      </c>
      <c r="O599">
        <v>2.8</v>
      </c>
      <c r="P599" t="s">
        <v>10</v>
      </c>
      <c r="Q599" t="s">
        <v>13</v>
      </c>
      <c r="R599" t="s">
        <v>9</v>
      </c>
      <c r="S599">
        <v>0</v>
      </c>
    </row>
    <row r="600" spans="1:19" x14ac:dyDescent="0.3">
      <c r="A600">
        <v>599</v>
      </c>
      <c r="B600">
        <v>20</v>
      </c>
      <c r="C600" t="s">
        <v>5</v>
      </c>
      <c r="D600">
        <v>25000</v>
      </c>
      <c r="E600" t="s">
        <v>4</v>
      </c>
      <c r="F600">
        <v>3.16</v>
      </c>
      <c r="G600">
        <v>79.2</v>
      </c>
      <c r="H600">
        <v>4</v>
      </c>
      <c r="I600">
        <v>21.9</v>
      </c>
      <c r="J600" t="s">
        <v>4</v>
      </c>
      <c r="K600" t="s">
        <v>3</v>
      </c>
      <c r="L600">
        <v>2.8</v>
      </c>
      <c r="M600">
        <v>3.47</v>
      </c>
      <c r="N600">
        <v>3.61</v>
      </c>
      <c r="O600">
        <v>3.62</v>
      </c>
      <c r="P600" t="s">
        <v>10</v>
      </c>
      <c r="Q600" t="s">
        <v>6</v>
      </c>
      <c r="R600" t="s">
        <v>0</v>
      </c>
      <c r="S600">
        <v>0</v>
      </c>
    </row>
    <row r="601" spans="1:19" x14ac:dyDescent="0.3">
      <c r="A601">
        <v>600</v>
      </c>
      <c r="B601">
        <v>21.8</v>
      </c>
      <c r="C601" t="s">
        <v>11</v>
      </c>
      <c r="D601">
        <v>25000</v>
      </c>
      <c r="E601" t="s">
        <v>4</v>
      </c>
      <c r="F601">
        <v>3.19</v>
      </c>
      <c r="G601">
        <v>95.8</v>
      </c>
      <c r="H601">
        <v>4</v>
      </c>
      <c r="I601">
        <v>27.2</v>
      </c>
      <c r="J601" t="s">
        <v>3</v>
      </c>
      <c r="K601" t="s">
        <v>3</v>
      </c>
      <c r="L601">
        <v>5.7</v>
      </c>
      <c r="M601">
        <v>0.98</v>
      </c>
      <c r="N601">
        <v>0.88</v>
      </c>
      <c r="O601">
        <v>0.88</v>
      </c>
      <c r="P601" t="s">
        <v>2</v>
      </c>
      <c r="Q601" t="s">
        <v>6</v>
      </c>
      <c r="R601" t="s">
        <v>0</v>
      </c>
      <c r="S601">
        <v>0</v>
      </c>
    </row>
    <row r="602" spans="1:19" x14ac:dyDescent="0.3">
      <c r="A602">
        <v>601</v>
      </c>
      <c r="B602">
        <v>22.7</v>
      </c>
      <c r="C602" t="s">
        <v>11</v>
      </c>
      <c r="D602">
        <v>83329</v>
      </c>
      <c r="E602" t="s">
        <v>4</v>
      </c>
      <c r="F602">
        <v>2.72</v>
      </c>
      <c r="G602">
        <v>88</v>
      </c>
      <c r="H602">
        <v>3</v>
      </c>
      <c r="I602">
        <v>22.7</v>
      </c>
      <c r="J602" t="s">
        <v>4</v>
      </c>
      <c r="K602" t="s">
        <v>4</v>
      </c>
      <c r="L602">
        <v>5.0999999999999996</v>
      </c>
      <c r="M602">
        <v>1.58</v>
      </c>
      <c r="N602">
        <v>1.26</v>
      </c>
      <c r="O602">
        <v>1.33</v>
      </c>
      <c r="P602" t="s">
        <v>12</v>
      </c>
      <c r="Q602" t="s">
        <v>6</v>
      </c>
      <c r="R602" t="s">
        <v>15</v>
      </c>
      <c r="S602">
        <v>0</v>
      </c>
    </row>
    <row r="603" spans="1:19" x14ac:dyDescent="0.3">
      <c r="A603">
        <v>602</v>
      </c>
      <c r="B603">
        <v>19</v>
      </c>
      <c r="C603" t="s">
        <v>11</v>
      </c>
      <c r="D603">
        <v>43635</v>
      </c>
      <c r="E603" t="s">
        <v>4</v>
      </c>
      <c r="F603">
        <v>5.15</v>
      </c>
      <c r="G603">
        <v>68.2</v>
      </c>
      <c r="H603">
        <v>2</v>
      </c>
      <c r="I603">
        <v>26.4</v>
      </c>
      <c r="J603" t="s">
        <v>4</v>
      </c>
      <c r="K603" t="s">
        <v>4</v>
      </c>
      <c r="L603">
        <v>4.9000000000000004</v>
      </c>
      <c r="M603">
        <v>2.04</v>
      </c>
      <c r="N603">
        <v>1.63</v>
      </c>
      <c r="O603">
        <v>1.56</v>
      </c>
      <c r="P603" t="s">
        <v>12</v>
      </c>
      <c r="Q603" t="s">
        <v>6</v>
      </c>
      <c r="R603" t="s">
        <v>9</v>
      </c>
      <c r="S603">
        <v>1</v>
      </c>
    </row>
    <row r="604" spans="1:19" x14ac:dyDescent="0.3">
      <c r="A604">
        <v>603</v>
      </c>
      <c r="B604">
        <v>22.9</v>
      </c>
      <c r="C604" t="s">
        <v>5</v>
      </c>
      <c r="D604">
        <v>164096</v>
      </c>
      <c r="E604" t="s">
        <v>4</v>
      </c>
      <c r="F604">
        <v>3.64</v>
      </c>
      <c r="G604">
        <v>79.8</v>
      </c>
      <c r="H604">
        <v>2</v>
      </c>
      <c r="I604">
        <v>19.899999999999999</v>
      </c>
      <c r="J604" t="s">
        <v>3</v>
      </c>
      <c r="K604" t="s">
        <v>3</v>
      </c>
      <c r="L604">
        <v>5.4</v>
      </c>
      <c r="M604">
        <v>0</v>
      </c>
      <c r="N604">
        <v>0.2</v>
      </c>
      <c r="O604">
        <v>0.14000000000000001</v>
      </c>
      <c r="P604" t="s">
        <v>7</v>
      </c>
      <c r="Q604" t="s">
        <v>13</v>
      </c>
      <c r="R604" t="s">
        <v>0</v>
      </c>
      <c r="S604">
        <v>1</v>
      </c>
    </row>
    <row r="605" spans="1:19" x14ac:dyDescent="0.3">
      <c r="A605">
        <v>604</v>
      </c>
      <c r="B605">
        <v>24</v>
      </c>
      <c r="C605" t="s">
        <v>5</v>
      </c>
      <c r="D605">
        <v>25000</v>
      </c>
      <c r="E605" t="s">
        <v>4</v>
      </c>
      <c r="F605">
        <v>5.0599999999999996</v>
      </c>
      <c r="G605">
        <v>83.8</v>
      </c>
      <c r="H605">
        <v>2</v>
      </c>
      <c r="I605">
        <v>25.6</v>
      </c>
      <c r="J605" t="s">
        <v>3</v>
      </c>
      <c r="K605" t="s">
        <v>3</v>
      </c>
      <c r="L605">
        <v>7.5</v>
      </c>
      <c r="M605">
        <v>3.05</v>
      </c>
      <c r="N605">
        <v>2.75</v>
      </c>
      <c r="O605">
        <v>2.71</v>
      </c>
      <c r="P605" t="s">
        <v>12</v>
      </c>
      <c r="Q605" t="s">
        <v>8</v>
      </c>
      <c r="R605" t="s">
        <v>17</v>
      </c>
      <c r="S605">
        <v>0</v>
      </c>
    </row>
    <row r="606" spans="1:19" x14ac:dyDescent="0.3">
      <c r="A606">
        <v>605</v>
      </c>
      <c r="B606">
        <v>21.9</v>
      </c>
      <c r="C606" t="s">
        <v>5</v>
      </c>
      <c r="D606">
        <v>25000</v>
      </c>
      <c r="E606" t="s">
        <v>4</v>
      </c>
      <c r="F606">
        <v>5.5</v>
      </c>
      <c r="G606">
        <v>73.5</v>
      </c>
      <c r="H606">
        <v>0</v>
      </c>
      <c r="I606">
        <v>47.6</v>
      </c>
      <c r="J606" t="s">
        <v>4</v>
      </c>
      <c r="K606" t="s">
        <v>3</v>
      </c>
      <c r="L606">
        <v>6.3</v>
      </c>
      <c r="M606">
        <v>3.07</v>
      </c>
      <c r="N606">
        <v>3.38</v>
      </c>
      <c r="O606">
        <v>3.36</v>
      </c>
      <c r="P606" t="s">
        <v>7</v>
      </c>
      <c r="Q606" t="s">
        <v>6</v>
      </c>
      <c r="R606" t="s">
        <v>15</v>
      </c>
      <c r="S606">
        <v>0</v>
      </c>
    </row>
    <row r="607" spans="1:19" x14ac:dyDescent="0.3">
      <c r="A607">
        <v>606</v>
      </c>
      <c r="B607">
        <v>25.1</v>
      </c>
      <c r="C607" t="s">
        <v>11</v>
      </c>
      <c r="D607">
        <v>27291</v>
      </c>
      <c r="E607" t="s">
        <v>4</v>
      </c>
      <c r="F607">
        <v>4.47</v>
      </c>
      <c r="G607">
        <v>79.7</v>
      </c>
      <c r="H607">
        <v>1</v>
      </c>
      <c r="I607">
        <v>26.2</v>
      </c>
      <c r="J607" t="s">
        <v>3</v>
      </c>
      <c r="K607" t="s">
        <v>3</v>
      </c>
      <c r="L607">
        <v>3.6</v>
      </c>
      <c r="M607">
        <v>3.07</v>
      </c>
      <c r="N607">
        <v>2.85</v>
      </c>
      <c r="O607">
        <v>2.84</v>
      </c>
      <c r="P607" t="s">
        <v>7</v>
      </c>
      <c r="Q607" t="s">
        <v>1</v>
      </c>
      <c r="R607" t="s">
        <v>15</v>
      </c>
      <c r="S607">
        <v>0</v>
      </c>
    </row>
    <row r="608" spans="1:19" x14ac:dyDescent="0.3">
      <c r="A608">
        <v>607</v>
      </c>
      <c r="B608">
        <v>19.3</v>
      </c>
      <c r="C608" t="s">
        <v>11</v>
      </c>
      <c r="D608">
        <v>67983</v>
      </c>
      <c r="E608" t="s">
        <v>4</v>
      </c>
      <c r="F608">
        <v>4.4000000000000004</v>
      </c>
      <c r="G608">
        <v>82.2</v>
      </c>
      <c r="H608">
        <v>0</v>
      </c>
      <c r="I608">
        <v>31.3</v>
      </c>
      <c r="J608" t="s">
        <v>3</v>
      </c>
      <c r="K608" t="s">
        <v>4</v>
      </c>
      <c r="L608">
        <v>6.4</v>
      </c>
      <c r="M608">
        <v>1.75</v>
      </c>
      <c r="N608">
        <v>1.86</v>
      </c>
      <c r="O608">
        <v>1.86</v>
      </c>
      <c r="P608" t="s">
        <v>2</v>
      </c>
      <c r="Q608" t="s">
        <v>14</v>
      </c>
      <c r="R608" t="s">
        <v>15</v>
      </c>
      <c r="S608">
        <v>0</v>
      </c>
    </row>
    <row r="609" spans="1:19" x14ac:dyDescent="0.3">
      <c r="A609">
        <v>608</v>
      </c>
      <c r="B609">
        <v>18.3</v>
      </c>
      <c r="C609" t="s">
        <v>5</v>
      </c>
      <c r="D609">
        <v>25000</v>
      </c>
      <c r="E609" t="s">
        <v>4</v>
      </c>
      <c r="F609">
        <v>2.44</v>
      </c>
      <c r="G609">
        <v>80.2</v>
      </c>
      <c r="H609">
        <v>4</v>
      </c>
      <c r="I609">
        <v>21.3</v>
      </c>
      <c r="J609" t="s">
        <v>3</v>
      </c>
      <c r="K609" t="s">
        <v>3</v>
      </c>
      <c r="L609">
        <v>5.4</v>
      </c>
      <c r="M609">
        <v>1.33</v>
      </c>
      <c r="N609">
        <v>1.57</v>
      </c>
      <c r="O609">
        <v>1.56</v>
      </c>
      <c r="P609" t="s">
        <v>12</v>
      </c>
      <c r="Q609" t="s">
        <v>6</v>
      </c>
      <c r="R609" t="s">
        <v>15</v>
      </c>
      <c r="S609">
        <v>0</v>
      </c>
    </row>
    <row r="610" spans="1:19" x14ac:dyDescent="0.3">
      <c r="A610">
        <v>609</v>
      </c>
      <c r="B610">
        <v>17.100000000000001</v>
      </c>
      <c r="C610" t="s">
        <v>11</v>
      </c>
      <c r="D610">
        <v>32038</v>
      </c>
      <c r="E610" t="s">
        <v>4</v>
      </c>
      <c r="F610">
        <v>2.0299999999999998</v>
      </c>
      <c r="G610">
        <v>72.3</v>
      </c>
      <c r="H610">
        <v>1</v>
      </c>
      <c r="I610">
        <v>29.8</v>
      </c>
      <c r="J610" t="s">
        <v>3</v>
      </c>
      <c r="K610" t="s">
        <v>3</v>
      </c>
      <c r="L610">
        <v>4.4000000000000004</v>
      </c>
      <c r="M610">
        <v>0.28999999999999998</v>
      </c>
      <c r="N610">
        <v>0.66</v>
      </c>
      <c r="O610">
        <v>0.66</v>
      </c>
      <c r="P610" t="s">
        <v>2</v>
      </c>
      <c r="Q610" t="s">
        <v>6</v>
      </c>
      <c r="R610" t="s">
        <v>9</v>
      </c>
      <c r="S610">
        <v>0</v>
      </c>
    </row>
    <row r="611" spans="1:19" x14ac:dyDescent="0.3">
      <c r="A611">
        <v>610</v>
      </c>
      <c r="B611">
        <v>24.3</v>
      </c>
      <c r="C611" t="s">
        <v>11</v>
      </c>
      <c r="D611">
        <v>31509</v>
      </c>
      <c r="E611" t="s">
        <v>4</v>
      </c>
      <c r="F611">
        <v>2.0499999999999998</v>
      </c>
      <c r="G611">
        <v>93.7</v>
      </c>
      <c r="H611">
        <v>3</v>
      </c>
      <c r="I611">
        <v>39.9</v>
      </c>
      <c r="J611" t="s">
        <v>3</v>
      </c>
      <c r="K611" t="s">
        <v>3</v>
      </c>
      <c r="L611">
        <v>3.3</v>
      </c>
      <c r="M611">
        <v>1.3</v>
      </c>
      <c r="N611">
        <v>1.35</v>
      </c>
      <c r="O611">
        <v>1.35</v>
      </c>
      <c r="P611" t="s">
        <v>2</v>
      </c>
      <c r="Q611" t="s">
        <v>6</v>
      </c>
      <c r="R611" t="s">
        <v>9</v>
      </c>
      <c r="S611">
        <v>0</v>
      </c>
    </row>
    <row r="612" spans="1:19" x14ac:dyDescent="0.3">
      <c r="A612">
        <v>611</v>
      </c>
      <c r="B612">
        <v>22.4</v>
      </c>
      <c r="C612" t="s">
        <v>5</v>
      </c>
      <c r="D612">
        <v>30446</v>
      </c>
      <c r="E612" t="s">
        <v>4</v>
      </c>
      <c r="F612">
        <v>4.09</v>
      </c>
      <c r="G612">
        <v>84.1</v>
      </c>
      <c r="H612">
        <v>0</v>
      </c>
      <c r="I612">
        <v>35.9</v>
      </c>
      <c r="J612" t="s">
        <v>3</v>
      </c>
      <c r="K612" t="s">
        <v>3</v>
      </c>
      <c r="L612">
        <v>7</v>
      </c>
      <c r="M612">
        <v>3.68</v>
      </c>
      <c r="N612">
        <v>3.43</v>
      </c>
      <c r="O612">
        <v>3.43</v>
      </c>
      <c r="P612" t="s">
        <v>2</v>
      </c>
      <c r="Q612" t="s">
        <v>8</v>
      </c>
      <c r="R612" t="s">
        <v>9</v>
      </c>
      <c r="S612">
        <v>0</v>
      </c>
    </row>
    <row r="613" spans="1:19" x14ac:dyDescent="0.3">
      <c r="A613">
        <v>612</v>
      </c>
      <c r="B613">
        <v>20.9</v>
      </c>
      <c r="C613" t="s">
        <v>11</v>
      </c>
      <c r="D613">
        <v>25000</v>
      </c>
      <c r="E613" t="s">
        <v>3</v>
      </c>
      <c r="F613">
        <v>7</v>
      </c>
      <c r="G613">
        <v>75.099999999999994</v>
      </c>
      <c r="H613">
        <v>1</v>
      </c>
      <c r="I613">
        <v>47</v>
      </c>
      <c r="J613" t="s">
        <v>3</v>
      </c>
      <c r="K613" t="s">
        <v>3</v>
      </c>
      <c r="L613">
        <v>4.5</v>
      </c>
      <c r="M613">
        <v>2.67</v>
      </c>
      <c r="N613">
        <v>2.91</v>
      </c>
      <c r="O613">
        <v>2.96</v>
      </c>
      <c r="P613" t="s">
        <v>10</v>
      </c>
      <c r="Q613" t="s">
        <v>8</v>
      </c>
      <c r="R613" t="s">
        <v>9</v>
      </c>
      <c r="S613">
        <v>0</v>
      </c>
    </row>
    <row r="614" spans="1:19" x14ac:dyDescent="0.3">
      <c r="A614">
        <v>613</v>
      </c>
      <c r="B614">
        <v>21.6</v>
      </c>
      <c r="C614" t="s">
        <v>11</v>
      </c>
      <c r="D614">
        <v>27382</v>
      </c>
      <c r="E614" t="s">
        <v>4</v>
      </c>
      <c r="F614">
        <v>3.26</v>
      </c>
      <c r="G614">
        <v>89</v>
      </c>
      <c r="H614">
        <v>0</v>
      </c>
      <c r="I614">
        <v>15.5</v>
      </c>
      <c r="J614" t="s">
        <v>3</v>
      </c>
      <c r="K614" t="s">
        <v>3</v>
      </c>
      <c r="L614">
        <v>7.1</v>
      </c>
      <c r="M614">
        <v>0.03</v>
      </c>
      <c r="N614">
        <v>0.02</v>
      </c>
      <c r="O614">
        <v>0.04</v>
      </c>
      <c r="P614" t="s">
        <v>7</v>
      </c>
      <c r="Q614" t="s">
        <v>6</v>
      </c>
      <c r="R614" t="s">
        <v>15</v>
      </c>
      <c r="S614">
        <v>1</v>
      </c>
    </row>
    <row r="615" spans="1:19" x14ac:dyDescent="0.3">
      <c r="A615">
        <v>614</v>
      </c>
      <c r="B615">
        <v>18.5</v>
      </c>
      <c r="C615" t="s">
        <v>5</v>
      </c>
      <c r="D615">
        <v>26687</v>
      </c>
      <c r="E615" t="s">
        <v>4</v>
      </c>
      <c r="F615">
        <v>5.33</v>
      </c>
      <c r="G615">
        <v>81.400000000000006</v>
      </c>
      <c r="H615">
        <v>1</v>
      </c>
      <c r="I615">
        <v>20.9</v>
      </c>
      <c r="J615" t="s">
        <v>3</v>
      </c>
      <c r="K615" t="s">
        <v>3</v>
      </c>
      <c r="L615">
        <v>3.6</v>
      </c>
      <c r="M615">
        <v>2.8</v>
      </c>
      <c r="N615">
        <v>2.8</v>
      </c>
      <c r="O615">
        <v>2.84</v>
      </c>
      <c r="P615" t="s">
        <v>10</v>
      </c>
      <c r="Q615" t="s">
        <v>14</v>
      </c>
      <c r="R615" t="s">
        <v>0</v>
      </c>
      <c r="S615">
        <v>0</v>
      </c>
    </row>
    <row r="616" spans="1:19" x14ac:dyDescent="0.3">
      <c r="A616">
        <v>615</v>
      </c>
      <c r="B616">
        <v>26.4</v>
      </c>
      <c r="C616" t="s">
        <v>11</v>
      </c>
      <c r="D616">
        <v>29598</v>
      </c>
      <c r="E616" t="s">
        <v>4</v>
      </c>
      <c r="F616">
        <v>4.68</v>
      </c>
      <c r="G616">
        <v>89.9</v>
      </c>
      <c r="H616">
        <v>2</v>
      </c>
      <c r="I616">
        <v>25</v>
      </c>
      <c r="J616" t="s">
        <v>3</v>
      </c>
      <c r="K616" t="s">
        <v>4</v>
      </c>
      <c r="L616">
        <v>9.1</v>
      </c>
      <c r="M616">
        <v>0.87</v>
      </c>
      <c r="N616">
        <v>1.19</v>
      </c>
      <c r="O616">
        <v>1.19</v>
      </c>
      <c r="P616" t="s">
        <v>2</v>
      </c>
      <c r="Q616" t="s">
        <v>14</v>
      </c>
      <c r="R616" t="s">
        <v>15</v>
      </c>
      <c r="S616">
        <v>1</v>
      </c>
    </row>
    <row r="617" spans="1:19" x14ac:dyDescent="0.3">
      <c r="A617">
        <v>616</v>
      </c>
      <c r="B617">
        <v>21.3</v>
      </c>
      <c r="C617" t="s">
        <v>5</v>
      </c>
      <c r="D617">
        <v>52371</v>
      </c>
      <c r="E617" t="s">
        <v>4</v>
      </c>
      <c r="F617">
        <v>4.04</v>
      </c>
      <c r="G617">
        <v>81.2</v>
      </c>
      <c r="H617">
        <v>1</v>
      </c>
      <c r="I617">
        <v>48.3</v>
      </c>
      <c r="J617" t="s">
        <v>4</v>
      </c>
      <c r="K617" t="s">
        <v>3</v>
      </c>
      <c r="L617">
        <v>10</v>
      </c>
      <c r="M617">
        <v>1.28</v>
      </c>
      <c r="N617">
        <v>1.45</v>
      </c>
      <c r="O617">
        <v>1.31</v>
      </c>
      <c r="P617" t="s">
        <v>12</v>
      </c>
      <c r="Q617" t="s">
        <v>6</v>
      </c>
      <c r="R617" t="s">
        <v>16</v>
      </c>
      <c r="S617">
        <v>1</v>
      </c>
    </row>
    <row r="618" spans="1:19" x14ac:dyDescent="0.3">
      <c r="A618">
        <v>617</v>
      </c>
      <c r="B618">
        <v>21.2</v>
      </c>
      <c r="C618" t="s">
        <v>11</v>
      </c>
      <c r="D618">
        <v>85509</v>
      </c>
      <c r="E618" t="s">
        <v>4</v>
      </c>
      <c r="F618">
        <v>3.68</v>
      </c>
      <c r="G618">
        <v>70.2</v>
      </c>
      <c r="H618">
        <v>3</v>
      </c>
      <c r="I618">
        <v>33.6</v>
      </c>
      <c r="J618" t="s">
        <v>4</v>
      </c>
      <c r="K618" t="s">
        <v>4</v>
      </c>
      <c r="L618">
        <v>6.5</v>
      </c>
      <c r="M618">
        <v>1.94</v>
      </c>
      <c r="N618">
        <v>1.35</v>
      </c>
      <c r="O618">
        <v>1.32</v>
      </c>
      <c r="P618" t="s">
        <v>7</v>
      </c>
      <c r="Q618" t="s">
        <v>6</v>
      </c>
      <c r="R618" t="s">
        <v>16</v>
      </c>
      <c r="S618">
        <v>1</v>
      </c>
    </row>
    <row r="619" spans="1:19" x14ac:dyDescent="0.3">
      <c r="A619">
        <v>618</v>
      </c>
      <c r="B619">
        <v>22.6</v>
      </c>
      <c r="C619" t="s">
        <v>11</v>
      </c>
      <c r="D619">
        <v>25000</v>
      </c>
      <c r="E619" t="s">
        <v>4</v>
      </c>
      <c r="F619">
        <v>3.44</v>
      </c>
      <c r="G619">
        <v>73.5</v>
      </c>
      <c r="H619">
        <v>4</v>
      </c>
      <c r="I619">
        <v>13</v>
      </c>
      <c r="J619" t="s">
        <v>3</v>
      </c>
      <c r="K619" t="s">
        <v>4</v>
      </c>
      <c r="L619">
        <v>7.8</v>
      </c>
      <c r="M619">
        <v>0.05</v>
      </c>
      <c r="N619">
        <v>0</v>
      </c>
      <c r="O619">
        <v>0.05</v>
      </c>
      <c r="P619" t="s">
        <v>7</v>
      </c>
      <c r="Q619" t="s">
        <v>14</v>
      </c>
      <c r="R619" t="s">
        <v>15</v>
      </c>
      <c r="S619">
        <v>1</v>
      </c>
    </row>
    <row r="620" spans="1:19" x14ac:dyDescent="0.3">
      <c r="A620">
        <v>619</v>
      </c>
      <c r="B620">
        <v>22.1</v>
      </c>
      <c r="C620" t="s">
        <v>11</v>
      </c>
      <c r="D620">
        <v>25000</v>
      </c>
      <c r="E620" t="s">
        <v>4</v>
      </c>
      <c r="F620">
        <v>3.42</v>
      </c>
      <c r="G620">
        <v>91.1</v>
      </c>
      <c r="H620">
        <v>0</v>
      </c>
      <c r="I620">
        <v>43.1</v>
      </c>
      <c r="J620" t="s">
        <v>3</v>
      </c>
      <c r="K620" t="s">
        <v>4</v>
      </c>
      <c r="L620">
        <v>4.7</v>
      </c>
      <c r="M620">
        <v>3.66</v>
      </c>
      <c r="N620">
        <v>3.62</v>
      </c>
      <c r="O620">
        <v>3.58</v>
      </c>
      <c r="P620" t="s">
        <v>12</v>
      </c>
      <c r="Q620" t="s">
        <v>13</v>
      </c>
      <c r="R620" t="s">
        <v>9</v>
      </c>
      <c r="S620">
        <v>0</v>
      </c>
    </row>
    <row r="621" spans="1:19" x14ac:dyDescent="0.3">
      <c r="A621">
        <v>620</v>
      </c>
      <c r="B621">
        <v>21.5</v>
      </c>
      <c r="C621" t="s">
        <v>5</v>
      </c>
      <c r="D621">
        <v>25000</v>
      </c>
      <c r="E621" t="s">
        <v>4</v>
      </c>
      <c r="F621">
        <v>4.79</v>
      </c>
      <c r="G621">
        <v>90.3</v>
      </c>
      <c r="H621">
        <v>1</v>
      </c>
      <c r="I621">
        <v>31.3</v>
      </c>
      <c r="J621" t="s">
        <v>3</v>
      </c>
      <c r="K621" t="s">
        <v>3</v>
      </c>
      <c r="L621">
        <v>4.5</v>
      </c>
      <c r="M621">
        <v>3.25</v>
      </c>
      <c r="N621">
        <v>3.25</v>
      </c>
      <c r="O621">
        <v>3.25</v>
      </c>
      <c r="P621" t="s">
        <v>7</v>
      </c>
      <c r="Q621" t="s">
        <v>1</v>
      </c>
      <c r="R621" t="s">
        <v>15</v>
      </c>
      <c r="S621">
        <v>0</v>
      </c>
    </row>
    <row r="622" spans="1:19" x14ac:dyDescent="0.3">
      <c r="A622">
        <v>621</v>
      </c>
      <c r="B622">
        <v>19.3</v>
      </c>
      <c r="C622" t="s">
        <v>5</v>
      </c>
      <c r="D622">
        <v>33265</v>
      </c>
      <c r="E622" t="s">
        <v>4</v>
      </c>
      <c r="F622">
        <v>5.12</v>
      </c>
      <c r="G622">
        <v>71.400000000000006</v>
      </c>
      <c r="H622">
        <v>0</v>
      </c>
      <c r="I622">
        <v>40.700000000000003</v>
      </c>
      <c r="J622" t="s">
        <v>3</v>
      </c>
      <c r="K622" t="s">
        <v>3</v>
      </c>
      <c r="L622">
        <v>7.6</v>
      </c>
      <c r="M622">
        <v>3.04</v>
      </c>
      <c r="N622">
        <v>2.98</v>
      </c>
      <c r="O622">
        <v>3.02</v>
      </c>
      <c r="P622" t="s">
        <v>7</v>
      </c>
      <c r="Q622" t="s">
        <v>1</v>
      </c>
      <c r="R622" t="s">
        <v>9</v>
      </c>
      <c r="S622">
        <v>0</v>
      </c>
    </row>
    <row r="623" spans="1:19" x14ac:dyDescent="0.3">
      <c r="A623">
        <v>622</v>
      </c>
      <c r="B623">
        <v>22</v>
      </c>
      <c r="C623" t="s">
        <v>5</v>
      </c>
      <c r="E623" t="s">
        <v>4</v>
      </c>
      <c r="G623">
        <v>93.1</v>
      </c>
      <c r="H623">
        <v>1</v>
      </c>
      <c r="I623">
        <v>49</v>
      </c>
      <c r="J623" t="s">
        <v>4</v>
      </c>
      <c r="K623" t="s">
        <v>4</v>
      </c>
      <c r="M623">
        <v>1.66</v>
      </c>
      <c r="N623">
        <v>2.2999999999999998</v>
      </c>
      <c r="O623">
        <v>2.35</v>
      </c>
      <c r="P623" t="s">
        <v>12</v>
      </c>
      <c r="Q623" t="s">
        <v>6</v>
      </c>
      <c r="R623" t="s">
        <v>15</v>
      </c>
      <c r="S623">
        <v>0</v>
      </c>
    </row>
    <row r="624" spans="1:19" x14ac:dyDescent="0.3">
      <c r="A624">
        <v>623</v>
      </c>
      <c r="B624">
        <v>25.1</v>
      </c>
      <c r="C624" t="s">
        <v>11</v>
      </c>
      <c r="D624">
        <v>34334</v>
      </c>
      <c r="E624" t="s">
        <v>4</v>
      </c>
      <c r="F624">
        <v>3.43</v>
      </c>
      <c r="G624">
        <v>90.2</v>
      </c>
      <c r="H624">
        <v>2</v>
      </c>
      <c r="I624">
        <v>18.3</v>
      </c>
      <c r="J624" t="s">
        <v>3</v>
      </c>
      <c r="K624" t="s">
        <v>3</v>
      </c>
      <c r="L624">
        <v>3</v>
      </c>
      <c r="M624">
        <v>4</v>
      </c>
      <c r="N624">
        <v>4</v>
      </c>
      <c r="O624">
        <v>4</v>
      </c>
      <c r="P624" t="s">
        <v>2</v>
      </c>
      <c r="Q624" t="s">
        <v>13</v>
      </c>
      <c r="R624" t="s">
        <v>15</v>
      </c>
      <c r="S624">
        <v>0</v>
      </c>
    </row>
    <row r="625" spans="1:19" x14ac:dyDescent="0.3">
      <c r="A625">
        <v>624</v>
      </c>
      <c r="B625">
        <v>24</v>
      </c>
      <c r="C625" t="s">
        <v>5</v>
      </c>
      <c r="E625" t="s">
        <v>4</v>
      </c>
      <c r="G625">
        <v>76.900000000000006</v>
      </c>
      <c r="H625">
        <v>1</v>
      </c>
      <c r="I625">
        <v>49</v>
      </c>
      <c r="J625" t="s">
        <v>3</v>
      </c>
      <c r="K625" t="s">
        <v>4</v>
      </c>
      <c r="M625">
        <v>1.42</v>
      </c>
      <c r="N625">
        <v>1.28</v>
      </c>
      <c r="O625">
        <v>1.3</v>
      </c>
      <c r="P625" t="s">
        <v>10</v>
      </c>
      <c r="Q625" t="s">
        <v>8</v>
      </c>
      <c r="R625" t="s">
        <v>0</v>
      </c>
      <c r="S625">
        <v>0</v>
      </c>
    </row>
    <row r="626" spans="1:19" x14ac:dyDescent="0.3">
      <c r="A626">
        <v>625</v>
      </c>
      <c r="B626">
        <v>24.5</v>
      </c>
      <c r="C626" t="s">
        <v>11</v>
      </c>
      <c r="E626" t="s">
        <v>4</v>
      </c>
      <c r="G626">
        <v>81.400000000000006</v>
      </c>
      <c r="H626">
        <v>2</v>
      </c>
      <c r="I626">
        <v>29.1</v>
      </c>
      <c r="J626" t="s">
        <v>3</v>
      </c>
      <c r="K626" t="s">
        <v>4</v>
      </c>
      <c r="M626">
        <v>2.3199999999999998</v>
      </c>
      <c r="N626">
        <v>2.29</v>
      </c>
      <c r="O626">
        <v>2.35</v>
      </c>
      <c r="P626" t="s">
        <v>10</v>
      </c>
      <c r="Q626" t="s">
        <v>8</v>
      </c>
      <c r="R626" t="s">
        <v>0</v>
      </c>
      <c r="S626">
        <v>0</v>
      </c>
    </row>
    <row r="627" spans="1:19" x14ac:dyDescent="0.3">
      <c r="A627">
        <v>626</v>
      </c>
      <c r="B627">
        <v>19.899999999999999</v>
      </c>
      <c r="C627" t="s">
        <v>5</v>
      </c>
      <c r="D627">
        <v>39937</v>
      </c>
      <c r="E627" t="s">
        <v>4</v>
      </c>
      <c r="F627">
        <v>5.14</v>
      </c>
      <c r="G627">
        <v>64.400000000000006</v>
      </c>
      <c r="H627">
        <v>1</v>
      </c>
      <c r="I627">
        <v>25</v>
      </c>
      <c r="J627" t="s">
        <v>4</v>
      </c>
      <c r="K627" t="s">
        <v>3</v>
      </c>
      <c r="L627">
        <v>5.2</v>
      </c>
      <c r="M627">
        <v>2.15</v>
      </c>
      <c r="N627">
        <v>1.91</v>
      </c>
      <c r="O627">
        <v>1.93</v>
      </c>
      <c r="P627" t="s">
        <v>7</v>
      </c>
      <c r="Q627" t="s">
        <v>13</v>
      </c>
      <c r="R627" t="s">
        <v>9</v>
      </c>
      <c r="S627">
        <v>0</v>
      </c>
    </row>
    <row r="628" spans="1:19" x14ac:dyDescent="0.3">
      <c r="A628">
        <v>627</v>
      </c>
      <c r="B628">
        <v>18.8</v>
      </c>
      <c r="C628" t="s">
        <v>5</v>
      </c>
      <c r="D628">
        <v>25000</v>
      </c>
      <c r="E628" t="s">
        <v>4</v>
      </c>
      <c r="F628">
        <v>5.92</v>
      </c>
      <c r="G628">
        <v>76.400000000000006</v>
      </c>
      <c r="H628">
        <v>3</v>
      </c>
      <c r="I628">
        <v>31.9</v>
      </c>
      <c r="J628" t="s">
        <v>3</v>
      </c>
      <c r="K628" t="s">
        <v>4</v>
      </c>
      <c r="L628">
        <v>7.4</v>
      </c>
      <c r="M628">
        <v>2.0099999999999998</v>
      </c>
      <c r="N628">
        <v>2.27</v>
      </c>
      <c r="O628">
        <v>2.36</v>
      </c>
      <c r="P628" t="s">
        <v>10</v>
      </c>
      <c r="Q628" t="s">
        <v>6</v>
      </c>
      <c r="R628" t="s">
        <v>0</v>
      </c>
      <c r="S628">
        <v>0</v>
      </c>
    </row>
    <row r="629" spans="1:19" x14ac:dyDescent="0.3">
      <c r="A629">
        <v>628</v>
      </c>
      <c r="B629">
        <v>20.7</v>
      </c>
      <c r="C629" t="s">
        <v>5</v>
      </c>
      <c r="D629">
        <v>39193</v>
      </c>
      <c r="E629" t="s">
        <v>4</v>
      </c>
      <c r="F629">
        <v>2.94</v>
      </c>
      <c r="G629">
        <v>80.3</v>
      </c>
      <c r="H629">
        <v>2</v>
      </c>
      <c r="I629">
        <v>15.7</v>
      </c>
      <c r="J629" t="s">
        <v>3</v>
      </c>
      <c r="K629" t="s">
        <v>4</v>
      </c>
      <c r="L629">
        <v>8.1</v>
      </c>
      <c r="M629">
        <v>2.0099999999999998</v>
      </c>
      <c r="N629">
        <v>1.91</v>
      </c>
      <c r="O629">
        <v>2.0299999999999998</v>
      </c>
      <c r="P629" t="s">
        <v>7</v>
      </c>
      <c r="Q629" t="s">
        <v>8</v>
      </c>
      <c r="R629" t="s">
        <v>9</v>
      </c>
      <c r="S629">
        <v>0</v>
      </c>
    </row>
    <row r="630" spans="1:19" x14ac:dyDescent="0.3">
      <c r="A630">
        <v>629</v>
      </c>
      <c r="B630">
        <v>21.1</v>
      </c>
      <c r="C630" t="s">
        <v>11</v>
      </c>
      <c r="D630">
        <v>25000</v>
      </c>
      <c r="E630" t="s">
        <v>4</v>
      </c>
      <c r="F630">
        <v>3.2</v>
      </c>
      <c r="G630">
        <v>84.5</v>
      </c>
      <c r="H630">
        <v>5</v>
      </c>
      <c r="I630">
        <v>29.8</v>
      </c>
      <c r="J630" t="s">
        <v>3</v>
      </c>
      <c r="K630" t="s">
        <v>4</v>
      </c>
      <c r="L630">
        <v>6</v>
      </c>
      <c r="M630">
        <v>2</v>
      </c>
      <c r="N630">
        <v>1.81</v>
      </c>
      <c r="O630">
        <v>1.86</v>
      </c>
      <c r="P630" t="s">
        <v>12</v>
      </c>
      <c r="Q630" t="s">
        <v>13</v>
      </c>
      <c r="R630" t="s">
        <v>9</v>
      </c>
      <c r="S630">
        <v>0</v>
      </c>
    </row>
    <row r="631" spans="1:19" x14ac:dyDescent="0.3">
      <c r="A631">
        <v>630</v>
      </c>
      <c r="B631">
        <v>23.4</v>
      </c>
      <c r="C631" t="s">
        <v>11</v>
      </c>
      <c r="D631">
        <v>60947</v>
      </c>
      <c r="E631" t="s">
        <v>4</v>
      </c>
      <c r="F631">
        <v>6.15</v>
      </c>
      <c r="G631">
        <v>81.099999999999994</v>
      </c>
      <c r="H631">
        <v>1</v>
      </c>
      <c r="I631">
        <v>27.1</v>
      </c>
      <c r="J631" t="s">
        <v>3</v>
      </c>
      <c r="K631" t="s">
        <v>4</v>
      </c>
      <c r="L631">
        <v>7.9</v>
      </c>
      <c r="M631">
        <v>0.7</v>
      </c>
      <c r="N631">
        <v>0.77</v>
      </c>
      <c r="O631">
        <v>0.77</v>
      </c>
      <c r="P631" t="s">
        <v>2</v>
      </c>
      <c r="Q631" t="s">
        <v>6</v>
      </c>
      <c r="R631" t="s">
        <v>9</v>
      </c>
      <c r="S631">
        <v>0</v>
      </c>
    </row>
    <row r="632" spans="1:19" x14ac:dyDescent="0.3">
      <c r="A632">
        <v>631</v>
      </c>
      <c r="B632">
        <v>17.3</v>
      </c>
      <c r="C632" t="s">
        <v>5</v>
      </c>
      <c r="D632">
        <v>51430</v>
      </c>
      <c r="E632" t="s">
        <v>4</v>
      </c>
      <c r="F632">
        <v>5.72</v>
      </c>
      <c r="G632">
        <v>83.1</v>
      </c>
      <c r="H632">
        <v>2</v>
      </c>
      <c r="I632">
        <v>18.7</v>
      </c>
      <c r="J632" t="s">
        <v>4</v>
      </c>
      <c r="K632" t="s">
        <v>3</v>
      </c>
      <c r="L632">
        <v>4.7</v>
      </c>
      <c r="M632">
        <v>1.22</v>
      </c>
      <c r="N632">
        <v>0.98</v>
      </c>
      <c r="O632">
        <v>0.9</v>
      </c>
      <c r="P632" t="s">
        <v>7</v>
      </c>
      <c r="Q632" t="s">
        <v>1</v>
      </c>
      <c r="R632" t="s">
        <v>15</v>
      </c>
      <c r="S632">
        <v>0</v>
      </c>
    </row>
    <row r="633" spans="1:19" x14ac:dyDescent="0.3">
      <c r="A633">
        <v>632</v>
      </c>
      <c r="B633">
        <v>24.4</v>
      </c>
      <c r="C633" t="s">
        <v>5</v>
      </c>
      <c r="D633">
        <v>41815</v>
      </c>
      <c r="E633" t="s">
        <v>3</v>
      </c>
      <c r="F633">
        <v>2.71</v>
      </c>
      <c r="G633">
        <v>74.3</v>
      </c>
      <c r="H633">
        <v>3</v>
      </c>
      <c r="I633">
        <v>22.2</v>
      </c>
      <c r="J633" t="s">
        <v>3</v>
      </c>
      <c r="K633" t="s">
        <v>4</v>
      </c>
      <c r="L633">
        <v>8.6</v>
      </c>
      <c r="M633">
        <v>1.74</v>
      </c>
      <c r="N633">
        <v>2.15</v>
      </c>
      <c r="O633">
        <v>2.15</v>
      </c>
      <c r="P633" t="s">
        <v>2</v>
      </c>
      <c r="Q633" t="s">
        <v>13</v>
      </c>
      <c r="R633" t="s">
        <v>9</v>
      </c>
      <c r="S633">
        <v>0</v>
      </c>
    </row>
    <row r="634" spans="1:19" x14ac:dyDescent="0.3">
      <c r="A634">
        <v>633</v>
      </c>
      <c r="B634">
        <v>20.7</v>
      </c>
      <c r="C634" t="s">
        <v>11</v>
      </c>
      <c r="D634">
        <v>47855</v>
      </c>
      <c r="E634" t="s">
        <v>4</v>
      </c>
      <c r="F634">
        <v>2.84</v>
      </c>
      <c r="G634">
        <v>84.6</v>
      </c>
      <c r="H634">
        <v>2</v>
      </c>
      <c r="I634">
        <v>43.7</v>
      </c>
      <c r="J634" t="s">
        <v>3</v>
      </c>
      <c r="K634" t="s">
        <v>3</v>
      </c>
      <c r="L634">
        <v>4.2</v>
      </c>
      <c r="M634">
        <v>2.69</v>
      </c>
      <c r="N634">
        <v>2.88</v>
      </c>
      <c r="O634">
        <v>2.81</v>
      </c>
      <c r="P634" t="s">
        <v>7</v>
      </c>
      <c r="Q634" t="s">
        <v>8</v>
      </c>
      <c r="R634" t="s">
        <v>9</v>
      </c>
      <c r="S634">
        <v>0</v>
      </c>
    </row>
    <row r="635" spans="1:19" x14ac:dyDescent="0.3">
      <c r="A635">
        <v>634</v>
      </c>
      <c r="B635">
        <v>20.100000000000001</v>
      </c>
      <c r="C635" t="s">
        <v>5</v>
      </c>
      <c r="D635">
        <v>25000</v>
      </c>
      <c r="E635" t="s">
        <v>4</v>
      </c>
      <c r="F635">
        <v>4.33</v>
      </c>
      <c r="G635">
        <v>95.5</v>
      </c>
      <c r="H635">
        <v>3</v>
      </c>
      <c r="I635">
        <v>27.9</v>
      </c>
      <c r="J635" t="s">
        <v>3</v>
      </c>
      <c r="K635" t="s">
        <v>3</v>
      </c>
      <c r="L635">
        <v>4</v>
      </c>
      <c r="M635">
        <v>2.66</v>
      </c>
      <c r="N635">
        <v>2.17</v>
      </c>
      <c r="O635">
        <v>2.09</v>
      </c>
      <c r="P635" t="s">
        <v>12</v>
      </c>
      <c r="Q635" t="s">
        <v>1</v>
      </c>
      <c r="R635" t="s">
        <v>0</v>
      </c>
      <c r="S635">
        <v>0</v>
      </c>
    </row>
    <row r="636" spans="1:19" x14ac:dyDescent="0.3">
      <c r="A636">
        <v>635</v>
      </c>
      <c r="B636">
        <v>18.8</v>
      </c>
      <c r="C636" t="s">
        <v>11</v>
      </c>
      <c r="D636">
        <v>25000</v>
      </c>
      <c r="E636" t="s">
        <v>4</v>
      </c>
      <c r="F636">
        <v>5.61</v>
      </c>
      <c r="G636">
        <v>85.5</v>
      </c>
      <c r="H636">
        <v>0</v>
      </c>
      <c r="I636">
        <v>18.2</v>
      </c>
      <c r="J636" t="s">
        <v>3</v>
      </c>
      <c r="K636" t="s">
        <v>3</v>
      </c>
      <c r="L636">
        <v>4.7</v>
      </c>
      <c r="M636">
        <v>2.71</v>
      </c>
      <c r="N636">
        <v>2.99</v>
      </c>
      <c r="O636">
        <v>2.99</v>
      </c>
      <c r="P636" t="s">
        <v>2</v>
      </c>
      <c r="Q636" t="s">
        <v>13</v>
      </c>
      <c r="R636" t="s">
        <v>15</v>
      </c>
      <c r="S636">
        <v>0</v>
      </c>
    </row>
    <row r="637" spans="1:19" x14ac:dyDescent="0.3">
      <c r="A637">
        <v>636</v>
      </c>
      <c r="B637">
        <v>17.399999999999999</v>
      </c>
      <c r="C637" t="s">
        <v>11</v>
      </c>
      <c r="D637">
        <v>46698</v>
      </c>
      <c r="E637" t="s">
        <v>4</v>
      </c>
      <c r="F637">
        <v>2.82</v>
      </c>
      <c r="G637">
        <v>82.3</v>
      </c>
      <c r="H637">
        <v>4</v>
      </c>
      <c r="I637">
        <v>35.4</v>
      </c>
      <c r="J637" t="s">
        <v>3</v>
      </c>
      <c r="K637" t="s">
        <v>3</v>
      </c>
      <c r="L637">
        <v>4.2</v>
      </c>
      <c r="M637">
        <v>2.91</v>
      </c>
      <c r="N637">
        <v>3.03</v>
      </c>
      <c r="O637">
        <v>3.1</v>
      </c>
      <c r="P637" t="s">
        <v>10</v>
      </c>
      <c r="Q637" t="s">
        <v>8</v>
      </c>
      <c r="R637" t="s">
        <v>9</v>
      </c>
      <c r="S637">
        <v>0</v>
      </c>
    </row>
    <row r="638" spans="1:19" x14ac:dyDescent="0.3">
      <c r="A638">
        <v>637</v>
      </c>
      <c r="B638">
        <v>22.8</v>
      </c>
      <c r="C638" t="s">
        <v>11</v>
      </c>
      <c r="D638">
        <v>25000</v>
      </c>
      <c r="E638" t="s">
        <v>4</v>
      </c>
      <c r="F638">
        <v>4.1100000000000003</v>
      </c>
      <c r="G638">
        <v>76.099999999999994</v>
      </c>
      <c r="H638">
        <v>1</v>
      </c>
      <c r="I638">
        <v>39.200000000000003</v>
      </c>
      <c r="J638" t="s">
        <v>4</v>
      </c>
      <c r="K638" t="s">
        <v>4</v>
      </c>
      <c r="L638">
        <v>6.4</v>
      </c>
      <c r="M638">
        <v>2.14</v>
      </c>
      <c r="N638">
        <v>2.2000000000000002</v>
      </c>
      <c r="O638">
        <v>2.2000000000000002</v>
      </c>
      <c r="P638" t="s">
        <v>2</v>
      </c>
      <c r="Q638" t="s">
        <v>13</v>
      </c>
      <c r="R638" t="s">
        <v>9</v>
      </c>
      <c r="S638">
        <v>0</v>
      </c>
    </row>
    <row r="639" spans="1:19" x14ac:dyDescent="0.3">
      <c r="A639">
        <v>638</v>
      </c>
      <c r="B639">
        <v>21.2</v>
      </c>
      <c r="C639" t="s">
        <v>11</v>
      </c>
      <c r="D639">
        <v>70783</v>
      </c>
      <c r="E639" t="s">
        <v>4</v>
      </c>
      <c r="F639">
        <v>5.42</v>
      </c>
      <c r="G639">
        <v>79.099999999999994</v>
      </c>
      <c r="H639">
        <v>1</v>
      </c>
      <c r="I639">
        <v>30</v>
      </c>
      <c r="J639" t="s">
        <v>4</v>
      </c>
      <c r="K639" t="s">
        <v>3</v>
      </c>
      <c r="L639">
        <v>7.8</v>
      </c>
      <c r="M639">
        <v>0.64</v>
      </c>
      <c r="N639">
        <v>0.16</v>
      </c>
      <c r="O639">
        <v>0.2</v>
      </c>
      <c r="P639" t="s">
        <v>7</v>
      </c>
      <c r="Q639" t="s">
        <v>13</v>
      </c>
      <c r="R639" t="s">
        <v>9</v>
      </c>
      <c r="S639">
        <v>1</v>
      </c>
    </row>
    <row r="640" spans="1:19" x14ac:dyDescent="0.3">
      <c r="A640">
        <v>639</v>
      </c>
      <c r="B640">
        <v>18.2</v>
      </c>
      <c r="C640" t="s">
        <v>11</v>
      </c>
      <c r="D640">
        <v>25000</v>
      </c>
      <c r="E640" t="s">
        <v>4</v>
      </c>
      <c r="F640">
        <v>3.74</v>
      </c>
      <c r="G640">
        <v>71.5</v>
      </c>
      <c r="H640">
        <v>1</v>
      </c>
      <c r="I640">
        <v>15.2</v>
      </c>
      <c r="J640" t="s">
        <v>3</v>
      </c>
      <c r="K640" t="s">
        <v>3</v>
      </c>
      <c r="L640">
        <v>5.5</v>
      </c>
      <c r="M640">
        <v>0</v>
      </c>
      <c r="N640">
        <v>0</v>
      </c>
      <c r="O640">
        <v>0</v>
      </c>
      <c r="P640" t="s">
        <v>7</v>
      </c>
      <c r="Q640" t="s">
        <v>13</v>
      </c>
      <c r="R640" t="s">
        <v>9</v>
      </c>
      <c r="S640">
        <v>1</v>
      </c>
    </row>
    <row r="641" spans="1:19" x14ac:dyDescent="0.3">
      <c r="A641">
        <v>640</v>
      </c>
      <c r="B641">
        <v>18.2</v>
      </c>
      <c r="C641" t="s">
        <v>11</v>
      </c>
      <c r="D641">
        <v>40180</v>
      </c>
      <c r="E641" t="s">
        <v>3</v>
      </c>
      <c r="F641">
        <v>3.9</v>
      </c>
      <c r="G641">
        <v>70.400000000000006</v>
      </c>
      <c r="H641">
        <v>0</v>
      </c>
      <c r="I641">
        <v>5</v>
      </c>
      <c r="J641" t="s">
        <v>3</v>
      </c>
      <c r="K641" t="s">
        <v>4</v>
      </c>
      <c r="L641">
        <v>6.1</v>
      </c>
      <c r="M641">
        <v>0.55000000000000004</v>
      </c>
      <c r="N641">
        <v>1.1299999999999999</v>
      </c>
      <c r="O641">
        <v>1.08</v>
      </c>
      <c r="P641" t="s">
        <v>12</v>
      </c>
      <c r="Q641" t="s">
        <v>13</v>
      </c>
      <c r="R641" t="s">
        <v>15</v>
      </c>
      <c r="S641">
        <v>0</v>
      </c>
    </row>
    <row r="642" spans="1:19" x14ac:dyDescent="0.3">
      <c r="A642">
        <v>641</v>
      </c>
      <c r="B642">
        <v>20.3</v>
      </c>
      <c r="C642" t="s">
        <v>11</v>
      </c>
      <c r="D642">
        <v>104773</v>
      </c>
      <c r="E642" t="s">
        <v>4</v>
      </c>
      <c r="F642">
        <v>5.85</v>
      </c>
      <c r="G642">
        <v>81.400000000000006</v>
      </c>
      <c r="H642">
        <v>2</v>
      </c>
      <c r="I642">
        <v>19.2</v>
      </c>
      <c r="J642" t="s">
        <v>4</v>
      </c>
      <c r="K642" t="s">
        <v>3</v>
      </c>
      <c r="L642">
        <v>3</v>
      </c>
      <c r="M642">
        <v>2.71</v>
      </c>
      <c r="N642">
        <v>2.72</v>
      </c>
      <c r="O642">
        <v>2.7</v>
      </c>
      <c r="P642" t="s">
        <v>12</v>
      </c>
      <c r="Q642" t="s">
        <v>14</v>
      </c>
      <c r="R642" t="s">
        <v>0</v>
      </c>
      <c r="S642">
        <v>0</v>
      </c>
    </row>
    <row r="643" spans="1:19" x14ac:dyDescent="0.3">
      <c r="A643">
        <v>642</v>
      </c>
      <c r="B643">
        <v>24.7</v>
      </c>
      <c r="C643" t="s">
        <v>11</v>
      </c>
      <c r="D643">
        <v>25000</v>
      </c>
      <c r="E643" t="s">
        <v>4</v>
      </c>
      <c r="F643">
        <v>3.46</v>
      </c>
      <c r="G643">
        <v>86.4</v>
      </c>
      <c r="H643">
        <v>1</v>
      </c>
      <c r="I643">
        <v>42.7</v>
      </c>
      <c r="J643" t="s">
        <v>3</v>
      </c>
      <c r="K643" t="s">
        <v>3</v>
      </c>
      <c r="L643">
        <v>5.7</v>
      </c>
      <c r="M643">
        <v>2.25</v>
      </c>
      <c r="N643">
        <v>2.15</v>
      </c>
      <c r="O643">
        <v>2.2400000000000002</v>
      </c>
      <c r="P643" t="s">
        <v>12</v>
      </c>
      <c r="Q643" t="s">
        <v>14</v>
      </c>
      <c r="R643" t="s">
        <v>15</v>
      </c>
      <c r="S643">
        <v>0</v>
      </c>
    </row>
    <row r="644" spans="1:19" x14ac:dyDescent="0.3">
      <c r="A644">
        <v>643</v>
      </c>
      <c r="B644">
        <v>20.399999999999999</v>
      </c>
      <c r="C644" t="s">
        <v>5</v>
      </c>
      <c r="D644">
        <v>30985</v>
      </c>
      <c r="E644" t="s">
        <v>4</v>
      </c>
      <c r="F644">
        <v>5.65</v>
      </c>
      <c r="G644">
        <v>75.2</v>
      </c>
      <c r="H644">
        <v>4</v>
      </c>
      <c r="I644">
        <v>41.6</v>
      </c>
      <c r="J644" t="s">
        <v>4</v>
      </c>
      <c r="K644" t="s">
        <v>4</v>
      </c>
      <c r="L644">
        <v>8.6999999999999993</v>
      </c>
      <c r="M644">
        <v>2.09</v>
      </c>
      <c r="N644">
        <v>1.87</v>
      </c>
      <c r="O644">
        <v>1.81</v>
      </c>
      <c r="P644" t="s">
        <v>7</v>
      </c>
      <c r="Q644" t="s">
        <v>8</v>
      </c>
      <c r="R644" t="s">
        <v>9</v>
      </c>
      <c r="S644">
        <v>0</v>
      </c>
    </row>
    <row r="645" spans="1:19" x14ac:dyDescent="0.3">
      <c r="A645">
        <v>644</v>
      </c>
      <c r="B645">
        <v>17.7</v>
      </c>
      <c r="C645" t="s">
        <v>5</v>
      </c>
      <c r="D645">
        <v>55967</v>
      </c>
      <c r="E645" t="s">
        <v>4</v>
      </c>
      <c r="F645">
        <v>3.81</v>
      </c>
      <c r="G645">
        <v>91.6</v>
      </c>
      <c r="H645">
        <v>0</v>
      </c>
      <c r="I645">
        <v>20.399999999999999</v>
      </c>
      <c r="J645" t="s">
        <v>4</v>
      </c>
      <c r="K645" t="s">
        <v>4</v>
      </c>
      <c r="L645">
        <v>8</v>
      </c>
      <c r="M645">
        <v>2.13</v>
      </c>
      <c r="N645">
        <v>2.0299999999999998</v>
      </c>
      <c r="O645">
        <v>1.95</v>
      </c>
      <c r="P645" t="s">
        <v>10</v>
      </c>
      <c r="Q645" t="s">
        <v>8</v>
      </c>
      <c r="R645" t="s">
        <v>15</v>
      </c>
      <c r="S645">
        <v>0</v>
      </c>
    </row>
    <row r="646" spans="1:19" x14ac:dyDescent="0.3">
      <c r="A646">
        <v>645</v>
      </c>
      <c r="B646">
        <v>20.5</v>
      </c>
      <c r="C646" t="s">
        <v>5</v>
      </c>
      <c r="D646">
        <v>52616</v>
      </c>
      <c r="E646" t="s">
        <v>4</v>
      </c>
      <c r="F646">
        <v>2.59</v>
      </c>
      <c r="G646">
        <v>77.5</v>
      </c>
      <c r="H646">
        <v>2</v>
      </c>
      <c r="I646">
        <v>27.2</v>
      </c>
      <c r="J646" t="s">
        <v>4</v>
      </c>
      <c r="K646" t="s">
        <v>4</v>
      </c>
      <c r="L646">
        <v>3.5</v>
      </c>
      <c r="M646">
        <v>1.45</v>
      </c>
      <c r="N646">
        <v>1.73</v>
      </c>
      <c r="O646">
        <v>1.73</v>
      </c>
      <c r="P646" t="s">
        <v>2</v>
      </c>
      <c r="Q646" t="s">
        <v>6</v>
      </c>
      <c r="R646" t="s">
        <v>15</v>
      </c>
      <c r="S646">
        <v>0</v>
      </c>
    </row>
    <row r="647" spans="1:19" x14ac:dyDescent="0.3">
      <c r="A647">
        <v>646</v>
      </c>
      <c r="B647">
        <v>20.399999999999999</v>
      </c>
      <c r="C647" t="s">
        <v>11</v>
      </c>
      <c r="D647">
        <v>25000</v>
      </c>
      <c r="E647" t="s">
        <v>4</v>
      </c>
      <c r="F647">
        <v>4.72</v>
      </c>
      <c r="G647">
        <v>81.3</v>
      </c>
      <c r="H647">
        <v>0</v>
      </c>
      <c r="I647">
        <v>38.4</v>
      </c>
      <c r="J647" t="s">
        <v>4</v>
      </c>
      <c r="K647" t="s">
        <v>3</v>
      </c>
      <c r="L647">
        <v>4.7</v>
      </c>
      <c r="M647">
        <v>2.52</v>
      </c>
      <c r="N647">
        <v>2.8</v>
      </c>
      <c r="O647">
        <v>2.81</v>
      </c>
      <c r="P647" t="s">
        <v>12</v>
      </c>
      <c r="Q647" t="s">
        <v>1</v>
      </c>
      <c r="R647" t="s">
        <v>9</v>
      </c>
      <c r="S647">
        <v>0</v>
      </c>
    </row>
    <row r="648" spans="1:19" x14ac:dyDescent="0.3">
      <c r="A648">
        <v>647</v>
      </c>
      <c r="B648">
        <v>17</v>
      </c>
      <c r="C648" t="s">
        <v>5</v>
      </c>
      <c r="D648">
        <v>25000</v>
      </c>
      <c r="E648" t="s">
        <v>4</v>
      </c>
      <c r="F648">
        <v>3.2</v>
      </c>
      <c r="G648">
        <v>89.6</v>
      </c>
      <c r="H648">
        <v>3</v>
      </c>
      <c r="I648">
        <v>28.3</v>
      </c>
      <c r="J648" t="s">
        <v>3</v>
      </c>
      <c r="K648" t="s">
        <v>3</v>
      </c>
      <c r="L648">
        <v>10</v>
      </c>
      <c r="M648">
        <v>2.57</v>
      </c>
      <c r="N648">
        <v>2.81</v>
      </c>
      <c r="O648">
        <v>2.81</v>
      </c>
      <c r="P648" t="s">
        <v>2</v>
      </c>
      <c r="Q648" t="s">
        <v>1</v>
      </c>
      <c r="R648" t="s">
        <v>9</v>
      </c>
      <c r="S648">
        <v>0</v>
      </c>
    </row>
    <row r="649" spans="1:19" x14ac:dyDescent="0.3">
      <c r="A649">
        <v>648</v>
      </c>
      <c r="B649">
        <v>20.9</v>
      </c>
      <c r="C649" t="s">
        <v>5</v>
      </c>
      <c r="D649">
        <v>25851</v>
      </c>
      <c r="E649" t="s">
        <v>4</v>
      </c>
      <c r="F649">
        <v>2.48</v>
      </c>
      <c r="G649">
        <v>79.5</v>
      </c>
      <c r="H649">
        <v>1</v>
      </c>
      <c r="I649">
        <v>41.2</v>
      </c>
      <c r="J649" t="s">
        <v>3</v>
      </c>
      <c r="K649" t="s">
        <v>3</v>
      </c>
      <c r="L649">
        <v>6.3</v>
      </c>
      <c r="M649">
        <v>1.89</v>
      </c>
      <c r="N649">
        <v>1.49</v>
      </c>
      <c r="O649">
        <v>1.54</v>
      </c>
      <c r="P649" t="s">
        <v>7</v>
      </c>
      <c r="Q649" t="s">
        <v>14</v>
      </c>
      <c r="R649" t="s">
        <v>9</v>
      </c>
      <c r="S649">
        <v>0</v>
      </c>
    </row>
    <row r="650" spans="1:19" x14ac:dyDescent="0.3">
      <c r="A650">
        <v>649</v>
      </c>
      <c r="B650">
        <v>20.5</v>
      </c>
      <c r="C650" t="s">
        <v>5</v>
      </c>
      <c r="D650">
        <v>70878</v>
      </c>
      <c r="E650" t="s">
        <v>3</v>
      </c>
      <c r="F650">
        <v>6.55</v>
      </c>
      <c r="G650">
        <v>87</v>
      </c>
      <c r="H650">
        <v>1</v>
      </c>
      <c r="I650">
        <v>28.8</v>
      </c>
      <c r="J650" t="s">
        <v>3</v>
      </c>
      <c r="K650" t="s">
        <v>4</v>
      </c>
      <c r="L650">
        <v>8.1999999999999993</v>
      </c>
      <c r="M650">
        <v>2.44</v>
      </c>
      <c r="N650">
        <v>2.5299999999999998</v>
      </c>
      <c r="O650">
        <v>2.5299999999999998</v>
      </c>
      <c r="P650" t="s">
        <v>2</v>
      </c>
      <c r="Q650" t="s">
        <v>1</v>
      </c>
      <c r="R650" t="s">
        <v>17</v>
      </c>
      <c r="S650">
        <v>0</v>
      </c>
    </row>
    <row r="651" spans="1:19" x14ac:dyDescent="0.3">
      <c r="A651">
        <v>650</v>
      </c>
      <c r="B651">
        <v>22.5</v>
      </c>
      <c r="C651" t="s">
        <v>5</v>
      </c>
      <c r="D651">
        <v>25148</v>
      </c>
      <c r="E651" t="s">
        <v>4</v>
      </c>
      <c r="F651">
        <v>4.55</v>
      </c>
      <c r="G651">
        <v>86.6</v>
      </c>
      <c r="H651">
        <v>0</v>
      </c>
      <c r="I651">
        <v>35.799999999999997</v>
      </c>
      <c r="J651" t="s">
        <v>3</v>
      </c>
      <c r="K651" t="s">
        <v>3</v>
      </c>
      <c r="L651">
        <v>8.4</v>
      </c>
      <c r="M651">
        <v>1.76</v>
      </c>
      <c r="N651">
        <v>1.29</v>
      </c>
      <c r="O651">
        <v>1.32</v>
      </c>
      <c r="P651" t="s">
        <v>10</v>
      </c>
      <c r="Q651" t="s">
        <v>13</v>
      </c>
      <c r="R651" t="s">
        <v>0</v>
      </c>
      <c r="S651">
        <v>0</v>
      </c>
    </row>
    <row r="652" spans="1:19" x14ac:dyDescent="0.3">
      <c r="A652">
        <v>651</v>
      </c>
      <c r="B652">
        <v>25.1</v>
      </c>
      <c r="C652" t="s">
        <v>11</v>
      </c>
      <c r="D652">
        <v>31159</v>
      </c>
      <c r="E652" t="s">
        <v>3</v>
      </c>
      <c r="F652">
        <v>3.59</v>
      </c>
      <c r="G652">
        <v>76.599999999999994</v>
      </c>
      <c r="H652">
        <v>4</v>
      </c>
      <c r="I652">
        <v>26.1</v>
      </c>
      <c r="J652" t="s">
        <v>4</v>
      </c>
      <c r="K652" t="s">
        <v>3</v>
      </c>
      <c r="L652">
        <v>3.5</v>
      </c>
      <c r="M652">
        <v>2.65</v>
      </c>
      <c r="N652">
        <v>2.54</v>
      </c>
      <c r="O652">
        <v>2.48</v>
      </c>
      <c r="P652" t="s">
        <v>12</v>
      </c>
      <c r="Q652" t="s">
        <v>14</v>
      </c>
      <c r="R652" t="s">
        <v>9</v>
      </c>
      <c r="S652">
        <v>1</v>
      </c>
    </row>
    <row r="653" spans="1:19" x14ac:dyDescent="0.3">
      <c r="A653">
        <v>652</v>
      </c>
      <c r="B653">
        <v>23.5</v>
      </c>
      <c r="C653" t="s">
        <v>11</v>
      </c>
      <c r="D653">
        <v>25000</v>
      </c>
      <c r="E653" t="s">
        <v>4</v>
      </c>
      <c r="F653">
        <v>3.61</v>
      </c>
      <c r="G653">
        <v>76.8</v>
      </c>
      <c r="H653">
        <v>2</v>
      </c>
      <c r="I653">
        <v>20.6</v>
      </c>
      <c r="J653" t="s">
        <v>3</v>
      </c>
      <c r="K653" t="s">
        <v>3</v>
      </c>
      <c r="L653">
        <v>6.8</v>
      </c>
      <c r="M653">
        <v>0.61</v>
      </c>
      <c r="N653">
        <v>0.45</v>
      </c>
      <c r="O653">
        <v>0.45</v>
      </c>
      <c r="P653" t="s">
        <v>2</v>
      </c>
      <c r="Q653" t="s">
        <v>13</v>
      </c>
      <c r="R653" t="s">
        <v>9</v>
      </c>
      <c r="S653">
        <v>1</v>
      </c>
    </row>
    <row r="654" spans="1:19" x14ac:dyDescent="0.3">
      <c r="A654">
        <v>653</v>
      </c>
      <c r="B654">
        <v>20.399999999999999</v>
      </c>
      <c r="C654" t="s">
        <v>11</v>
      </c>
      <c r="D654">
        <v>45403</v>
      </c>
      <c r="E654" t="s">
        <v>4</v>
      </c>
      <c r="F654">
        <v>5.99</v>
      </c>
      <c r="G654">
        <v>91.8</v>
      </c>
      <c r="H654">
        <v>1</v>
      </c>
      <c r="I654">
        <v>44</v>
      </c>
      <c r="J654" t="s">
        <v>3</v>
      </c>
      <c r="K654" t="s">
        <v>4</v>
      </c>
      <c r="L654">
        <v>5.8</v>
      </c>
      <c r="M654">
        <v>2.97</v>
      </c>
      <c r="N654">
        <v>2.44</v>
      </c>
      <c r="O654">
        <v>2.39</v>
      </c>
      <c r="P654" t="s">
        <v>12</v>
      </c>
      <c r="Q654" t="s">
        <v>1</v>
      </c>
      <c r="R654" t="s">
        <v>15</v>
      </c>
      <c r="S654">
        <v>0</v>
      </c>
    </row>
    <row r="655" spans="1:19" x14ac:dyDescent="0.3">
      <c r="A655">
        <v>654</v>
      </c>
      <c r="B655">
        <v>18.600000000000001</v>
      </c>
      <c r="C655" t="s">
        <v>5</v>
      </c>
      <c r="D655">
        <v>32641</v>
      </c>
      <c r="E655" t="s">
        <v>4</v>
      </c>
      <c r="F655">
        <v>6.09</v>
      </c>
      <c r="G655">
        <v>92.6</v>
      </c>
      <c r="H655">
        <v>1</v>
      </c>
      <c r="I655">
        <v>12</v>
      </c>
      <c r="J655" t="s">
        <v>3</v>
      </c>
      <c r="K655" t="s">
        <v>4</v>
      </c>
      <c r="L655">
        <v>8.6</v>
      </c>
      <c r="M655">
        <v>2.12</v>
      </c>
      <c r="N655">
        <v>2.4900000000000002</v>
      </c>
      <c r="O655">
        <v>2.4900000000000002</v>
      </c>
      <c r="P655" t="s">
        <v>2</v>
      </c>
      <c r="Q655" t="s">
        <v>13</v>
      </c>
      <c r="R655" t="s">
        <v>15</v>
      </c>
      <c r="S655">
        <v>0</v>
      </c>
    </row>
    <row r="656" spans="1:19" x14ac:dyDescent="0.3">
      <c r="A656">
        <v>655</v>
      </c>
      <c r="B656">
        <v>26.7</v>
      </c>
      <c r="C656" t="s">
        <v>11</v>
      </c>
      <c r="D656">
        <v>25000</v>
      </c>
      <c r="E656" t="s">
        <v>4</v>
      </c>
      <c r="F656">
        <v>3.29</v>
      </c>
      <c r="G656">
        <v>87</v>
      </c>
      <c r="H656">
        <v>1</v>
      </c>
      <c r="I656">
        <v>22.8</v>
      </c>
      <c r="J656" t="s">
        <v>4</v>
      </c>
      <c r="K656" t="s">
        <v>4</v>
      </c>
      <c r="L656">
        <v>9</v>
      </c>
      <c r="M656">
        <v>0.85</v>
      </c>
      <c r="N656">
        <v>0.52</v>
      </c>
      <c r="O656">
        <v>0.54</v>
      </c>
      <c r="P656" t="s">
        <v>7</v>
      </c>
      <c r="Q656" t="s">
        <v>14</v>
      </c>
      <c r="R656" t="s">
        <v>9</v>
      </c>
      <c r="S656">
        <v>1</v>
      </c>
    </row>
    <row r="657" spans="1:19" x14ac:dyDescent="0.3">
      <c r="A657">
        <v>656</v>
      </c>
      <c r="B657">
        <v>21.1</v>
      </c>
      <c r="C657" t="s">
        <v>5</v>
      </c>
      <c r="D657">
        <v>25000</v>
      </c>
      <c r="E657" t="s">
        <v>4</v>
      </c>
      <c r="F657">
        <v>4.34</v>
      </c>
      <c r="G657">
        <v>75.099999999999994</v>
      </c>
      <c r="H657">
        <v>0</v>
      </c>
      <c r="I657">
        <v>28.9</v>
      </c>
      <c r="J657" t="s">
        <v>3</v>
      </c>
      <c r="K657" t="s">
        <v>4</v>
      </c>
      <c r="L657">
        <v>4</v>
      </c>
      <c r="M657">
        <v>2.93</v>
      </c>
      <c r="N657">
        <v>3.52</v>
      </c>
      <c r="O657">
        <v>3.52</v>
      </c>
      <c r="P657" t="s">
        <v>2</v>
      </c>
      <c r="Q657" t="s">
        <v>14</v>
      </c>
      <c r="R657" t="s">
        <v>9</v>
      </c>
      <c r="S657">
        <v>0</v>
      </c>
    </row>
    <row r="658" spans="1:19" x14ac:dyDescent="0.3">
      <c r="A658">
        <v>657</v>
      </c>
      <c r="B658">
        <v>21</v>
      </c>
      <c r="C658" t="s">
        <v>11</v>
      </c>
      <c r="D658">
        <v>25000</v>
      </c>
      <c r="E658" t="s">
        <v>4</v>
      </c>
      <c r="F658">
        <v>3.52</v>
      </c>
      <c r="G658">
        <v>88.9</v>
      </c>
      <c r="H658">
        <v>0</v>
      </c>
      <c r="I658">
        <v>40.299999999999997</v>
      </c>
      <c r="J658" t="s">
        <v>3</v>
      </c>
      <c r="K658" t="s">
        <v>3</v>
      </c>
      <c r="L658">
        <v>10</v>
      </c>
      <c r="M658">
        <v>1.88</v>
      </c>
      <c r="N658">
        <v>1.07</v>
      </c>
      <c r="O658">
        <v>1.08</v>
      </c>
      <c r="P658" t="s">
        <v>7</v>
      </c>
      <c r="Q658" t="s">
        <v>6</v>
      </c>
      <c r="R658" t="s">
        <v>15</v>
      </c>
      <c r="S658">
        <v>1</v>
      </c>
    </row>
    <row r="659" spans="1:19" x14ac:dyDescent="0.3">
      <c r="A659">
        <v>658</v>
      </c>
      <c r="B659">
        <v>20.9</v>
      </c>
      <c r="C659" t="s">
        <v>5</v>
      </c>
      <c r="D659">
        <v>25000</v>
      </c>
      <c r="E659" t="s">
        <v>4</v>
      </c>
      <c r="F659">
        <v>5</v>
      </c>
      <c r="G659">
        <v>79.8</v>
      </c>
      <c r="H659">
        <v>1</v>
      </c>
      <c r="I659">
        <v>19.5</v>
      </c>
      <c r="J659" t="s">
        <v>4</v>
      </c>
      <c r="K659" t="s">
        <v>4</v>
      </c>
      <c r="L659">
        <v>5.8</v>
      </c>
      <c r="M659">
        <v>1.84</v>
      </c>
      <c r="N659">
        <v>2.4500000000000002</v>
      </c>
      <c r="O659">
        <v>2.41</v>
      </c>
      <c r="P659" t="s">
        <v>10</v>
      </c>
      <c r="Q659" t="s">
        <v>13</v>
      </c>
      <c r="R659" t="s">
        <v>0</v>
      </c>
      <c r="S659">
        <v>1</v>
      </c>
    </row>
    <row r="660" spans="1:19" x14ac:dyDescent="0.3">
      <c r="A660">
        <v>659</v>
      </c>
      <c r="B660">
        <v>21.4</v>
      </c>
      <c r="C660" t="s">
        <v>5</v>
      </c>
      <c r="D660">
        <v>47876</v>
      </c>
      <c r="E660" t="s">
        <v>4</v>
      </c>
      <c r="F660">
        <v>3.54</v>
      </c>
      <c r="G660">
        <v>71.900000000000006</v>
      </c>
      <c r="H660">
        <v>4</v>
      </c>
      <c r="I660">
        <v>31.5</v>
      </c>
      <c r="J660" t="s">
        <v>4</v>
      </c>
      <c r="K660" t="s">
        <v>3</v>
      </c>
      <c r="L660">
        <v>6.6</v>
      </c>
      <c r="M660">
        <v>2.48</v>
      </c>
      <c r="N660">
        <v>2.13</v>
      </c>
      <c r="O660">
        <v>2.13</v>
      </c>
      <c r="P660" t="s">
        <v>2</v>
      </c>
      <c r="Q660" t="s">
        <v>6</v>
      </c>
      <c r="R660" t="s">
        <v>0</v>
      </c>
      <c r="S660">
        <v>0</v>
      </c>
    </row>
    <row r="661" spans="1:19" x14ac:dyDescent="0.3">
      <c r="A661">
        <v>660</v>
      </c>
      <c r="B661">
        <v>20.7</v>
      </c>
      <c r="C661" t="s">
        <v>5</v>
      </c>
      <c r="D661">
        <v>65792</v>
      </c>
      <c r="E661" t="s">
        <v>4</v>
      </c>
      <c r="F661">
        <v>1.49</v>
      </c>
      <c r="G661">
        <v>76.900000000000006</v>
      </c>
      <c r="H661">
        <v>2</v>
      </c>
      <c r="I661">
        <v>13.4</v>
      </c>
      <c r="J661" t="s">
        <v>4</v>
      </c>
      <c r="K661" t="s">
        <v>3</v>
      </c>
      <c r="L661">
        <v>1</v>
      </c>
      <c r="M661">
        <v>1.9</v>
      </c>
      <c r="N661">
        <v>2.11</v>
      </c>
      <c r="O661">
        <v>2.11</v>
      </c>
      <c r="P661" t="s">
        <v>10</v>
      </c>
      <c r="Q661" t="s">
        <v>13</v>
      </c>
      <c r="R661" t="s">
        <v>15</v>
      </c>
      <c r="S661">
        <v>0</v>
      </c>
    </row>
    <row r="662" spans="1:19" x14ac:dyDescent="0.3">
      <c r="A662">
        <v>661</v>
      </c>
      <c r="B662">
        <v>19.7</v>
      </c>
      <c r="C662" t="s">
        <v>5</v>
      </c>
      <c r="D662">
        <v>44861</v>
      </c>
      <c r="E662" t="s">
        <v>4</v>
      </c>
      <c r="F662">
        <v>2.66</v>
      </c>
      <c r="G662">
        <v>80.2</v>
      </c>
      <c r="H662">
        <v>0</v>
      </c>
      <c r="I662">
        <v>35.299999999999997</v>
      </c>
      <c r="J662" t="s">
        <v>4</v>
      </c>
      <c r="K662" t="s">
        <v>3</v>
      </c>
      <c r="L662">
        <v>7.3</v>
      </c>
      <c r="M662">
        <v>1.47</v>
      </c>
      <c r="N662">
        <v>1.51</v>
      </c>
      <c r="O662">
        <v>1.52</v>
      </c>
      <c r="P662" t="s">
        <v>10</v>
      </c>
      <c r="Q662" t="s">
        <v>13</v>
      </c>
      <c r="R662" t="s">
        <v>0</v>
      </c>
      <c r="S662">
        <v>0</v>
      </c>
    </row>
    <row r="663" spans="1:19" x14ac:dyDescent="0.3">
      <c r="A663">
        <v>662</v>
      </c>
      <c r="B663">
        <v>19.8</v>
      </c>
      <c r="C663" t="s">
        <v>11</v>
      </c>
      <c r="D663">
        <v>41472</v>
      </c>
      <c r="E663" t="s">
        <v>3</v>
      </c>
      <c r="F663">
        <v>5.35</v>
      </c>
      <c r="G663">
        <v>90.7</v>
      </c>
      <c r="H663">
        <v>2</v>
      </c>
      <c r="I663">
        <v>51.9</v>
      </c>
      <c r="J663" t="s">
        <v>3</v>
      </c>
      <c r="K663" t="s">
        <v>3</v>
      </c>
      <c r="L663">
        <v>1.6</v>
      </c>
      <c r="M663">
        <v>3.78</v>
      </c>
      <c r="N663">
        <v>4</v>
      </c>
      <c r="O663">
        <v>4</v>
      </c>
      <c r="P663" t="s">
        <v>10</v>
      </c>
      <c r="Q663" t="s">
        <v>8</v>
      </c>
      <c r="R663" t="s">
        <v>15</v>
      </c>
      <c r="S663">
        <v>0</v>
      </c>
    </row>
    <row r="664" spans="1:19" x14ac:dyDescent="0.3">
      <c r="A664">
        <v>663</v>
      </c>
      <c r="B664">
        <v>20.9</v>
      </c>
      <c r="C664" t="s">
        <v>5</v>
      </c>
      <c r="D664">
        <v>27559</v>
      </c>
      <c r="E664" t="s">
        <v>4</v>
      </c>
      <c r="F664">
        <v>3.06</v>
      </c>
      <c r="G664">
        <v>75.599999999999994</v>
      </c>
      <c r="H664">
        <v>7</v>
      </c>
      <c r="I664">
        <v>6.5</v>
      </c>
      <c r="J664" t="s">
        <v>3</v>
      </c>
      <c r="K664" t="s">
        <v>4</v>
      </c>
      <c r="L664">
        <v>5.2</v>
      </c>
      <c r="M664">
        <v>1.57</v>
      </c>
      <c r="N664">
        <v>1.3</v>
      </c>
      <c r="O664">
        <v>1.3</v>
      </c>
      <c r="P664" t="s">
        <v>2</v>
      </c>
      <c r="Q664" t="s">
        <v>1</v>
      </c>
      <c r="R664" t="s">
        <v>15</v>
      </c>
      <c r="S664">
        <v>0</v>
      </c>
    </row>
    <row r="665" spans="1:19" x14ac:dyDescent="0.3">
      <c r="A665">
        <v>664</v>
      </c>
      <c r="B665">
        <v>19.8</v>
      </c>
      <c r="C665" t="s">
        <v>5</v>
      </c>
      <c r="D665">
        <v>47332</v>
      </c>
      <c r="E665" t="s">
        <v>4</v>
      </c>
      <c r="F665">
        <v>5.0199999999999996</v>
      </c>
      <c r="G665">
        <v>74.3</v>
      </c>
      <c r="H665">
        <v>2</v>
      </c>
      <c r="I665">
        <v>21.3</v>
      </c>
      <c r="J665" t="s">
        <v>3</v>
      </c>
      <c r="K665" t="s">
        <v>4</v>
      </c>
      <c r="L665">
        <v>4.5</v>
      </c>
      <c r="M665">
        <v>2.62</v>
      </c>
      <c r="N665">
        <v>3.07</v>
      </c>
      <c r="O665">
        <v>3.17</v>
      </c>
      <c r="P665" t="s">
        <v>10</v>
      </c>
      <c r="Q665" t="s">
        <v>1</v>
      </c>
      <c r="R665" t="s">
        <v>0</v>
      </c>
      <c r="S665">
        <v>1</v>
      </c>
    </row>
    <row r="666" spans="1:19" x14ac:dyDescent="0.3">
      <c r="A666">
        <v>665</v>
      </c>
      <c r="B666">
        <v>19.399999999999999</v>
      </c>
      <c r="C666" t="s">
        <v>5</v>
      </c>
      <c r="D666">
        <v>35305</v>
      </c>
      <c r="E666" t="s">
        <v>4</v>
      </c>
      <c r="F666">
        <v>4.4800000000000004</v>
      </c>
      <c r="G666">
        <v>78.099999999999994</v>
      </c>
      <c r="H666">
        <v>2</v>
      </c>
      <c r="I666">
        <v>40</v>
      </c>
      <c r="J666" t="s">
        <v>3</v>
      </c>
      <c r="K666" t="s">
        <v>3</v>
      </c>
      <c r="L666">
        <v>6.3</v>
      </c>
      <c r="M666">
        <v>3.2</v>
      </c>
      <c r="N666">
        <v>2.84</v>
      </c>
      <c r="O666">
        <v>2.79</v>
      </c>
      <c r="P666" t="s">
        <v>7</v>
      </c>
      <c r="Q666" t="s">
        <v>1</v>
      </c>
      <c r="R666" t="s">
        <v>9</v>
      </c>
      <c r="S666">
        <v>0</v>
      </c>
    </row>
    <row r="667" spans="1:19" x14ac:dyDescent="0.3">
      <c r="A667">
        <v>666</v>
      </c>
      <c r="B667">
        <v>21.2</v>
      </c>
      <c r="C667" t="s">
        <v>11</v>
      </c>
      <c r="D667">
        <v>87787</v>
      </c>
      <c r="E667" t="s">
        <v>4</v>
      </c>
      <c r="F667">
        <v>3.07</v>
      </c>
      <c r="G667">
        <v>81</v>
      </c>
      <c r="H667">
        <v>2</v>
      </c>
      <c r="I667">
        <v>65.3</v>
      </c>
      <c r="J667" t="s">
        <v>3</v>
      </c>
      <c r="K667" t="s">
        <v>3</v>
      </c>
      <c r="L667">
        <v>5.8</v>
      </c>
      <c r="M667">
        <v>0.25</v>
      </c>
      <c r="N667">
        <v>0.65</v>
      </c>
      <c r="O667">
        <v>0.67</v>
      </c>
      <c r="P667" t="s">
        <v>10</v>
      </c>
      <c r="Q667" t="s">
        <v>14</v>
      </c>
      <c r="R667" t="s">
        <v>15</v>
      </c>
      <c r="S667">
        <v>1</v>
      </c>
    </row>
    <row r="668" spans="1:19" x14ac:dyDescent="0.3">
      <c r="A668">
        <v>667</v>
      </c>
      <c r="B668">
        <v>20.399999999999999</v>
      </c>
      <c r="C668" t="s">
        <v>5</v>
      </c>
      <c r="D668">
        <v>28027</v>
      </c>
      <c r="E668" t="s">
        <v>3</v>
      </c>
      <c r="F668">
        <v>3.8</v>
      </c>
      <c r="G668">
        <v>87.4</v>
      </c>
      <c r="H668">
        <v>2</v>
      </c>
      <c r="I668">
        <v>37.1</v>
      </c>
      <c r="J668" t="s">
        <v>4</v>
      </c>
      <c r="K668" t="s">
        <v>4</v>
      </c>
      <c r="L668">
        <v>6.6</v>
      </c>
      <c r="M668">
        <v>0.11</v>
      </c>
      <c r="N668">
        <v>0</v>
      </c>
      <c r="O668">
        <v>0</v>
      </c>
      <c r="P668" t="s">
        <v>10</v>
      </c>
      <c r="Q668" t="s">
        <v>13</v>
      </c>
      <c r="R668" t="s">
        <v>0</v>
      </c>
      <c r="S668">
        <v>1</v>
      </c>
    </row>
    <row r="669" spans="1:19" x14ac:dyDescent="0.3">
      <c r="A669">
        <v>668</v>
      </c>
      <c r="B669">
        <v>24.3</v>
      </c>
      <c r="C669" t="s">
        <v>11</v>
      </c>
      <c r="D669">
        <v>66556</v>
      </c>
      <c r="E669" t="s">
        <v>3</v>
      </c>
      <c r="F669">
        <v>3.19</v>
      </c>
      <c r="G669">
        <v>86.6</v>
      </c>
      <c r="H669">
        <v>1</v>
      </c>
      <c r="I669">
        <v>21.2</v>
      </c>
      <c r="J669" t="s">
        <v>3</v>
      </c>
      <c r="K669" t="s">
        <v>4</v>
      </c>
      <c r="L669">
        <v>7.7</v>
      </c>
      <c r="M669">
        <v>1.29</v>
      </c>
      <c r="N669">
        <v>1.22</v>
      </c>
      <c r="O669">
        <v>1.22</v>
      </c>
      <c r="P669" t="s">
        <v>2</v>
      </c>
      <c r="Q669" t="s">
        <v>8</v>
      </c>
      <c r="R669" t="s">
        <v>16</v>
      </c>
      <c r="S669">
        <v>1</v>
      </c>
    </row>
    <row r="670" spans="1:19" x14ac:dyDescent="0.3">
      <c r="A670">
        <v>669</v>
      </c>
      <c r="B670">
        <v>17</v>
      </c>
      <c r="C670" t="s">
        <v>11</v>
      </c>
      <c r="E670" t="s">
        <v>3</v>
      </c>
      <c r="G670">
        <v>64</v>
      </c>
      <c r="H670">
        <v>1</v>
      </c>
      <c r="I670">
        <v>28.2</v>
      </c>
      <c r="J670" t="s">
        <v>3</v>
      </c>
      <c r="K670" t="s">
        <v>4</v>
      </c>
      <c r="M670">
        <v>3.98</v>
      </c>
      <c r="N670">
        <v>3.84</v>
      </c>
      <c r="O670">
        <v>3.85</v>
      </c>
      <c r="P670" t="s">
        <v>10</v>
      </c>
      <c r="Q670" t="s">
        <v>1</v>
      </c>
      <c r="R670" t="s">
        <v>9</v>
      </c>
      <c r="S670">
        <v>0</v>
      </c>
    </row>
    <row r="671" spans="1:19" x14ac:dyDescent="0.3">
      <c r="A671">
        <v>670</v>
      </c>
      <c r="B671">
        <v>23.4</v>
      </c>
      <c r="C671" t="s">
        <v>5</v>
      </c>
      <c r="D671">
        <v>46225</v>
      </c>
      <c r="E671" t="s">
        <v>4</v>
      </c>
      <c r="F671">
        <v>1.68</v>
      </c>
      <c r="G671">
        <v>79.2</v>
      </c>
      <c r="H671">
        <v>1</v>
      </c>
      <c r="I671">
        <v>15.3</v>
      </c>
      <c r="J671" t="s">
        <v>3</v>
      </c>
      <c r="K671" t="s">
        <v>4</v>
      </c>
      <c r="L671">
        <v>5.0999999999999996</v>
      </c>
      <c r="M671">
        <v>0.98</v>
      </c>
      <c r="N671">
        <v>0.8</v>
      </c>
      <c r="O671">
        <v>0.76</v>
      </c>
      <c r="P671" t="s">
        <v>10</v>
      </c>
      <c r="Q671" t="s">
        <v>13</v>
      </c>
      <c r="R671" t="s">
        <v>16</v>
      </c>
      <c r="S671">
        <v>1</v>
      </c>
    </row>
    <row r="672" spans="1:19" x14ac:dyDescent="0.3">
      <c r="A672">
        <v>671</v>
      </c>
      <c r="B672">
        <v>23.7</v>
      </c>
      <c r="C672" t="s">
        <v>5</v>
      </c>
      <c r="D672">
        <v>25000</v>
      </c>
      <c r="E672" t="s">
        <v>3</v>
      </c>
      <c r="F672">
        <v>3.85</v>
      </c>
      <c r="G672">
        <v>83</v>
      </c>
      <c r="H672">
        <v>2</v>
      </c>
      <c r="I672">
        <v>39.700000000000003</v>
      </c>
      <c r="J672" t="s">
        <v>4</v>
      </c>
      <c r="K672" t="s">
        <v>4</v>
      </c>
      <c r="L672">
        <v>4</v>
      </c>
      <c r="M672">
        <v>2.86</v>
      </c>
      <c r="N672">
        <v>3.13</v>
      </c>
      <c r="O672">
        <v>3.13</v>
      </c>
      <c r="P672" t="s">
        <v>2</v>
      </c>
      <c r="Q672" t="s">
        <v>8</v>
      </c>
      <c r="R672" t="s">
        <v>15</v>
      </c>
      <c r="S672">
        <v>0</v>
      </c>
    </row>
    <row r="673" spans="1:19" x14ac:dyDescent="0.3">
      <c r="A673">
        <v>672</v>
      </c>
      <c r="B673">
        <v>17</v>
      </c>
      <c r="C673" t="s">
        <v>5</v>
      </c>
      <c r="D673">
        <v>51923</v>
      </c>
      <c r="E673" t="s">
        <v>4</v>
      </c>
      <c r="F673">
        <v>3.25</v>
      </c>
      <c r="G673">
        <v>75</v>
      </c>
      <c r="H673">
        <v>3</v>
      </c>
      <c r="I673">
        <v>42.6</v>
      </c>
      <c r="J673" t="s">
        <v>3</v>
      </c>
      <c r="K673" t="s">
        <v>4</v>
      </c>
      <c r="L673">
        <v>3.8</v>
      </c>
      <c r="M673">
        <v>2.48</v>
      </c>
      <c r="N673">
        <v>2.73</v>
      </c>
      <c r="O673">
        <v>2.76</v>
      </c>
      <c r="P673" t="s">
        <v>7</v>
      </c>
      <c r="Q673" t="s">
        <v>8</v>
      </c>
      <c r="R673" t="s">
        <v>15</v>
      </c>
      <c r="S673">
        <v>0</v>
      </c>
    </row>
    <row r="674" spans="1:19" x14ac:dyDescent="0.3">
      <c r="A674">
        <v>673</v>
      </c>
      <c r="B674">
        <v>20.2</v>
      </c>
      <c r="C674" t="s">
        <v>11</v>
      </c>
      <c r="D674">
        <v>27543</v>
      </c>
      <c r="E674" t="s">
        <v>3</v>
      </c>
      <c r="F674">
        <v>4.0999999999999996</v>
      </c>
      <c r="G674">
        <v>75.8</v>
      </c>
      <c r="H674">
        <v>2</v>
      </c>
      <c r="I674">
        <v>46.9</v>
      </c>
      <c r="J674" t="s">
        <v>4</v>
      </c>
      <c r="K674" t="s">
        <v>3</v>
      </c>
      <c r="L674">
        <v>9</v>
      </c>
      <c r="M674">
        <v>2.0099999999999998</v>
      </c>
      <c r="N674">
        <v>2.08</v>
      </c>
      <c r="O674">
        <v>2.13</v>
      </c>
      <c r="P674" t="s">
        <v>7</v>
      </c>
      <c r="Q674" t="s">
        <v>8</v>
      </c>
      <c r="R674" t="s">
        <v>15</v>
      </c>
      <c r="S674">
        <v>1</v>
      </c>
    </row>
    <row r="675" spans="1:19" x14ac:dyDescent="0.3">
      <c r="A675">
        <v>674</v>
      </c>
      <c r="B675">
        <v>20.2</v>
      </c>
      <c r="C675" t="s">
        <v>5</v>
      </c>
      <c r="E675" t="s">
        <v>4</v>
      </c>
      <c r="G675">
        <v>87</v>
      </c>
      <c r="H675">
        <v>3</v>
      </c>
      <c r="I675">
        <v>26</v>
      </c>
      <c r="J675" t="s">
        <v>3</v>
      </c>
      <c r="K675" t="s">
        <v>3</v>
      </c>
      <c r="M675">
        <v>3.99</v>
      </c>
      <c r="N675">
        <v>3.94</v>
      </c>
      <c r="O675">
        <v>3.94</v>
      </c>
      <c r="P675" t="s">
        <v>2</v>
      </c>
      <c r="Q675" t="s">
        <v>13</v>
      </c>
      <c r="R675" t="s">
        <v>17</v>
      </c>
      <c r="S675">
        <v>0</v>
      </c>
    </row>
    <row r="676" spans="1:19" x14ac:dyDescent="0.3">
      <c r="A676">
        <v>675</v>
      </c>
      <c r="B676">
        <v>17.899999999999999</v>
      </c>
      <c r="C676" t="s">
        <v>5</v>
      </c>
      <c r="D676">
        <v>25000</v>
      </c>
      <c r="E676" t="s">
        <v>4</v>
      </c>
      <c r="F676">
        <v>4.8099999999999996</v>
      </c>
      <c r="G676">
        <v>87.5</v>
      </c>
      <c r="H676">
        <v>3</v>
      </c>
      <c r="I676">
        <v>20.3</v>
      </c>
      <c r="J676" t="s">
        <v>3</v>
      </c>
      <c r="K676" t="s">
        <v>4</v>
      </c>
      <c r="L676">
        <v>4</v>
      </c>
      <c r="M676">
        <v>3.99</v>
      </c>
      <c r="N676">
        <v>4</v>
      </c>
      <c r="O676">
        <v>4</v>
      </c>
      <c r="P676" t="s">
        <v>10</v>
      </c>
      <c r="Q676" t="s">
        <v>6</v>
      </c>
      <c r="R676" t="s">
        <v>15</v>
      </c>
      <c r="S676">
        <v>0</v>
      </c>
    </row>
    <row r="677" spans="1:19" x14ac:dyDescent="0.3">
      <c r="A677">
        <v>676</v>
      </c>
      <c r="B677">
        <v>19.3</v>
      </c>
      <c r="C677" t="s">
        <v>11</v>
      </c>
      <c r="D677">
        <v>29633</v>
      </c>
      <c r="E677" t="s">
        <v>4</v>
      </c>
      <c r="F677">
        <v>3.26</v>
      </c>
      <c r="G677">
        <v>80.599999999999994</v>
      </c>
      <c r="H677">
        <v>4</v>
      </c>
      <c r="I677">
        <v>47.9</v>
      </c>
      <c r="J677" t="s">
        <v>4</v>
      </c>
      <c r="K677" t="s">
        <v>3</v>
      </c>
      <c r="L677">
        <v>9.4</v>
      </c>
      <c r="M677">
        <v>0.88</v>
      </c>
      <c r="N677">
        <v>0.75</v>
      </c>
      <c r="O677">
        <v>0.75</v>
      </c>
      <c r="P677" t="s">
        <v>2</v>
      </c>
      <c r="Q677" t="s">
        <v>1</v>
      </c>
      <c r="R677" t="s">
        <v>9</v>
      </c>
      <c r="S677">
        <v>0</v>
      </c>
    </row>
    <row r="678" spans="1:19" x14ac:dyDescent="0.3">
      <c r="A678">
        <v>677</v>
      </c>
      <c r="B678">
        <v>18.600000000000001</v>
      </c>
      <c r="C678" t="s">
        <v>11</v>
      </c>
      <c r="D678">
        <v>30337</v>
      </c>
      <c r="E678" t="s">
        <v>4</v>
      </c>
      <c r="F678">
        <v>3.16</v>
      </c>
      <c r="G678">
        <v>85.2</v>
      </c>
      <c r="H678">
        <v>4</v>
      </c>
      <c r="I678">
        <v>46.6</v>
      </c>
      <c r="J678" t="s">
        <v>3</v>
      </c>
      <c r="K678" t="s">
        <v>4</v>
      </c>
      <c r="L678">
        <v>5.3</v>
      </c>
      <c r="M678">
        <v>1.56</v>
      </c>
      <c r="N678">
        <v>1.78</v>
      </c>
      <c r="O678">
        <v>1.78</v>
      </c>
      <c r="P678" t="s">
        <v>2</v>
      </c>
      <c r="Q678" t="s">
        <v>14</v>
      </c>
      <c r="R678" t="s">
        <v>15</v>
      </c>
      <c r="S678">
        <v>0</v>
      </c>
    </row>
    <row r="679" spans="1:19" x14ac:dyDescent="0.3">
      <c r="A679">
        <v>678</v>
      </c>
      <c r="B679">
        <v>24.9</v>
      </c>
      <c r="C679" t="s">
        <v>5</v>
      </c>
      <c r="D679">
        <v>25000</v>
      </c>
      <c r="E679" t="s">
        <v>4</v>
      </c>
      <c r="F679">
        <v>3.8</v>
      </c>
      <c r="G679">
        <v>85.7</v>
      </c>
      <c r="H679">
        <v>3</v>
      </c>
      <c r="I679">
        <v>18.100000000000001</v>
      </c>
      <c r="J679" t="s">
        <v>3</v>
      </c>
      <c r="K679" t="s">
        <v>4</v>
      </c>
      <c r="L679">
        <v>5.4</v>
      </c>
      <c r="M679">
        <v>0.31</v>
      </c>
      <c r="N679">
        <v>0.04</v>
      </c>
      <c r="O679">
        <v>0</v>
      </c>
      <c r="P679" t="s">
        <v>12</v>
      </c>
      <c r="Q679" t="s">
        <v>14</v>
      </c>
      <c r="R679" t="s">
        <v>17</v>
      </c>
      <c r="S679">
        <v>1</v>
      </c>
    </row>
    <row r="680" spans="1:19" x14ac:dyDescent="0.3">
      <c r="A680">
        <v>679</v>
      </c>
      <c r="B680">
        <v>23.1</v>
      </c>
      <c r="C680" t="s">
        <v>11</v>
      </c>
      <c r="D680">
        <v>25000</v>
      </c>
      <c r="E680" t="s">
        <v>4</v>
      </c>
      <c r="F680">
        <v>5.42</v>
      </c>
      <c r="G680">
        <v>73.2</v>
      </c>
      <c r="H680">
        <v>1</v>
      </c>
      <c r="I680">
        <v>25.5</v>
      </c>
      <c r="J680" t="s">
        <v>4</v>
      </c>
      <c r="K680" t="s">
        <v>3</v>
      </c>
      <c r="L680">
        <v>6.2</v>
      </c>
      <c r="M680">
        <v>0.84</v>
      </c>
      <c r="N680">
        <v>0.55000000000000004</v>
      </c>
      <c r="O680">
        <v>0.56999999999999995</v>
      </c>
      <c r="P680" t="s">
        <v>10</v>
      </c>
      <c r="Q680" t="s">
        <v>6</v>
      </c>
      <c r="R680" t="s">
        <v>0</v>
      </c>
      <c r="S680">
        <v>1</v>
      </c>
    </row>
    <row r="681" spans="1:19" x14ac:dyDescent="0.3">
      <c r="A681">
        <v>680</v>
      </c>
      <c r="B681">
        <v>23.8</v>
      </c>
      <c r="C681" t="s">
        <v>5</v>
      </c>
      <c r="D681">
        <v>39814</v>
      </c>
      <c r="E681" t="s">
        <v>4</v>
      </c>
      <c r="F681">
        <v>3.33</v>
      </c>
      <c r="G681">
        <v>73.3</v>
      </c>
      <c r="H681">
        <v>3</v>
      </c>
      <c r="I681">
        <v>39.5</v>
      </c>
      <c r="J681" t="s">
        <v>3</v>
      </c>
      <c r="K681" t="s">
        <v>3</v>
      </c>
      <c r="L681">
        <v>3.3</v>
      </c>
      <c r="M681">
        <v>3.25</v>
      </c>
      <c r="N681">
        <v>3.2</v>
      </c>
      <c r="O681">
        <v>3.21</v>
      </c>
      <c r="P681" t="s">
        <v>7</v>
      </c>
      <c r="Q681" t="s">
        <v>6</v>
      </c>
      <c r="R681" t="s">
        <v>15</v>
      </c>
      <c r="S681">
        <v>0</v>
      </c>
    </row>
    <row r="682" spans="1:19" x14ac:dyDescent="0.3">
      <c r="A682">
        <v>681</v>
      </c>
      <c r="B682">
        <v>22.6</v>
      </c>
      <c r="C682" t="s">
        <v>5</v>
      </c>
      <c r="D682">
        <v>50163</v>
      </c>
      <c r="E682" t="s">
        <v>4</v>
      </c>
      <c r="F682">
        <v>3.11</v>
      </c>
      <c r="G682">
        <v>78.900000000000006</v>
      </c>
      <c r="H682">
        <v>0</v>
      </c>
      <c r="I682">
        <v>27</v>
      </c>
      <c r="J682" t="s">
        <v>4</v>
      </c>
      <c r="K682" t="s">
        <v>4</v>
      </c>
      <c r="L682">
        <v>3.8</v>
      </c>
      <c r="M682">
        <v>2.2000000000000002</v>
      </c>
      <c r="N682">
        <v>1.88</v>
      </c>
      <c r="O682">
        <v>1.86</v>
      </c>
      <c r="P682" t="s">
        <v>10</v>
      </c>
      <c r="Q682" t="s">
        <v>6</v>
      </c>
      <c r="R682" t="s">
        <v>15</v>
      </c>
      <c r="S682">
        <v>0</v>
      </c>
    </row>
    <row r="683" spans="1:19" x14ac:dyDescent="0.3">
      <c r="A683">
        <v>682</v>
      </c>
      <c r="B683">
        <v>18.5</v>
      </c>
      <c r="C683" t="s">
        <v>5</v>
      </c>
      <c r="D683">
        <v>33329</v>
      </c>
      <c r="E683" t="s">
        <v>4</v>
      </c>
      <c r="F683">
        <v>2.57</v>
      </c>
      <c r="G683">
        <v>76.5</v>
      </c>
      <c r="H683">
        <v>2</v>
      </c>
      <c r="I683">
        <v>30.4</v>
      </c>
      <c r="J683" t="s">
        <v>4</v>
      </c>
      <c r="K683" t="s">
        <v>3</v>
      </c>
      <c r="L683">
        <v>4.4000000000000004</v>
      </c>
      <c r="M683">
        <v>0.97</v>
      </c>
      <c r="N683">
        <v>1.39</v>
      </c>
      <c r="O683">
        <v>1.39</v>
      </c>
      <c r="P683" t="s">
        <v>2</v>
      </c>
      <c r="Q683" t="s">
        <v>8</v>
      </c>
      <c r="R683" t="s">
        <v>15</v>
      </c>
      <c r="S683">
        <v>0</v>
      </c>
    </row>
    <row r="684" spans="1:19" x14ac:dyDescent="0.3">
      <c r="A684">
        <v>683</v>
      </c>
      <c r="B684">
        <v>19.8</v>
      </c>
      <c r="C684" t="s">
        <v>11</v>
      </c>
      <c r="D684">
        <v>59308</v>
      </c>
      <c r="E684" t="s">
        <v>4</v>
      </c>
      <c r="F684">
        <v>4.66</v>
      </c>
      <c r="G684">
        <v>77.2</v>
      </c>
      <c r="H684">
        <v>1</v>
      </c>
      <c r="I684">
        <v>12.4</v>
      </c>
      <c r="J684" t="s">
        <v>4</v>
      </c>
      <c r="K684" t="s">
        <v>3</v>
      </c>
      <c r="L684">
        <v>7.4</v>
      </c>
      <c r="M684">
        <v>1.6</v>
      </c>
      <c r="N684">
        <v>1.36</v>
      </c>
      <c r="O684">
        <v>1.38</v>
      </c>
      <c r="P684" t="s">
        <v>12</v>
      </c>
      <c r="Q684" t="s">
        <v>1</v>
      </c>
      <c r="R684" t="s">
        <v>9</v>
      </c>
      <c r="S684">
        <v>0</v>
      </c>
    </row>
    <row r="685" spans="1:19" x14ac:dyDescent="0.3">
      <c r="A685">
        <v>684</v>
      </c>
      <c r="B685">
        <v>22.1</v>
      </c>
      <c r="C685" t="s">
        <v>5</v>
      </c>
      <c r="D685">
        <v>28231</v>
      </c>
      <c r="E685" t="s">
        <v>4</v>
      </c>
      <c r="F685">
        <v>3.62</v>
      </c>
      <c r="G685">
        <v>81.2</v>
      </c>
      <c r="H685">
        <v>1</v>
      </c>
      <c r="I685">
        <v>16.5</v>
      </c>
      <c r="J685" t="s">
        <v>4</v>
      </c>
      <c r="K685" t="s">
        <v>3</v>
      </c>
      <c r="L685">
        <v>6.7</v>
      </c>
      <c r="M685">
        <v>3.89</v>
      </c>
      <c r="N685">
        <v>4</v>
      </c>
      <c r="O685">
        <v>4</v>
      </c>
      <c r="P685" t="s">
        <v>7</v>
      </c>
      <c r="Q685" t="s">
        <v>13</v>
      </c>
      <c r="R685" t="s">
        <v>9</v>
      </c>
      <c r="S685">
        <v>0</v>
      </c>
    </row>
    <row r="686" spans="1:19" x14ac:dyDescent="0.3">
      <c r="A686">
        <v>685</v>
      </c>
      <c r="B686">
        <v>18.3</v>
      </c>
      <c r="C686" t="s">
        <v>11</v>
      </c>
      <c r="D686">
        <v>28779</v>
      </c>
      <c r="E686" t="s">
        <v>3</v>
      </c>
      <c r="F686">
        <v>2.69</v>
      </c>
      <c r="G686">
        <v>81.3</v>
      </c>
      <c r="H686">
        <v>0</v>
      </c>
      <c r="I686">
        <v>28.9</v>
      </c>
      <c r="J686" t="s">
        <v>3</v>
      </c>
      <c r="K686" t="s">
        <v>4</v>
      </c>
      <c r="L686">
        <v>4.4000000000000004</v>
      </c>
      <c r="M686">
        <v>1.92</v>
      </c>
      <c r="N686">
        <v>2</v>
      </c>
      <c r="O686">
        <v>2</v>
      </c>
      <c r="P686" t="s">
        <v>2</v>
      </c>
      <c r="Q686" t="s">
        <v>14</v>
      </c>
      <c r="R686" t="s">
        <v>17</v>
      </c>
      <c r="S686">
        <v>0</v>
      </c>
    </row>
    <row r="687" spans="1:19" x14ac:dyDescent="0.3">
      <c r="A687">
        <v>686</v>
      </c>
      <c r="B687">
        <v>22.6</v>
      </c>
      <c r="C687" t="s">
        <v>11</v>
      </c>
      <c r="D687">
        <v>25000</v>
      </c>
      <c r="E687" t="s">
        <v>4</v>
      </c>
      <c r="F687">
        <v>2.96</v>
      </c>
      <c r="G687">
        <v>61.5</v>
      </c>
      <c r="H687">
        <v>3</v>
      </c>
      <c r="I687">
        <v>21.6</v>
      </c>
      <c r="J687" t="s">
        <v>3</v>
      </c>
      <c r="K687" t="s">
        <v>4</v>
      </c>
      <c r="L687">
        <v>5.3</v>
      </c>
      <c r="M687">
        <v>1.3</v>
      </c>
      <c r="N687">
        <v>1.64</v>
      </c>
      <c r="O687">
        <v>1.64</v>
      </c>
      <c r="P687" t="s">
        <v>2</v>
      </c>
      <c r="Q687" t="s">
        <v>13</v>
      </c>
      <c r="R687" t="s">
        <v>15</v>
      </c>
      <c r="S687">
        <v>1</v>
      </c>
    </row>
    <row r="688" spans="1:19" x14ac:dyDescent="0.3">
      <c r="A688">
        <v>687</v>
      </c>
      <c r="B688">
        <v>20.5</v>
      </c>
      <c r="C688" t="s">
        <v>5</v>
      </c>
      <c r="D688">
        <v>25000</v>
      </c>
      <c r="E688" t="s">
        <v>3</v>
      </c>
      <c r="F688">
        <v>4.87</v>
      </c>
      <c r="G688">
        <v>82.8</v>
      </c>
      <c r="H688">
        <v>3</v>
      </c>
      <c r="I688">
        <v>16.2</v>
      </c>
      <c r="J688" t="s">
        <v>3</v>
      </c>
      <c r="K688" t="s">
        <v>3</v>
      </c>
      <c r="L688">
        <v>6.9</v>
      </c>
      <c r="M688">
        <v>2.0699999999999998</v>
      </c>
      <c r="N688">
        <v>1.84</v>
      </c>
      <c r="O688">
        <v>1.79</v>
      </c>
      <c r="P688" t="s">
        <v>12</v>
      </c>
      <c r="Q688" t="s">
        <v>8</v>
      </c>
      <c r="R688" t="s">
        <v>0</v>
      </c>
      <c r="S688">
        <v>0</v>
      </c>
    </row>
    <row r="689" spans="1:19" x14ac:dyDescent="0.3">
      <c r="A689">
        <v>688</v>
      </c>
      <c r="B689">
        <v>20.2</v>
      </c>
      <c r="C689" t="s">
        <v>11</v>
      </c>
      <c r="D689">
        <v>90472</v>
      </c>
      <c r="E689" t="s">
        <v>4</v>
      </c>
      <c r="F689">
        <v>4.1900000000000004</v>
      </c>
      <c r="G689">
        <v>80</v>
      </c>
      <c r="H689">
        <v>1</v>
      </c>
      <c r="I689">
        <v>26.2</v>
      </c>
      <c r="J689" t="s">
        <v>4</v>
      </c>
      <c r="K689" t="s">
        <v>4</v>
      </c>
      <c r="L689">
        <v>1.2</v>
      </c>
      <c r="M689">
        <v>3.16</v>
      </c>
      <c r="N689">
        <v>3.2</v>
      </c>
      <c r="O689">
        <v>3.2</v>
      </c>
      <c r="P689" t="s">
        <v>2</v>
      </c>
      <c r="Q689" t="s">
        <v>13</v>
      </c>
      <c r="R689" t="s">
        <v>15</v>
      </c>
      <c r="S689">
        <v>0</v>
      </c>
    </row>
    <row r="690" spans="1:19" x14ac:dyDescent="0.3">
      <c r="A690">
        <v>689</v>
      </c>
      <c r="B690">
        <v>22.6</v>
      </c>
      <c r="C690" t="s">
        <v>5</v>
      </c>
      <c r="D690">
        <v>58617</v>
      </c>
      <c r="E690" t="s">
        <v>4</v>
      </c>
      <c r="F690">
        <v>3.13</v>
      </c>
      <c r="G690">
        <v>83.8</v>
      </c>
      <c r="H690">
        <v>4</v>
      </c>
      <c r="I690">
        <v>19.5</v>
      </c>
      <c r="J690" t="s">
        <v>4</v>
      </c>
      <c r="K690" t="s">
        <v>3</v>
      </c>
      <c r="L690">
        <v>6</v>
      </c>
      <c r="M690">
        <v>2.76</v>
      </c>
      <c r="N690">
        <v>2.15</v>
      </c>
      <c r="O690">
        <v>2.02</v>
      </c>
      <c r="P690" t="s">
        <v>12</v>
      </c>
      <c r="Q690" t="s">
        <v>6</v>
      </c>
      <c r="R690" t="s">
        <v>9</v>
      </c>
      <c r="S690">
        <v>0</v>
      </c>
    </row>
    <row r="691" spans="1:19" x14ac:dyDescent="0.3">
      <c r="A691">
        <v>690</v>
      </c>
      <c r="B691">
        <v>22</v>
      </c>
      <c r="C691" t="s">
        <v>11</v>
      </c>
      <c r="D691">
        <v>25000</v>
      </c>
      <c r="E691" t="s">
        <v>4</v>
      </c>
      <c r="F691">
        <v>4.75</v>
      </c>
      <c r="G691">
        <v>76.900000000000006</v>
      </c>
      <c r="H691">
        <v>2</v>
      </c>
      <c r="I691">
        <v>30.3</v>
      </c>
      <c r="J691" t="s">
        <v>3</v>
      </c>
      <c r="K691" t="s">
        <v>3</v>
      </c>
      <c r="L691">
        <v>6.9</v>
      </c>
      <c r="M691">
        <v>3.36</v>
      </c>
      <c r="N691">
        <v>3.43</v>
      </c>
      <c r="O691">
        <v>3.48</v>
      </c>
      <c r="P691" t="s">
        <v>10</v>
      </c>
      <c r="Q691" t="s">
        <v>13</v>
      </c>
      <c r="R691" t="s">
        <v>9</v>
      </c>
      <c r="S691">
        <v>0</v>
      </c>
    </row>
    <row r="692" spans="1:19" x14ac:dyDescent="0.3">
      <c r="A692">
        <v>691</v>
      </c>
      <c r="B692">
        <v>20.2</v>
      </c>
      <c r="C692" t="s">
        <v>11</v>
      </c>
      <c r="D692">
        <v>32645</v>
      </c>
      <c r="E692" t="s">
        <v>4</v>
      </c>
      <c r="F692">
        <v>5.35</v>
      </c>
      <c r="G692">
        <v>76.900000000000006</v>
      </c>
      <c r="H692">
        <v>4</v>
      </c>
      <c r="I692">
        <v>41.9</v>
      </c>
      <c r="J692" t="s">
        <v>3</v>
      </c>
      <c r="K692" t="s">
        <v>3</v>
      </c>
      <c r="L692">
        <v>3.8</v>
      </c>
      <c r="M692">
        <v>3.47</v>
      </c>
      <c r="N692">
        <v>3.6</v>
      </c>
      <c r="O692">
        <v>3.62</v>
      </c>
      <c r="P692" t="s">
        <v>10</v>
      </c>
      <c r="Q692" t="s">
        <v>13</v>
      </c>
      <c r="R692" t="s">
        <v>15</v>
      </c>
      <c r="S692">
        <v>0</v>
      </c>
    </row>
    <row r="693" spans="1:19" x14ac:dyDescent="0.3">
      <c r="A693">
        <v>692</v>
      </c>
      <c r="B693">
        <v>23.6</v>
      </c>
      <c r="C693" t="s">
        <v>5</v>
      </c>
      <c r="D693">
        <v>28000</v>
      </c>
      <c r="E693" t="s">
        <v>3</v>
      </c>
      <c r="F693">
        <v>4.8499999999999996</v>
      </c>
      <c r="G693">
        <v>78.900000000000006</v>
      </c>
      <c r="H693">
        <v>2</v>
      </c>
      <c r="I693">
        <v>26.4</v>
      </c>
      <c r="J693" t="s">
        <v>4</v>
      </c>
      <c r="K693" t="s">
        <v>4</v>
      </c>
      <c r="L693">
        <v>6.7</v>
      </c>
      <c r="M693">
        <v>1.52</v>
      </c>
      <c r="N693">
        <v>2.3199999999999998</v>
      </c>
      <c r="O693">
        <v>2.34</v>
      </c>
      <c r="P693" t="s">
        <v>10</v>
      </c>
      <c r="Q693" t="s">
        <v>8</v>
      </c>
      <c r="R693" t="s">
        <v>9</v>
      </c>
      <c r="S693">
        <v>1</v>
      </c>
    </row>
    <row r="694" spans="1:19" x14ac:dyDescent="0.3">
      <c r="A694">
        <v>693</v>
      </c>
      <c r="B694">
        <v>18.600000000000001</v>
      </c>
      <c r="C694" t="s">
        <v>5</v>
      </c>
      <c r="D694">
        <v>25225</v>
      </c>
      <c r="E694" t="s">
        <v>4</v>
      </c>
      <c r="F694">
        <v>4.2699999999999996</v>
      </c>
      <c r="G694">
        <v>90.5</v>
      </c>
      <c r="H694">
        <v>4</v>
      </c>
      <c r="I694">
        <v>24.9</v>
      </c>
      <c r="J694" t="s">
        <v>4</v>
      </c>
      <c r="K694" t="s">
        <v>3</v>
      </c>
      <c r="L694">
        <v>5.5</v>
      </c>
      <c r="M694">
        <v>2.48</v>
      </c>
      <c r="N694">
        <v>2.42</v>
      </c>
      <c r="O694">
        <v>2.42</v>
      </c>
      <c r="P694" t="s">
        <v>2</v>
      </c>
      <c r="Q694" t="s">
        <v>8</v>
      </c>
      <c r="R694" t="s">
        <v>15</v>
      </c>
      <c r="S694">
        <v>0</v>
      </c>
    </row>
    <row r="695" spans="1:19" x14ac:dyDescent="0.3">
      <c r="A695">
        <v>694</v>
      </c>
      <c r="B695">
        <v>22.4</v>
      </c>
      <c r="C695" t="s">
        <v>5</v>
      </c>
      <c r="D695">
        <v>25000</v>
      </c>
      <c r="E695" t="s">
        <v>3</v>
      </c>
      <c r="F695">
        <v>6.18</v>
      </c>
      <c r="G695">
        <v>78.7</v>
      </c>
      <c r="H695">
        <v>2</v>
      </c>
      <c r="I695">
        <v>42.9</v>
      </c>
      <c r="J695" t="s">
        <v>4</v>
      </c>
      <c r="K695" t="s">
        <v>4</v>
      </c>
      <c r="L695">
        <v>8.8000000000000007</v>
      </c>
      <c r="M695">
        <v>0.63</v>
      </c>
      <c r="N695">
        <v>0.74</v>
      </c>
      <c r="O695">
        <v>0.64</v>
      </c>
      <c r="P695" t="s">
        <v>10</v>
      </c>
      <c r="Q695" t="s">
        <v>13</v>
      </c>
      <c r="R695" t="s">
        <v>9</v>
      </c>
      <c r="S695">
        <v>0</v>
      </c>
    </row>
    <row r="696" spans="1:19" x14ac:dyDescent="0.3">
      <c r="A696">
        <v>695</v>
      </c>
      <c r="B696">
        <v>22.3</v>
      </c>
      <c r="C696" t="s">
        <v>5</v>
      </c>
      <c r="D696">
        <v>37375</v>
      </c>
      <c r="E696" t="s">
        <v>4</v>
      </c>
      <c r="F696">
        <v>5.72</v>
      </c>
      <c r="G696">
        <v>90.9</v>
      </c>
      <c r="H696">
        <v>1</v>
      </c>
      <c r="I696">
        <v>38.799999999999997</v>
      </c>
      <c r="J696" t="s">
        <v>4</v>
      </c>
      <c r="K696" t="s">
        <v>3</v>
      </c>
      <c r="L696">
        <v>4.5999999999999996</v>
      </c>
      <c r="M696">
        <v>3.51</v>
      </c>
      <c r="N696">
        <v>3.64</v>
      </c>
      <c r="O696">
        <v>3.64</v>
      </c>
      <c r="P696" t="s">
        <v>2</v>
      </c>
      <c r="Q696" t="s">
        <v>1</v>
      </c>
      <c r="R696" t="s">
        <v>15</v>
      </c>
      <c r="S696">
        <v>0</v>
      </c>
    </row>
    <row r="697" spans="1:19" x14ac:dyDescent="0.3">
      <c r="A697">
        <v>696</v>
      </c>
      <c r="B697">
        <v>20.3</v>
      </c>
      <c r="C697" t="s">
        <v>5</v>
      </c>
      <c r="D697">
        <v>48577</v>
      </c>
      <c r="E697" t="s">
        <v>4</v>
      </c>
      <c r="F697">
        <v>4.08</v>
      </c>
      <c r="G697">
        <v>89.8</v>
      </c>
      <c r="H697">
        <v>3</v>
      </c>
      <c r="I697">
        <v>39.6</v>
      </c>
      <c r="J697" t="s">
        <v>4</v>
      </c>
      <c r="K697" t="s">
        <v>3</v>
      </c>
      <c r="L697">
        <v>6.6</v>
      </c>
      <c r="M697">
        <v>2.08</v>
      </c>
      <c r="N697">
        <v>2.19</v>
      </c>
      <c r="O697">
        <v>2.14</v>
      </c>
      <c r="P697" t="s">
        <v>7</v>
      </c>
      <c r="Q697" t="s">
        <v>13</v>
      </c>
      <c r="R697" t="s">
        <v>15</v>
      </c>
      <c r="S697">
        <v>0</v>
      </c>
    </row>
    <row r="698" spans="1:19" x14ac:dyDescent="0.3">
      <c r="A698">
        <v>697</v>
      </c>
      <c r="B698">
        <v>21.7</v>
      </c>
      <c r="C698" t="s">
        <v>5</v>
      </c>
      <c r="D698">
        <v>37852</v>
      </c>
      <c r="E698" t="s">
        <v>4</v>
      </c>
      <c r="F698">
        <v>5.31</v>
      </c>
      <c r="G698">
        <v>79.3</v>
      </c>
      <c r="H698">
        <v>2</v>
      </c>
      <c r="I698">
        <v>5</v>
      </c>
      <c r="J698" t="s">
        <v>3</v>
      </c>
      <c r="K698" t="s">
        <v>4</v>
      </c>
      <c r="L698">
        <v>2.9</v>
      </c>
      <c r="M698">
        <v>3.77</v>
      </c>
      <c r="N698">
        <v>3.69</v>
      </c>
      <c r="O698">
        <v>3.67</v>
      </c>
      <c r="P698" t="s">
        <v>7</v>
      </c>
      <c r="Q698" t="s">
        <v>1</v>
      </c>
      <c r="R698" t="s">
        <v>15</v>
      </c>
      <c r="S698">
        <v>0</v>
      </c>
    </row>
    <row r="699" spans="1:19" x14ac:dyDescent="0.3">
      <c r="A699">
        <v>698</v>
      </c>
      <c r="B699">
        <v>18.2</v>
      </c>
      <c r="C699" t="s">
        <v>11</v>
      </c>
      <c r="D699">
        <v>27659</v>
      </c>
      <c r="E699" t="s">
        <v>4</v>
      </c>
      <c r="F699">
        <v>4.8499999999999996</v>
      </c>
      <c r="G699">
        <v>77.900000000000006</v>
      </c>
      <c r="H699">
        <v>0</v>
      </c>
      <c r="I699">
        <v>24.6</v>
      </c>
      <c r="J699" t="s">
        <v>4</v>
      </c>
      <c r="K699" t="s">
        <v>3</v>
      </c>
      <c r="L699">
        <v>5.6</v>
      </c>
      <c r="M699">
        <v>3.76</v>
      </c>
      <c r="N699">
        <v>3.73</v>
      </c>
      <c r="O699">
        <v>3.73</v>
      </c>
      <c r="P699" t="s">
        <v>12</v>
      </c>
      <c r="Q699" t="s">
        <v>13</v>
      </c>
      <c r="R699" t="s">
        <v>15</v>
      </c>
      <c r="S699">
        <v>0</v>
      </c>
    </row>
    <row r="700" spans="1:19" x14ac:dyDescent="0.3">
      <c r="A700">
        <v>699</v>
      </c>
      <c r="B700">
        <v>23</v>
      </c>
      <c r="C700" t="s">
        <v>5</v>
      </c>
      <c r="D700">
        <v>27056</v>
      </c>
      <c r="E700" t="s">
        <v>3</v>
      </c>
      <c r="F700">
        <v>3.31</v>
      </c>
      <c r="G700">
        <v>78.2</v>
      </c>
      <c r="H700">
        <v>2</v>
      </c>
      <c r="I700">
        <v>23.1</v>
      </c>
      <c r="J700" t="s">
        <v>4</v>
      </c>
      <c r="K700" t="s">
        <v>3</v>
      </c>
      <c r="L700">
        <v>7</v>
      </c>
      <c r="M700">
        <v>0.98</v>
      </c>
      <c r="N700">
        <v>0.68</v>
      </c>
      <c r="O700">
        <v>0.62</v>
      </c>
      <c r="P700" t="s">
        <v>10</v>
      </c>
      <c r="Q700" t="s">
        <v>13</v>
      </c>
      <c r="R700" t="s">
        <v>15</v>
      </c>
      <c r="S700">
        <v>1</v>
      </c>
    </row>
    <row r="701" spans="1:19" x14ac:dyDescent="0.3">
      <c r="A701">
        <v>700</v>
      </c>
      <c r="B701">
        <v>20.6</v>
      </c>
      <c r="C701" t="s">
        <v>11</v>
      </c>
      <c r="D701">
        <v>52161</v>
      </c>
      <c r="E701" t="s">
        <v>4</v>
      </c>
      <c r="F701">
        <v>6.08</v>
      </c>
      <c r="G701">
        <v>80.8</v>
      </c>
      <c r="H701">
        <v>1</v>
      </c>
      <c r="I701">
        <v>20.100000000000001</v>
      </c>
      <c r="J701" t="s">
        <v>3</v>
      </c>
      <c r="K701" t="s">
        <v>3</v>
      </c>
      <c r="L701">
        <v>4.5999999999999996</v>
      </c>
      <c r="M701">
        <v>3.75</v>
      </c>
      <c r="N701">
        <v>3.28</v>
      </c>
      <c r="O701">
        <v>3.28</v>
      </c>
      <c r="P701" t="s">
        <v>2</v>
      </c>
      <c r="Q701" t="s">
        <v>13</v>
      </c>
      <c r="R701" t="s">
        <v>9</v>
      </c>
      <c r="S701">
        <v>0</v>
      </c>
    </row>
    <row r="702" spans="1:19" x14ac:dyDescent="0.3">
      <c r="A702">
        <v>701</v>
      </c>
      <c r="B702">
        <v>19.899999999999999</v>
      </c>
      <c r="C702" t="s">
        <v>11</v>
      </c>
      <c r="D702">
        <v>39264</v>
      </c>
      <c r="E702" t="s">
        <v>4</v>
      </c>
      <c r="F702">
        <v>6.19</v>
      </c>
      <c r="G702">
        <v>77.5</v>
      </c>
      <c r="H702">
        <v>1</v>
      </c>
      <c r="I702">
        <v>42.6</v>
      </c>
      <c r="J702" t="s">
        <v>3</v>
      </c>
      <c r="K702" t="s">
        <v>4</v>
      </c>
      <c r="L702">
        <v>7.5</v>
      </c>
      <c r="M702">
        <v>3.01</v>
      </c>
      <c r="N702">
        <v>3</v>
      </c>
      <c r="O702">
        <v>3.01</v>
      </c>
      <c r="P702" t="s">
        <v>10</v>
      </c>
      <c r="Q702" t="s">
        <v>14</v>
      </c>
      <c r="R702" t="s">
        <v>9</v>
      </c>
      <c r="S702">
        <v>0</v>
      </c>
    </row>
    <row r="703" spans="1:19" x14ac:dyDescent="0.3">
      <c r="A703">
        <v>702</v>
      </c>
      <c r="B703">
        <v>23.3</v>
      </c>
      <c r="C703" t="s">
        <v>5</v>
      </c>
      <c r="D703">
        <v>31058</v>
      </c>
      <c r="E703" t="s">
        <v>4</v>
      </c>
      <c r="F703">
        <v>5.56</v>
      </c>
      <c r="G703">
        <v>87.9</v>
      </c>
      <c r="H703">
        <v>1</v>
      </c>
      <c r="I703">
        <v>23.5</v>
      </c>
      <c r="J703" t="s">
        <v>3</v>
      </c>
      <c r="K703" t="s">
        <v>3</v>
      </c>
      <c r="L703">
        <v>7.2</v>
      </c>
      <c r="M703">
        <v>2.02</v>
      </c>
      <c r="N703">
        <v>1.89</v>
      </c>
      <c r="O703">
        <v>1.89</v>
      </c>
      <c r="P703" t="s">
        <v>2</v>
      </c>
      <c r="Q703" t="s">
        <v>13</v>
      </c>
      <c r="R703" t="s">
        <v>0</v>
      </c>
      <c r="S703">
        <v>0</v>
      </c>
    </row>
    <row r="704" spans="1:19" x14ac:dyDescent="0.3">
      <c r="A704">
        <v>703</v>
      </c>
      <c r="B704">
        <v>19.5</v>
      </c>
      <c r="C704" t="s">
        <v>11</v>
      </c>
      <c r="D704">
        <v>29099</v>
      </c>
      <c r="E704" t="s">
        <v>4</v>
      </c>
      <c r="F704">
        <v>4.82</v>
      </c>
      <c r="G704">
        <v>76.8</v>
      </c>
      <c r="H704">
        <v>0</v>
      </c>
      <c r="I704">
        <v>13.3</v>
      </c>
      <c r="J704" t="s">
        <v>4</v>
      </c>
      <c r="K704" t="s">
        <v>3</v>
      </c>
      <c r="L704">
        <v>5.8</v>
      </c>
      <c r="M704">
        <v>3.1</v>
      </c>
      <c r="N704">
        <v>3.14</v>
      </c>
      <c r="O704">
        <v>3.11</v>
      </c>
      <c r="P704" t="s">
        <v>10</v>
      </c>
      <c r="Q704" t="s">
        <v>1</v>
      </c>
      <c r="R704" t="s">
        <v>15</v>
      </c>
      <c r="S704">
        <v>0</v>
      </c>
    </row>
    <row r="705" spans="1:19" x14ac:dyDescent="0.3">
      <c r="A705">
        <v>704</v>
      </c>
      <c r="B705">
        <v>17.899999999999999</v>
      </c>
      <c r="C705" t="s">
        <v>5</v>
      </c>
      <c r="D705">
        <v>36577</v>
      </c>
      <c r="E705" t="s">
        <v>4</v>
      </c>
      <c r="F705">
        <v>5.23</v>
      </c>
      <c r="G705">
        <v>88.9</v>
      </c>
      <c r="H705">
        <v>2</v>
      </c>
      <c r="I705">
        <v>33</v>
      </c>
      <c r="J705" t="s">
        <v>3</v>
      </c>
      <c r="K705" t="s">
        <v>3</v>
      </c>
      <c r="L705">
        <v>5</v>
      </c>
      <c r="M705">
        <v>2.19</v>
      </c>
      <c r="N705">
        <v>2.56</v>
      </c>
      <c r="O705">
        <v>2.64</v>
      </c>
      <c r="P705" t="s">
        <v>7</v>
      </c>
      <c r="Q705" t="s">
        <v>13</v>
      </c>
      <c r="R705" t="s">
        <v>9</v>
      </c>
      <c r="S705">
        <v>1</v>
      </c>
    </row>
    <row r="706" spans="1:19" x14ac:dyDescent="0.3">
      <c r="A706">
        <v>705</v>
      </c>
      <c r="B706">
        <v>17.600000000000001</v>
      </c>
      <c r="C706" t="s">
        <v>5</v>
      </c>
      <c r="D706">
        <v>25000</v>
      </c>
      <c r="E706" t="s">
        <v>4</v>
      </c>
      <c r="F706">
        <v>3.56</v>
      </c>
      <c r="G706">
        <v>74.5</v>
      </c>
      <c r="H706">
        <v>0</v>
      </c>
      <c r="I706">
        <v>29.9</v>
      </c>
      <c r="J706" t="s">
        <v>3</v>
      </c>
      <c r="K706" t="s">
        <v>3</v>
      </c>
      <c r="L706">
        <v>1</v>
      </c>
      <c r="M706">
        <v>3.09</v>
      </c>
      <c r="N706">
        <v>2.87</v>
      </c>
      <c r="O706">
        <v>2.83</v>
      </c>
      <c r="P706" t="s">
        <v>12</v>
      </c>
      <c r="Q706" t="s">
        <v>14</v>
      </c>
      <c r="R706" t="s">
        <v>0</v>
      </c>
      <c r="S706">
        <v>0</v>
      </c>
    </row>
    <row r="707" spans="1:19" x14ac:dyDescent="0.3">
      <c r="A707">
        <v>706</v>
      </c>
      <c r="B707">
        <v>22.3</v>
      </c>
      <c r="C707" t="s">
        <v>11</v>
      </c>
      <c r="D707">
        <v>48675</v>
      </c>
      <c r="E707" t="s">
        <v>4</v>
      </c>
      <c r="F707">
        <v>5.42</v>
      </c>
      <c r="G707">
        <v>68.7</v>
      </c>
      <c r="H707">
        <v>0</v>
      </c>
      <c r="I707">
        <v>18.899999999999999</v>
      </c>
      <c r="J707" t="s">
        <v>4</v>
      </c>
      <c r="K707" t="s">
        <v>3</v>
      </c>
      <c r="L707">
        <v>4.3</v>
      </c>
      <c r="M707">
        <v>1.87</v>
      </c>
      <c r="N707">
        <v>1.7</v>
      </c>
      <c r="O707">
        <v>1.62</v>
      </c>
      <c r="P707" t="s">
        <v>12</v>
      </c>
      <c r="Q707" t="s">
        <v>8</v>
      </c>
      <c r="R707" t="s">
        <v>9</v>
      </c>
      <c r="S707">
        <v>0</v>
      </c>
    </row>
    <row r="708" spans="1:19" x14ac:dyDescent="0.3">
      <c r="A708">
        <v>707</v>
      </c>
      <c r="B708">
        <v>18.2</v>
      </c>
      <c r="C708" t="s">
        <v>5</v>
      </c>
      <c r="D708">
        <v>25000</v>
      </c>
      <c r="E708" t="s">
        <v>3</v>
      </c>
      <c r="F708">
        <v>2.3199999999999998</v>
      </c>
      <c r="G708">
        <v>67.599999999999994</v>
      </c>
      <c r="H708">
        <v>2</v>
      </c>
      <c r="I708">
        <v>42.2</v>
      </c>
      <c r="J708" t="s">
        <v>4</v>
      </c>
      <c r="K708" t="s">
        <v>4</v>
      </c>
      <c r="L708">
        <v>7.5</v>
      </c>
      <c r="M708">
        <v>0.52</v>
      </c>
      <c r="N708">
        <v>0.18</v>
      </c>
      <c r="O708">
        <v>0.13</v>
      </c>
      <c r="P708" t="s">
        <v>12</v>
      </c>
      <c r="Q708" t="s">
        <v>13</v>
      </c>
      <c r="R708" t="s">
        <v>9</v>
      </c>
      <c r="S708">
        <v>1</v>
      </c>
    </row>
    <row r="709" spans="1:19" x14ac:dyDescent="0.3">
      <c r="A709">
        <v>708</v>
      </c>
      <c r="B709">
        <v>24.9</v>
      </c>
      <c r="C709" t="s">
        <v>11</v>
      </c>
      <c r="D709">
        <v>25000</v>
      </c>
      <c r="E709" t="s">
        <v>4</v>
      </c>
      <c r="F709">
        <v>3.58</v>
      </c>
      <c r="G709">
        <v>77.7</v>
      </c>
      <c r="H709">
        <v>1</v>
      </c>
      <c r="I709">
        <v>36.4</v>
      </c>
      <c r="J709" t="s">
        <v>4</v>
      </c>
      <c r="K709" t="s">
        <v>3</v>
      </c>
      <c r="L709">
        <v>5</v>
      </c>
      <c r="M709">
        <v>2.8</v>
      </c>
      <c r="N709">
        <v>2.85</v>
      </c>
      <c r="O709">
        <v>2.95</v>
      </c>
      <c r="P709" t="s">
        <v>7</v>
      </c>
      <c r="Q709" t="s">
        <v>6</v>
      </c>
      <c r="R709" t="s">
        <v>17</v>
      </c>
      <c r="S709">
        <v>0</v>
      </c>
    </row>
    <row r="710" spans="1:19" x14ac:dyDescent="0.3">
      <c r="A710">
        <v>709</v>
      </c>
      <c r="B710">
        <v>17</v>
      </c>
      <c r="C710" t="s">
        <v>11</v>
      </c>
      <c r="D710">
        <v>42902</v>
      </c>
      <c r="E710" t="s">
        <v>4</v>
      </c>
      <c r="F710">
        <v>0.74</v>
      </c>
      <c r="G710">
        <v>75.5</v>
      </c>
      <c r="H710">
        <v>0</v>
      </c>
      <c r="I710">
        <v>36.299999999999997</v>
      </c>
      <c r="J710" t="s">
        <v>3</v>
      </c>
      <c r="K710" t="s">
        <v>4</v>
      </c>
      <c r="L710">
        <v>6.3</v>
      </c>
      <c r="M710">
        <v>1.76</v>
      </c>
      <c r="N710">
        <v>1.63</v>
      </c>
      <c r="O710">
        <v>1.63</v>
      </c>
      <c r="P710" t="s">
        <v>2</v>
      </c>
      <c r="Q710" t="s">
        <v>14</v>
      </c>
      <c r="R710" t="s">
        <v>0</v>
      </c>
      <c r="S710">
        <v>1</v>
      </c>
    </row>
    <row r="711" spans="1:19" x14ac:dyDescent="0.3">
      <c r="A711">
        <v>710</v>
      </c>
      <c r="B711">
        <v>24.7</v>
      </c>
      <c r="C711" t="s">
        <v>11</v>
      </c>
      <c r="D711">
        <v>25000</v>
      </c>
      <c r="E711" t="s">
        <v>4</v>
      </c>
      <c r="F711">
        <v>4.5199999999999996</v>
      </c>
      <c r="G711">
        <v>75.2</v>
      </c>
      <c r="H711">
        <v>0</v>
      </c>
      <c r="I711">
        <v>35.799999999999997</v>
      </c>
      <c r="J711" t="s">
        <v>3</v>
      </c>
      <c r="K711" t="s">
        <v>3</v>
      </c>
      <c r="L711">
        <v>4.7</v>
      </c>
      <c r="M711">
        <v>3.16</v>
      </c>
      <c r="N711">
        <v>2.8</v>
      </c>
      <c r="O711">
        <v>2.84</v>
      </c>
      <c r="P711" t="s">
        <v>12</v>
      </c>
      <c r="Q711" t="s">
        <v>14</v>
      </c>
      <c r="R711" t="s">
        <v>9</v>
      </c>
      <c r="S711">
        <v>0</v>
      </c>
    </row>
    <row r="712" spans="1:19" x14ac:dyDescent="0.3">
      <c r="A712">
        <v>711</v>
      </c>
      <c r="B712">
        <v>21.5</v>
      </c>
      <c r="C712" t="s">
        <v>11</v>
      </c>
      <c r="D712">
        <v>25000</v>
      </c>
      <c r="E712" t="s">
        <v>4</v>
      </c>
      <c r="F712">
        <v>5.34</v>
      </c>
      <c r="G712">
        <v>89.9</v>
      </c>
      <c r="H712">
        <v>0</v>
      </c>
      <c r="I712">
        <v>43.1</v>
      </c>
      <c r="J712" t="s">
        <v>4</v>
      </c>
      <c r="K712" t="s">
        <v>3</v>
      </c>
      <c r="L712">
        <v>2.9</v>
      </c>
      <c r="M712">
        <v>4</v>
      </c>
      <c r="N712">
        <v>3.65</v>
      </c>
      <c r="O712">
        <v>3.65</v>
      </c>
      <c r="P712" t="s">
        <v>2</v>
      </c>
      <c r="Q712" t="s">
        <v>6</v>
      </c>
      <c r="R712" t="s">
        <v>15</v>
      </c>
      <c r="S712">
        <v>0</v>
      </c>
    </row>
    <row r="713" spans="1:19" x14ac:dyDescent="0.3">
      <c r="A713">
        <v>712</v>
      </c>
      <c r="B713">
        <v>20.8</v>
      </c>
      <c r="C713" t="s">
        <v>11</v>
      </c>
      <c r="D713">
        <v>30879</v>
      </c>
      <c r="E713" t="s">
        <v>4</v>
      </c>
      <c r="F713">
        <v>6.14</v>
      </c>
      <c r="G713">
        <v>76.099999999999994</v>
      </c>
      <c r="H713">
        <v>1</v>
      </c>
      <c r="I713">
        <v>28.1</v>
      </c>
      <c r="J713" t="s">
        <v>4</v>
      </c>
      <c r="K713" t="s">
        <v>3</v>
      </c>
      <c r="L713">
        <v>6.8</v>
      </c>
      <c r="M713">
        <v>2.58</v>
      </c>
      <c r="N713">
        <v>2.66</v>
      </c>
      <c r="O713">
        <v>2.61</v>
      </c>
      <c r="P713" t="s">
        <v>12</v>
      </c>
      <c r="Q713" t="s">
        <v>1</v>
      </c>
      <c r="R713" t="s">
        <v>9</v>
      </c>
      <c r="S713">
        <v>0</v>
      </c>
    </row>
    <row r="714" spans="1:19" x14ac:dyDescent="0.3">
      <c r="A714">
        <v>713</v>
      </c>
      <c r="B714">
        <v>19.8</v>
      </c>
      <c r="C714" t="s">
        <v>5</v>
      </c>
      <c r="D714">
        <v>25000</v>
      </c>
      <c r="E714" t="s">
        <v>4</v>
      </c>
      <c r="F714">
        <v>3.72</v>
      </c>
      <c r="G714">
        <v>66.3</v>
      </c>
      <c r="H714">
        <v>4</v>
      </c>
      <c r="I714">
        <v>15.1</v>
      </c>
      <c r="J714" t="s">
        <v>3</v>
      </c>
      <c r="K714" t="s">
        <v>3</v>
      </c>
      <c r="L714">
        <v>3.3</v>
      </c>
      <c r="M714">
        <v>2.63</v>
      </c>
      <c r="N714">
        <v>2.78</v>
      </c>
      <c r="O714">
        <v>2.83</v>
      </c>
      <c r="P714" t="s">
        <v>12</v>
      </c>
      <c r="Q714" t="s">
        <v>1</v>
      </c>
      <c r="R714" t="s">
        <v>0</v>
      </c>
      <c r="S714">
        <v>0</v>
      </c>
    </row>
    <row r="715" spans="1:19" x14ac:dyDescent="0.3">
      <c r="A715">
        <v>714</v>
      </c>
      <c r="B715">
        <v>21.9</v>
      </c>
      <c r="C715" t="s">
        <v>5</v>
      </c>
      <c r="E715" t="s">
        <v>4</v>
      </c>
      <c r="G715">
        <v>86.5</v>
      </c>
      <c r="H715">
        <v>1</v>
      </c>
      <c r="I715">
        <v>27.5</v>
      </c>
      <c r="J715" t="s">
        <v>3</v>
      </c>
      <c r="K715" t="s">
        <v>3</v>
      </c>
      <c r="M715">
        <v>3.73</v>
      </c>
      <c r="N715">
        <v>3.43</v>
      </c>
      <c r="O715">
        <v>3.43</v>
      </c>
      <c r="P715" t="s">
        <v>2</v>
      </c>
      <c r="Q715" t="s">
        <v>14</v>
      </c>
      <c r="R715" t="s">
        <v>9</v>
      </c>
      <c r="S715">
        <v>0</v>
      </c>
    </row>
    <row r="716" spans="1:19" x14ac:dyDescent="0.3">
      <c r="A716">
        <v>715</v>
      </c>
      <c r="B716">
        <v>20.9</v>
      </c>
      <c r="C716" t="s">
        <v>11</v>
      </c>
      <c r="D716">
        <v>46815</v>
      </c>
      <c r="E716" t="s">
        <v>4</v>
      </c>
      <c r="F716">
        <v>3.98</v>
      </c>
      <c r="G716">
        <v>92.7</v>
      </c>
      <c r="H716">
        <v>1</v>
      </c>
      <c r="I716">
        <v>10.1</v>
      </c>
      <c r="J716" t="s">
        <v>4</v>
      </c>
      <c r="K716" t="s">
        <v>3</v>
      </c>
      <c r="L716">
        <v>6.2</v>
      </c>
      <c r="M716">
        <v>1.5</v>
      </c>
      <c r="N716">
        <v>1.82</v>
      </c>
      <c r="O716">
        <v>1.86</v>
      </c>
      <c r="P716" t="s">
        <v>7</v>
      </c>
      <c r="Q716" t="s">
        <v>6</v>
      </c>
      <c r="R716" t="s">
        <v>9</v>
      </c>
      <c r="S716">
        <v>0</v>
      </c>
    </row>
    <row r="717" spans="1:19" x14ac:dyDescent="0.3">
      <c r="A717">
        <v>716</v>
      </c>
      <c r="B717">
        <v>23.4</v>
      </c>
      <c r="C717" t="s">
        <v>5</v>
      </c>
      <c r="D717">
        <v>26295</v>
      </c>
      <c r="E717" t="s">
        <v>4</v>
      </c>
      <c r="F717">
        <v>6.35</v>
      </c>
      <c r="G717">
        <v>85.6</v>
      </c>
      <c r="H717">
        <v>2</v>
      </c>
      <c r="I717">
        <v>17.3</v>
      </c>
      <c r="J717" t="s">
        <v>3</v>
      </c>
      <c r="K717" t="s">
        <v>3</v>
      </c>
      <c r="L717">
        <v>4.3</v>
      </c>
      <c r="M717">
        <v>3.98</v>
      </c>
      <c r="N717">
        <v>3.63</v>
      </c>
      <c r="O717">
        <v>3.76</v>
      </c>
      <c r="P717" t="s">
        <v>12</v>
      </c>
      <c r="Q717" t="s">
        <v>6</v>
      </c>
      <c r="R717" t="s">
        <v>9</v>
      </c>
      <c r="S717">
        <v>0</v>
      </c>
    </row>
    <row r="718" spans="1:19" x14ac:dyDescent="0.3">
      <c r="A718">
        <v>717</v>
      </c>
      <c r="B718">
        <v>21.3</v>
      </c>
      <c r="C718" t="s">
        <v>5</v>
      </c>
      <c r="D718">
        <v>64299</v>
      </c>
      <c r="E718" t="s">
        <v>4</v>
      </c>
      <c r="F718">
        <v>4.43</v>
      </c>
      <c r="G718">
        <v>76.599999999999994</v>
      </c>
      <c r="H718">
        <v>1</v>
      </c>
      <c r="I718">
        <v>49.4</v>
      </c>
      <c r="J718" t="s">
        <v>4</v>
      </c>
      <c r="K718" t="s">
        <v>4</v>
      </c>
      <c r="L718">
        <v>8.3000000000000007</v>
      </c>
      <c r="M718">
        <v>1.4</v>
      </c>
      <c r="N718">
        <v>1.47</v>
      </c>
      <c r="O718">
        <v>1.47</v>
      </c>
      <c r="P718" t="s">
        <v>2</v>
      </c>
      <c r="Q718" t="s">
        <v>8</v>
      </c>
      <c r="R718" t="s">
        <v>0</v>
      </c>
      <c r="S718">
        <v>1</v>
      </c>
    </row>
    <row r="719" spans="1:19" x14ac:dyDescent="0.3">
      <c r="A719">
        <v>718</v>
      </c>
      <c r="B719">
        <v>21.3</v>
      </c>
      <c r="C719" t="s">
        <v>5</v>
      </c>
      <c r="D719">
        <v>25000</v>
      </c>
      <c r="E719" t="s">
        <v>4</v>
      </c>
      <c r="F719">
        <v>6.41</v>
      </c>
      <c r="G719">
        <v>83.4</v>
      </c>
      <c r="H719">
        <v>3</v>
      </c>
      <c r="I719">
        <v>16.8</v>
      </c>
      <c r="J719" t="s">
        <v>3</v>
      </c>
      <c r="K719" t="s">
        <v>3</v>
      </c>
      <c r="L719">
        <v>9.1</v>
      </c>
      <c r="M719">
        <v>0</v>
      </c>
      <c r="N719">
        <v>0.55000000000000004</v>
      </c>
      <c r="O719">
        <v>0.52</v>
      </c>
      <c r="P719" t="s">
        <v>7</v>
      </c>
      <c r="Q719" t="s">
        <v>8</v>
      </c>
      <c r="R719" t="s">
        <v>9</v>
      </c>
      <c r="S719">
        <v>1</v>
      </c>
    </row>
    <row r="720" spans="1:19" x14ac:dyDescent="0.3">
      <c r="A720">
        <v>719</v>
      </c>
      <c r="B720">
        <v>20.2</v>
      </c>
      <c r="C720" t="s">
        <v>11</v>
      </c>
      <c r="D720">
        <v>28103</v>
      </c>
      <c r="E720" t="s">
        <v>4</v>
      </c>
      <c r="F720">
        <v>5.62</v>
      </c>
      <c r="G720">
        <v>75.599999999999994</v>
      </c>
      <c r="H720">
        <v>2</v>
      </c>
      <c r="I720">
        <v>15.9</v>
      </c>
      <c r="J720" t="s">
        <v>3</v>
      </c>
      <c r="K720" t="s">
        <v>4</v>
      </c>
      <c r="L720">
        <v>4</v>
      </c>
      <c r="M720">
        <v>3.95</v>
      </c>
      <c r="N720">
        <v>4</v>
      </c>
      <c r="O720">
        <v>4</v>
      </c>
      <c r="P720" t="s">
        <v>2</v>
      </c>
      <c r="Q720" t="s">
        <v>1</v>
      </c>
      <c r="R720" t="s">
        <v>16</v>
      </c>
      <c r="S720">
        <v>0</v>
      </c>
    </row>
    <row r="721" spans="1:19" x14ac:dyDescent="0.3">
      <c r="A721">
        <v>720</v>
      </c>
      <c r="B721">
        <v>20.9</v>
      </c>
      <c r="C721" t="s">
        <v>5</v>
      </c>
      <c r="D721">
        <v>37788</v>
      </c>
      <c r="E721" t="s">
        <v>4</v>
      </c>
      <c r="F721">
        <v>4.9800000000000004</v>
      </c>
      <c r="G721">
        <v>74.2</v>
      </c>
      <c r="H721">
        <v>1</v>
      </c>
      <c r="I721">
        <v>38</v>
      </c>
      <c r="J721" t="s">
        <v>3</v>
      </c>
      <c r="K721" t="s">
        <v>3</v>
      </c>
      <c r="L721">
        <v>4.0999999999999996</v>
      </c>
      <c r="M721">
        <v>4</v>
      </c>
      <c r="N721">
        <v>3.9</v>
      </c>
      <c r="O721">
        <v>3.87</v>
      </c>
      <c r="P721" t="s">
        <v>7</v>
      </c>
      <c r="Q721" t="s">
        <v>8</v>
      </c>
      <c r="R721" t="s">
        <v>9</v>
      </c>
      <c r="S721">
        <v>0</v>
      </c>
    </row>
    <row r="722" spans="1:19" x14ac:dyDescent="0.3">
      <c r="A722">
        <v>721</v>
      </c>
      <c r="B722">
        <v>21.7</v>
      </c>
      <c r="C722" t="s">
        <v>11</v>
      </c>
      <c r="D722">
        <v>25000</v>
      </c>
      <c r="E722" t="s">
        <v>4</v>
      </c>
      <c r="F722">
        <v>3.28</v>
      </c>
      <c r="G722">
        <v>80.400000000000006</v>
      </c>
      <c r="H722">
        <v>1</v>
      </c>
      <c r="I722">
        <v>40.4</v>
      </c>
      <c r="J722" t="s">
        <v>3</v>
      </c>
      <c r="K722" t="s">
        <v>4</v>
      </c>
      <c r="L722">
        <v>4.7</v>
      </c>
      <c r="M722">
        <v>4</v>
      </c>
      <c r="N722">
        <v>4</v>
      </c>
      <c r="O722">
        <v>4</v>
      </c>
      <c r="P722" t="s">
        <v>12</v>
      </c>
      <c r="Q722" t="s">
        <v>14</v>
      </c>
      <c r="R722" t="s">
        <v>0</v>
      </c>
      <c r="S722">
        <v>0</v>
      </c>
    </row>
    <row r="723" spans="1:19" x14ac:dyDescent="0.3">
      <c r="A723">
        <v>722</v>
      </c>
      <c r="B723">
        <v>17.2</v>
      </c>
      <c r="C723" t="s">
        <v>5</v>
      </c>
      <c r="D723">
        <v>55219</v>
      </c>
      <c r="E723" t="s">
        <v>4</v>
      </c>
      <c r="F723">
        <v>2.59</v>
      </c>
      <c r="G723">
        <v>81.5</v>
      </c>
      <c r="H723">
        <v>0</v>
      </c>
      <c r="I723">
        <v>10</v>
      </c>
      <c r="J723" t="s">
        <v>4</v>
      </c>
      <c r="K723" t="s">
        <v>4</v>
      </c>
      <c r="L723">
        <v>7.6</v>
      </c>
      <c r="M723">
        <v>1.86</v>
      </c>
      <c r="N723">
        <v>1.66</v>
      </c>
      <c r="O723">
        <v>1.63</v>
      </c>
      <c r="P723" t="s">
        <v>10</v>
      </c>
      <c r="Q723" t="s">
        <v>14</v>
      </c>
      <c r="R723" t="s">
        <v>15</v>
      </c>
      <c r="S723">
        <v>0</v>
      </c>
    </row>
    <row r="724" spans="1:19" x14ac:dyDescent="0.3">
      <c r="A724">
        <v>723</v>
      </c>
      <c r="B724">
        <v>18</v>
      </c>
      <c r="C724" t="s">
        <v>5</v>
      </c>
      <c r="D724">
        <v>40393</v>
      </c>
      <c r="E724" t="s">
        <v>3</v>
      </c>
      <c r="F724">
        <v>4.12</v>
      </c>
      <c r="G724">
        <v>80.400000000000006</v>
      </c>
      <c r="H724">
        <v>3</v>
      </c>
      <c r="I724">
        <v>33</v>
      </c>
      <c r="J724" t="s">
        <v>3</v>
      </c>
      <c r="K724" t="s">
        <v>3</v>
      </c>
      <c r="L724">
        <v>6.4</v>
      </c>
      <c r="M724">
        <v>3.12</v>
      </c>
      <c r="N724">
        <v>3.31</v>
      </c>
      <c r="O724">
        <v>3.29</v>
      </c>
      <c r="P724" t="s">
        <v>7</v>
      </c>
      <c r="Q724" t="s">
        <v>13</v>
      </c>
      <c r="R724" t="s">
        <v>9</v>
      </c>
      <c r="S724">
        <v>0</v>
      </c>
    </row>
    <row r="725" spans="1:19" x14ac:dyDescent="0.3">
      <c r="A725">
        <v>724</v>
      </c>
      <c r="B725">
        <v>22.6</v>
      </c>
      <c r="C725" t="s">
        <v>5</v>
      </c>
      <c r="D725">
        <v>25000</v>
      </c>
      <c r="E725" t="s">
        <v>4</v>
      </c>
      <c r="F725">
        <v>4.13</v>
      </c>
      <c r="G725">
        <v>95.4</v>
      </c>
      <c r="H725">
        <v>4</v>
      </c>
      <c r="I725">
        <v>23.4</v>
      </c>
      <c r="J725" t="s">
        <v>3</v>
      </c>
      <c r="K725" t="s">
        <v>4</v>
      </c>
      <c r="L725">
        <v>6.9</v>
      </c>
      <c r="M725">
        <v>4</v>
      </c>
      <c r="N725">
        <v>3.79</v>
      </c>
      <c r="O725">
        <v>3.67</v>
      </c>
      <c r="P725" t="s">
        <v>12</v>
      </c>
      <c r="Q725" t="s">
        <v>14</v>
      </c>
      <c r="R725" t="s">
        <v>9</v>
      </c>
      <c r="S725">
        <v>0</v>
      </c>
    </row>
    <row r="726" spans="1:19" x14ac:dyDescent="0.3">
      <c r="A726">
        <v>725</v>
      </c>
      <c r="B726">
        <v>21.4</v>
      </c>
      <c r="C726" t="s">
        <v>5</v>
      </c>
      <c r="D726">
        <v>29067</v>
      </c>
      <c r="E726" t="s">
        <v>4</v>
      </c>
      <c r="F726">
        <v>2.4900000000000002</v>
      </c>
      <c r="G726">
        <v>82.3</v>
      </c>
      <c r="H726">
        <v>2</v>
      </c>
      <c r="I726">
        <v>34</v>
      </c>
      <c r="J726" t="s">
        <v>3</v>
      </c>
      <c r="K726" t="s">
        <v>3</v>
      </c>
      <c r="L726">
        <v>7.9</v>
      </c>
      <c r="M726">
        <v>0</v>
      </c>
      <c r="N726">
        <v>0</v>
      </c>
      <c r="O726">
        <v>0.06</v>
      </c>
      <c r="P726" t="s">
        <v>12</v>
      </c>
      <c r="Q726" t="s">
        <v>8</v>
      </c>
      <c r="R726" t="s">
        <v>15</v>
      </c>
      <c r="S726">
        <v>1</v>
      </c>
    </row>
    <row r="727" spans="1:19" x14ac:dyDescent="0.3">
      <c r="A727">
        <v>726</v>
      </c>
      <c r="B727">
        <v>20.6</v>
      </c>
      <c r="C727" t="s">
        <v>11</v>
      </c>
      <c r="D727">
        <v>37480</v>
      </c>
      <c r="E727" t="s">
        <v>4</v>
      </c>
      <c r="F727">
        <v>5.41</v>
      </c>
      <c r="G727">
        <v>89.7</v>
      </c>
      <c r="H727">
        <v>0</v>
      </c>
      <c r="I727">
        <v>26.4</v>
      </c>
      <c r="J727" t="s">
        <v>4</v>
      </c>
      <c r="K727" t="s">
        <v>4</v>
      </c>
      <c r="L727">
        <v>3.9</v>
      </c>
      <c r="M727">
        <v>3.62</v>
      </c>
      <c r="N727">
        <v>3.39</v>
      </c>
      <c r="O727">
        <v>3.39</v>
      </c>
      <c r="P727" t="s">
        <v>2</v>
      </c>
      <c r="Q727" t="s">
        <v>6</v>
      </c>
      <c r="R727" t="s">
        <v>15</v>
      </c>
      <c r="S727">
        <v>0</v>
      </c>
    </row>
    <row r="728" spans="1:19" x14ac:dyDescent="0.3">
      <c r="A728">
        <v>727</v>
      </c>
      <c r="B728">
        <v>21</v>
      </c>
      <c r="C728" t="s">
        <v>5</v>
      </c>
      <c r="D728">
        <v>25000</v>
      </c>
      <c r="E728" t="s">
        <v>4</v>
      </c>
      <c r="F728">
        <v>4.24</v>
      </c>
      <c r="G728">
        <v>99.9</v>
      </c>
      <c r="H728">
        <v>1</v>
      </c>
      <c r="I728">
        <v>13.6</v>
      </c>
      <c r="J728" t="s">
        <v>3</v>
      </c>
      <c r="K728" t="s">
        <v>4</v>
      </c>
      <c r="L728">
        <v>6.4</v>
      </c>
      <c r="M728">
        <v>2.69</v>
      </c>
      <c r="N728">
        <v>2.88</v>
      </c>
      <c r="O728">
        <v>2.88</v>
      </c>
      <c r="P728" t="s">
        <v>2</v>
      </c>
      <c r="Q728" t="s">
        <v>8</v>
      </c>
      <c r="R728" t="s">
        <v>0</v>
      </c>
      <c r="S728">
        <v>0</v>
      </c>
    </row>
    <row r="729" spans="1:19" x14ac:dyDescent="0.3">
      <c r="A729">
        <v>728</v>
      </c>
      <c r="B729">
        <v>21.8</v>
      </c>
      <c r="C729" t="s">
        <v>5</v>
      </c>
      <c r="D729">
        <v>25000</v>
      </c>
      <c r="E729" t="s">
        <v>4</v>
      </c>
      <c r="F729">
        <v>4.76</v>
      </c>
      <c r="G729">
        <v>78.2</v>
      </c>
      <c r="H729">
        <v>0</v>
      </c>
      <c r="I729">
        <v>24.2</v>
      </c>
      <c r="J729" t="s">
        <v>4</v>
      </c>
      <c r="K729" t="s">
        <v>3</v>
      </c>
      <c r="L729">
        <v>5.6</v>
      </c>
      <c r="M729">
        <v>3.05</v>
      </c>
      <c r="N729">
        <v>3.06</v>
      </c>
      <c r="O729">
        <v>3.03</v>
      </c>
      <c r="P729" t="s">
        <v>10</v>
      </c>
      <c r="Q729" t="s">
        <v>14</v>
      </c>
      <c r="R729" t="s">
        <v>17</v>
      </c>
      <c r="S729">
        <v>0</v>
      </c>
    </row>
    <row r="730" spans="1:19" x14ac:dyDescent="0.3">
      <c r="A730">
        <v>729</v>
      </c>
      <c r="B730">
        <v>19.8</v>
      </c>
      <c r="C730" t="s">
        <v>11</v>
      </c>
      <c r="D730">
        <v>35139</v>
      </c>
      <c r="E730" t="s">
        <v>4</v>
      </c>
      <c r="F730">
        <v>6.21</v>
      </c>
      <c r="G730">
        <v>83.2</v>
      </c>
      <c r="H730">
        <v>3</v>
      </c>
      <c r="I730">
        <v>37.5</v>
      </c>
      <c r="J730" t="s">
        <v>4</v>
      </c>
      <c r="K730" t="s">
        <v>3</v>
      </c>
      <c r="L730">
        <v>6.3</v>
      </c>
      <c r="M730">
        <v>3.53</v>
      </c>
      <c r="N730">
        <v>3.55</v>
      </c>
      <c r="O730">
        <v>3.55</v>
      </c>
      <c r="P730" t="s">
        <v>2</v>
      </c>
      <c r="Q730" t="s">
        <v>1</v>
      </c>
      <c r="R730" t="s">
        <v>15</v>
      </c>
      <c r="S730">
        <v>0</v>
      </c>
    </row>
    <row r="731" spans="1:19" x14ac:dyDescent="0.3">
      <c r="A731">
        <v>730</v>
      </c>
      <c r="B731">
        <v>19.3</v>
      </c>
      <c r="C731" t="s">
        <v>5</v>
      </c>
      <c r="D731">
        <v>112055</v>
      </c>
      <c r="E731" t="s">
        <v>4</v>
      </c>
      <c r="F731">
        <v>2.99</v>
      </c>
      <c r="G731">
        <v>88.5</v>
      </c>
      <c r="H731">
        <v>2</v>
      </c>
      <c r="I731">
        <v>53.3</v>
      </c>
      <c r="J731" t="s">
        <v>4</v>
      </c>
      <c r="K731" t="s">
        <v>3</v>
      </c>
      <c r="L731">
        <v>7.6</v>
      </c>
      <c r="M731">
        <v>0.81</v>
      </c>
      <c r="N731">
        <v>0.72</v>
      </c>
      <c r="O731">
        <v>0.72</v>
      </c>
      <c r="P731" t="s">
        <v>2</v>
      </c>
      <c r="Q731" t="s">
        <v>13</v>
      </c>
      <c r="R731" t="s">
        <v>0</v>
      </c>
      <c r="S731">
        <v>1</v>
      </c>
    </row>
    <row r="732" spans="1:19" x14ac:dyDescent="0.3">
      <c r="A732">
        <v>731</v>
      </c>
      <c r="B732">
        <v>21.4</v>
      </c>
      <c r="C732" t="s">
        <v>5</v>
      </c>
      <c r="D732">
        <v>25000</v>
      </c>
      <c r="E732" t="s">
        <v>4</v>
      </c>
      <c r="F732">
        <v>1.29</v>
      </c>
      <c r="G732">
        <v>83</v>
      </c>
      <c r="H732">
        <v>6</v>
      </c>
      <c r="I732">
        <v>34.700000000000003</v>
      </c>
      <c r="J732" t="s">
        <v>4</v>
      </c>
      <c r="K732" t="s">
        <v>4</v>
      </c>
      <c r="L732">
        <v>5.2</v>
      </c>
      <c r="M732">
        <v>2.99</v>
      </c>
      <c r="N732">
        <v>2.9</v>
      </c>
      <c r="O732">
        <v>2.91</v>
      </c>
      <c r="P732" t="s">
        <v>7</v>
      </c>
      <c r="Q732" t="s">
        <v>13</v>
      </c>
      <c r="R732" t="s">
        <v>17</v>
      </c>
      <c r="S732">
        <v>0</v>
      </c>
    </row>
    <row r="733" spans="1:19" x14ac:dyDescent="0.3">
      <c r="A733">
        <v>732</v>
      </c>
      <c r="B733">
        <v>18.8</v>
      </c>
      <c r="C733" t="s">
        <v>5</v>
      </c>
      <c r="D733">
        <v>76233</v>
      </c>
      <c r="E733" t="s">
        <v>4</v>
      </c>
      <c r="F733">
        <v>3.24</v>
      </c>
      <c r="G733">
        <v>79.8</v>
      </c>
      <c r="H733">
        <v>0</v>
      </c>
      <c r="I733">
        <v>25.3</v>
      </c>
      <c r="J733" t="s">
        <v>3</v>
      </c>
      <c r="K733" t="s">
        <v>3</v>
      </c>
      <c r="L733">
        <v>4.2</v>
      </c>
      <c r="M733">
        <v>3.57</v>
      </c>
      <c r="N733">
        <v>3.76</v>
      </c>
      <c r="O733">
        <v>3.77</v>
      </c>
      <c r="P733" t="s">
        <v>12</v>
      </c>
      <c r="Q733" t="s">
        <v>14</v>
      </c>
      <c r="R733" t="s">
        <v>9</v>
      </c>
      <c r="S733">
        <v>0</v>
      </c>
    </row>
    <row r="734" spans="1:19" x14ac:dyDescent="0.3">
      <c r="A734">
        <v>733</v>
      </c>
      <c r="B734">
        <v>21.9</v>
      </c>
      <c r="C734" t="s">
        <v>11</v>
      </c>
      <c r="D734">
        <v>25000</v>
      </c>
      <c r="E734" t="s">
        <v>4</v>
      </c>
      <c r="F734">
        <v>6.25</v>
      </c>
      <c r="G734">
        <v>100</v>
      </c>
      <c r="H734">
        <v>2</v>
      </c>
      <c r="I734">
        <v>15.8</v>
      </c>
      <c r="J734" t="s">
        <v>4</v>
      </c>
      <c r="K734" t="s">
        <v>3</v>
      </c>
      <c r="L734">
        <v>3.6</v>
      </c>
      <c r="M734">
        <v>3.37</v>
      </c>
      <c r="N734">
        <v>3.84</v>
      </c>
      <c r="O734">
        <v>3.84</v>
      </c>
      <c r="P734" t="s">
        <v>2</v>
      </c>
      <c r="Q734" t="s">
        <v>8</v>
      </c>
      <c r="R734" t="s">
        <v>9</v>
      </c>
      <c r="S734">
        <v>0</v>
      </c>
    </row>
    <row r="735" spans="1:19" x14ac:dyDescent="0.3">
      <c r="A735">
        <v>734</v>
      </c>
      <c r="B735">
        <v>17.3</v>
      </c>
      <c r="C735" t="s">
        <v>11</v>
      </c>
      <c r="E735" t="s">
        <v>4</v>
      </c>
      <c r="G735">
        <v>91.6</v>
      </c>
      <c r="H735">
        <v>2</v>
      </c>
      <c r="I735">
        <v>28.1</v>
      </c>
      <c r="J735" t="s">
        <v>4</v>
      </c>
      <c r="K735" t="s">
        <v>3</v>
      </c>
      <c r="M735">
        <v>0</v>
      </c>
      <c r="N735">
        <v>0.37</v>
      </c>
      <c r="O735">
        <v>0.28999999999999998</v>
      </c>
      <c r="P735" t="s">
        <v>7</v>
      </c>
      <c r="Q735" t="s">
        <v>1</v>
      </c>
      <c r="R735" t="s">
        <v>15</v>
      </c>
      <c r="S735">
        <v>1</v>
      </c>
    </row>
    <row r="736" spans="1:19" x14ac:dyDescent="0.3">
      <c r="A736">
        <v>735</v>
      </c>
      <c r="B736">
        <v>23.3</v>
      </c>
      <c r="C736" t="s">
        <v>5</v>
      </c>
      <c r="D736">
        <v>47236</v>
      </c>
      <c r="E736" t="s">
        <v>4</v>
      </c>
      <c r="F736">
        <v>3.75</v>
      </c>
      <c r="G736">
        <v>65.2</v>
      </c>
      <c r="H736">
        <v>4</v>
      </c>
      <c r="I736">
        <v>25.5</v>
      </c>
      <c r="J736" t="s">
        <v>3</v>
      </c>
      <c r="K736" t="s">
        <v>3</v>
      </c>
      <c r="L736">
        <v>5.4</v>
      </c>
      <c r="M736">
        <v>3.82</v>
      </c>
      <c r="N736">
        <v>3.73</v>
      </c>
      <c r="O736">
        <v>3.73</v>
      </c>
      <c r="P736" t="s">
        <v>2</v>
      </c>
      <c r="Q736" t="s">
        <v>8</v>
      </c>
      <c r="R736" t="s">
        <v>9</v>
      </c>
      <c r="S736">
        <v>0</v>
      </c>
    </row>
    <row r="737" spans="1:19" x14ac:dyDescent="0.3">
      <c r="A737">
        <v>736</v>
      </c>
      <c r="B737">
        <v>22</v>
      </c>
      <c r="C737" t="s">
        <v>5</v>
      </c>
      <c r="E737" t="s">
        <v>4</v>
      </c>
      <c r="G737">
        <v>92.9</v>
      </c>
      <c r="H737">
        <v>3</v>
      </c>
      <c r="I737">
        <v>33.700000000000003</v>
      </c>
      <c r="J737" t="s">
        <v>3</v>
      </c>
      <c r="K737" t="s">
        <v>3</v>
      </c>
      <c r="M737">
        <v>1.69</v>
      </c>
      <c r="N737">
        <v>1.94</v>
      </c>
      <c r="O737">
        <v>1.8</v>
      </c>
      <c r="P737" t="s">
        <v>12</v>
      </c>
      <c r="Q737" t="s">
        <v>6</v>
      </c>
      <c r="R737" t="s">
        <v>17</v>
      </c>
      <c r="S737">
        <v>1</v>
      </c>
    </row>
    <row r="738" spans="1:19" x14ac:dyDescent="0.3">
      <c r="A738">
        <v>737</v>
      </c>
      <c r="B738">
        <v>21.6</v>
      </c>
      <c r="C738" t="s">
        <v>5</v>
      </c>
      <c r="D738">
        <v>25000</v>
      </c>
      <c r="E738" t="s">
        <v>4</v>
      </c>
      <c r="F738">
        <v>3.99</v>
      </c>
      <c r="G738">
        <v>94.8</v>
      </c>
      <c r="H738">
        <v>1</v>
      </c>
      <c r="I738">
        <v>29.3</v>
      </c>
      <c r="J738" t="s">
        <v>3</v>
      </c>
      <c r="K738" t="s">
        <v>3</v>
      </c>
      <c r="L738">
        <v>8</v>
      </c>
      <c r="M738">
        <v>1.46</v>
      </c>
      <c r="N738">
        <v>1.25</v>
      </c>
      <c r="O738">
        <v>1.21</v>
      </c>
      <c r="P738" t="s">
        <v>12</v>
      </c>
      <c r="Q738" t="s">
        <v>8</v>
      </c>
      <c r="R738" t="s">
        <v>15</v>
      </c>
      <c r="S738">
        <v>0</v>
      </c>
    </row>
    <row r="739" spans="1:19" x14ac:dyDescent="0.3">
      <c r="A739">
        <v>738</v>
      </c>
      <c r="B739">
        <v>23.2</v>
      </c>
      <c r="C739" t="s">
        <v>5</v>
      </c>
      <c r="D739">
        <v>45967</v>
      </c>
      <c r="E739" t="s">
        <v>4</v>
      </c>
      <c r="F739">
        <v>3.26</v>
      </c>
      <c r="G739">
        <v>91.6</v>
      </c>
      <c r="H739">
        <v>3</v>
      </c>
      <c r="I739">
        <v>35.799999999999997</v>
      </c>
      <c r="J739" t="s">
        <v>4</v>
      </c>
      <c r="K739" t="s">
        <v>3</v>
      </c>
      <c r="L739">
        <v>2.4</v>
      </c>
      <c r="M739">
        <v>1.1399999999999999</v>
      </c>
      <c r="N739">
        <v>0.66</v>
      </c>
      <c r="O739">
        <v>0.56999999999999995</v>
      </c>
      <c r="P739" t="s">
        <v>12</v>
      </c>
      <c r="Q739" t="s">
        <v>1</v>
      </c>
      <c r="R739" t="s">
        <v>9</v>
      </c>
      <c r="S739">
        <v>0</v>
      </c>
    </row>
    <row r="740" spans="1:19" x14ac:dyDescent="0.3">
      <c r="A740">
        <v>739</v>
      </c>
      <c r="B740">
        <v>24.7</v>
      </c>
      <c r="C740" t="s">
        <v>11</v>
      </c>
      <c r="D740">
        <v>92492</v>
      </c>
      <c r="E740" t="s">
        <v>4</v>
      </c>
      <c r="F740">
        <v>3.36</v>
      </c>
      <c r="G740">
        <v>88</v>
      </c>
      <c r="H740">
        <v>3</v>
      </c>
      <c r="I740">
        <v>25.7</v>
      </c>
      <c r="J740" t="s">
        <v>4</v>
      </c>
      <c r="K740" t="s">
        <v>3</v>
      </c>
      <c r="L740">
        <v>2.7</v>
      </c>
      <c r="M740">
        <v>4</v>
      </c>
      <c r="N740">
        <v>4</v>
      </c>
      <c r="O740">
        <v>4</v>
      </c>
      <c r="P740" t="s">
        <v>7</v>
      </c>
      <c r="Q740" t="s">
        <v>6</v>
      </c>
      <c r="R740" t="s">
        <v>9</v>
      </c>
      <c r="S740">
        <v>0</v>
      </c>
    </row>
    <row r="741" spans="1:19" x14ac:dyDescent="0.3">
      <c r="A741">
        <v>740</v>
      </c>
      <c r="B741">
        <v>23.2</v>
      </c>
      <c r="C741" t="s">
        <v>11</v>
      </c>
      <c r="D741">
        <v>35609</v>
      </c>
      <c r="E741" t="s">
        <v>3</v>
      </c>
      <c r="F741">
        <v>5.36</v>
      </c>
      <c r="G741">
        <v>94.4</v>
      </c>
      <c r="H741">
        <v>1</v>
      </c>
      <c r="I741">
        <v>50.5</v>
      </c>
      <c r="J741" t="s">
        <v>3</v>
      </c>
      <c r="K741" t="s">
        <v>3</v>
      </c>
      <c r="L741">
        <v>4.9000000000000004</v>
      </c>
      <c r="M741">
        <v>2.64</v>
      </c>
      <c r="N741">
        <v>2.58</v>
      </c>
      <c r="O741">
        <v>2.57</v>
      </c>
      <c r="P741" t="s">
        <v>7</v>
      </c>
      <c r="Q741" t="s">
        <v>14</v>
      </c>
      <c r="R741" t="s">
        <v>9</v>
      </c>
      <c r="S741">
        <v>0</v>
      </c>
    </row>
    <row r="742" spans="1:19" x14ac:dyDescent="0.3">
      <c r="A742">
        <v>741</v>
      </c>
      <c r="B742">
        <v>17</v>
      </c>
      <c r="C742" t="s">
        <v>5</v>
      </c>
      <c r="D742">
        <v>25000</v>
      </c>
      <c r="E742" t="s">
        <v>4</v>
      </c>
      <c r="F742">
        <v>7.37</v>
      </c>
      <c r="G742">
        <v>89.1</v>
      </c>
      <c r="H742">
        <v>1</v>
      </c>
      <c r="I742">
        <v>37</v>
      </c>
      <c r="J742" t="s">
        <v>4</v>
      </c>
      <c r="K742" t="s">
        <v>4</v>
      </c>
      <c r="L742">
        <v>4.5</v>
      </c>
      <c r="M742">
        <v>4</v>
      </c>
      <c r="N742">
        <v>3.65</v>
      </c>
      <c r="O742">
        <v>3.68</v>
      </c>
      <c r="P742" t="s">
        <v>10</v>
      </c>
      <c r="Q742" t="s">
        <v>6</v>
      </c>
      <c r="R742" t="s">
        <v>9</v>
      </c>
      <c r="S742">
        <v>0</v>
      </c>
    </row>
    <row r="743" spans="1:19" x14ac:dyDescent="0.3">
      <c r="A743">
        <v>742</v>
      </c>
      <c r="B743">
        <v>18.2</v>
      </c>
      <c r="C743" t="s">
        <v>11</v>
      </c>
      <c r="D743">
        <v>26533</v>
      </c>
      <c r="E743" t="s">
        <v>4</v>
      </c>
      <c r="F743">
        <v>2.9</v>
      </c>
      <c r="G743">
        <v>86.6</v>
      </c>
      <c r="H743">
        <v>3</v>
      </c>
      <c r="I743">
        <v>21.5</v>
      </c>
      <c r="J743" t="s">
        <v>4</v>
      </c>
      <c r="K743" t="s">
        <v>4</v>
      </c>
      <c r="L743">
        <v>6.1</v>
      </c>
      <c r="M743">
        <v>2.52</v>
      </c>
      <c r="N743">
        <v>2.4700000000000002</v>
      </c>
      <c r="O743">
        <v>2.4700000000000002</v>
      </c>
      <c r="P743" t="s">
        <v>2</v>
      </c>
      <c r="Q743" t="s">
        <v>14</v>
      </c>
      <c r="R743" t="s">
        <v>9</v>
      </c>
      <c r="S743">
        <v>0</v>
      </c>
    </row>
    <row r="744" spans="1:19" x14ac:dyDescent="0.3">
      <c r="A744">
        <v>743</v>
      </c>
      <c r="B744">
        <v>19.600000000000001</v>
      </c>
      <c r="C744" t="s">
        <v>5</v>
      </c>
      <c r="D744">
        <v>134837</v>
      </c>
      <c r="E744" t="s">
        <v>4</v>
      </c>
      <c r="F744">
        <v>3.3</v>
      </c>
      <c r="G744">
        <v>83.1</v>
      </c>
      <c r="H744">
        <v>1</v>
      </c>
      <c r="I744">
        <v>42</v>
      </c>
      <c r="J744" t="s">
        <v>3</v>
      </c>
      <c r="K744" t="s">
        <v>4</v>
      </c>
      <c r="L744">
        <v>2</v>
      </c>
      <c r="M744">
        <v>4</v>
      </c>
      <c r="N744">
        <v>3.77</v>
      </c>
      <c r="O744">
        <v>3.82</v>
      </c>
      <c r="P744" t="s">
        <v>12</v>
      </c>
      <c r="Q744" t="s">
        <v>14</v>
      </c>
      <c r="R744" t="s">
        <v>9</v>
      </c>
      <c r="S744">
        <v>0</v>
      </c>
    </row>
    <row r="745" spans="1:19" x14ac:dyDescent="0.3">
      <c r="A745">
        <v>744</v>
      </c>
      <c r="B745">
        <v>21.1</v>
      </c>
      <c r="C745" t="s">
        <v>5</v>
      </c>
      <c r="D745">
        <v>32239</v>
      </c>
      <c r="E745" t="s">
        <v>4</v>
      </c>
      <c r="F745">
        <v>3.27</v>
      </c>
      <c r="G745">
        <v>73.400000000000006</v>
      </c>
      <c r="H745">
        <v>2</v>
      </c>
      <c r="I745">
        <v>16.100000000000001</v>
      </c>
      <c r="J745" t="s">
        <v>3</v>
      </c>
      <c r="K745" t="s">
        <v>3</v>
      </c>
      <c r="L745">
        <v>6.1</v>
      </c>
      <c r="M745">
        <v>1.27</v>
      </c>
      <c r="N745">
        <v>1.73</v>
      </c>
      <c r="O745">
        <v>1.78</v>
      </c>
      <c r="P745" t="s">
        <v>10</v>
      </c>
      <c r="Q745" t="s">
        <v>6</v>
      </c>
      <c r="R745" t="s">
        <v>15</v>
      </c>
      <c r="S745">
        <v>0</v>
      </c>
    </row>
    <row r="746" spans="1:19" x14ac:dyDescent="0.3">
      <c r="A746">
        <v>745</v>
      </c>
      <c r="B746">
        <v>22.1</v>
      </c>
      <c r="C746" t="s">
        <v>5</v>
      </c>
      <c r="D746">
        <v>25000</v>
      </c>
      <c r="E746" t="s">
        <v>4</v>
      </c>
      <c r="F746">
        <v>6.07</v>
      </c>
      <c r="G746">
        <v>71</v>
      </c>
      <c r="H746">
        <v>3</v>
      </c>
      <c r="I746">
        <v>19.7</v>
      </c>
      <c r="J746" t="s">
        <v>3</v>
      </c>
      <c r="K746" t="s">
        <v>3</v>
      </c>
      <c r="L746">
        <v>7.8</v>
      </c>
      <c r="M746">
        <v>1.05</v>
      </c>
      <c r="N746">
        <v>0.83</v>
      </c>
      <c r="O746">
        <v>0.8</v>
      </c>
      <c r="P746" t="s">
        <v>12</v>
      </c>
      <c r="Q746" t="s">
        <v>8</v>
      </c>
      <c r="R746" t="s">
        <v>0</v>
      </c>
      <c r="S746">
        <v>1</v>
      </c>
    </row>
    <row r="747" spans="1:19" x14ac:dyDescent="0.3">
      <c r="A747">
        <v>746</v>
      </c>
      <c r="B747">
        <v>19.399999999999999</v>
      </c>
      <c r="C747" t="s">
        <v>5</v>
      </c>
      <c r="D747">
        <v>25000</v>
      </c>
      <c r="E747" t="s">
        <v>4</v>
      </c>
      <c r="F747">
        <v>4.99</v>
      </c>
      <c r="G747">
        <v>88.2</v>
      </c>
      <c r="H747">
        <v>1</v>
      </c>
      <c r="I747">
        <v>20.399999999999999</v>
      </c>
      <c r="J747" t="s">
        <v>3</v>
      </c>
      <c r="K747" t="s">
        <v>3</v>
      </c>
      <c r="L747">
        <v>3.7</v>
      </c>
      <c r="M747">
        <v>2.37</v>
      </c>
      <c r="N747">
        <v>1.57</v>
      </c>
      <c r="O747">
        <v>1.57</v>
      </c>
      <c r="P747" t="s">
        <v>2</v>
      </c>
      <c r="Q747" t="s">
        <v>13</v>
      </c>
      <c r="R747" t="s">
        <v>9</v>
      </c>
      <c r="S747">
        <v>0</v>
      </c>
    </row>
    <row r="748" spans="1:19" x14ac:dyDescent="0.3">
      <c r="A748">
        <v>747</v>
      </c>
      <c r="B748">
        <v>21.4</v>
      </c>
      <c r="C748" t="s">
        <v>11</v>
      </c>
      <c r="D748">
        <v>25000</v>
      </c>
      <c r="E748" t="s">
        <v>4</v>
      </c>
      <c r="F748">
        <v>3.67</v>
      </c>
      <c r="G748">
        <v>88</v>
      </c>
      <c r="H748">
        <v>1</v>
      </c>
      <c r="I748">
        <v>45.9</v>
      </c>
      <c r="J748" t="s">
        <v>3</v>
      </c>
      <c r="K748" t="s">
        <v>3</v>
      </c>
      <c r="L748">
        <v>4.8</v>
      </c>
      <c r="M748">
        <v>2.4700000000000002</v>
      </c>
      <c r="N748">
        <v>2.7</v>
      </c>
      <c r="O748">
        <v>2.69</v>
      </c>
      <c r="P748" t="s">
        <v>7</v>
      </c>
      <c r="Q748" t="s">
        <v>1</v>
      </c>
      <c r="R748" t="s">
        <v>15</v>
      </c>
      <c r="S748">
        <v>0</v>
      </c>
    </row>
    <row r="749" spans="1:19" x14ac:dyDescent="0.3">
      <c r="A749">
        <v>748</v>
      </c>
      <c r="B749">
        <v>19.3</v>
      </c>
      <c r="C749" t="s">
        <v>5</v>
      </c>
      <c r="D749">
        <v>36981</v>
      </c>
      <c r="E749" t="s">
        <v>4</v>
      </c>
      <c r="F749">
        <v>3.35</v>
      </c>
      <c r="G749">
        <v>81.7</v>
      </c>
      <c r="H749">
        <v>0</v>
      </c>
      <c r="I749">
        <v>27.9</v>
      </c>
      <c r="J749" t="s">
        <v>4</v>
      </c>
      <c r="K749" t="s">
        <v>3</v>
      </c>
      <c r="L749">
        <v>4.0999999999999996</v>
      </c>
      <c r="M749">
        <v>1.71</v>
      </c>
      <c r="N749">
        <v>2.1800000000000002</v>
      </c>
      <c r="O749">
        <v>2.12</v>
      </c>
      <c r="P749" t="s">
        <v>7</v>
      </c>
      <c r="Q749" t="s">
        <v>13</v>
      </c>
      <c r="R749" t="s">
        <v>9</v>
      </c>
      <c r="S749">
        <v>0</v>
      </c>
    </row>
    <row r="750" spans="1:19" x14ac:dyDescent="0.3">
      <c r="A750">
        <v>749</v>
      </c>
      <c r="B750">
        <v>19.7</v>
      </c>
      <c r="C750" t="s">
        <v>5</v>
      </c>
      <c r="D750">
        <v>44037</v>
      </c>
      <c r="E750" t="s">
        <v>4</v>
      </c>
      <c r="F750">
        <v>6.03</v>
      </c>
      <c r="G750">
        <v>75.099999999999994</v>
      </c>
      <c r="H750">
        <v>2</v>
      </c>
      <c r="I750">
        <v>22.5</v>
      </c>
      <c r="J750" t="s">
        <v>4</v>
      </c>
      <c r="K750" t="s">
        <v>4</v>
      </c>
      <c r="L750">
        <v>6.1</v>
      </c>
      <c r="M750">
        <v>1.56</v>
      </c>
      <c r="N750">
        <v>1.9</v>
      </c>
      <c r="O750">
        <v>1.9</v>
      </c>
      <c r="P750" t="s">
        <v>7</v>
      </c>
      <c r="Q750" t="s">
        <v>1</v>
      </c>
      <c r="R750" t="s">
        <v>9</v>
      </c>
      <c r="S750">
        <v>0</v>
      </c>
    </row>
    <row r="751" spans="1:19" x14ac:dyDescent="0.3">
      <c r="A751">
        <v>750</v>
      </c>
      <c r="B751">
        <v>17.899999999999999</v>
      </c>
      <c r="C751" t="s">
        <v>11</v>
      </c>
      <c r="D751">
        <v>25000</v>
      </c>
      <c r="E751" t="s">
        <v>4</v>
      </c>
      <c r="F751">
        <v>4.05</v>
      </c>
      <c r="G751">
        <v>73</v>
      </c>
      <c r="H751">
        <v>1</v>
      </c>
      <c r="I751">
        <v>32</v>
      </c>
      <c r="J751" t="s">
        <v>4</v>
      </c>
      <c r="K751" t="s">
        <v>4</v>
      </c>
      <c r="L751">
        <v>3.6</v>
      </c>
      <c r="M751">
        <v>3.91</v>
      </c>
      <c r="N751">
        <v>4</v>
      </c>
      <c r="O751">
        <v>4</v>
      </c>
      <c r="P751" t="s">
        <v>7</v>
      </c>
      <c r="Q751" t="s">
        <v>14</v>
      </c>
      <c r="R751" t="s">
        <v>15</v>
      </c>
      <c r="S751">
        <v>0</v>
      </c>
    </row>
    <row r="752" spans="1:19" x14ac:dyDescent="0.3">
      <c r="A752">
        <v>751</v>
      </c>
      <c r="B752">
        <v>19</v>
      </c>
      <c r="C752" t="s">
        <v>11</v>
      </c>
      <c r="D752">
        <v>29467</v>
      </c>
      <c r="E752" t="s">
        <v>4</v>
      </c>
      <c r="F752">
        <v>3.95</v>
      </c>
      <c r="G752">
        <v>79.099999999999994</v>
      </c>
      <c r="H752">
        <v>0</v>
      </c>
      <c r="I752">
        <v>36.5</v>
      </c>
      <c r="J752" t="s">
        <v>3</v>
      </c>
      <c r="K752" t="s">
        <v>4</v>
      </c>
      <c r="L752">
        <v>3.3</v>
      </c>
      <c r="M752">
        <v>1.61</v>
      </c>
      <c r="N752">
        <v>2.02</v>
      </c>
      <c r="O752">
        <v>2</v>
      </c>
      <c r="P752" t="s">
        <v>10</v>
      </c>
      <c r="Q752" t="s">
        <v>1</v>
      </c>
      <c r="R752" t="s">
        <v>15</v>
      </c>
      <c r="S752">
        <v>0</v>
      </c>
    </row>
    <row r="753" spans="1:19" x14ac:dyDescent="0.3">
      <c r="A753">
        <v>752</v>
      </c>
      <c r="B753">
        <v>18</v>
      </c>
      <c r="C753" t="s">
        <v>11</v>
      </c>
      <c r="D753">
        <v>25000</v>
      </c>
      <c r="E753" t="s">
        <v>4</v>
      </c>
      <c r="F753">
        <v>1.19</v>
      </c>
      <c r="G753">
        <v>87.6</v>
      </c>
      <c r="H753">
        <v>3</v>
      </c>
      <c r="I753">
        <v>49.1</v>
      </c>
      <c r="J753" t="s">
        <v>3</v>
      </c>
      <c r="K753" t="s">
        <v>4</v>
      </c>
      <c r="L753">
        <v>5.2</v>
      </c>
      <c r="M753">
        <v>2.68</v>
      </c>
      <c r="N753">
        <v>2.2799999999999998</v>
      </c>
      <c r="O753">
        <v>2.25</v>
      </c>
      <c r="P753" t="s">
        <v>10</v>
      </c>
      <c r="Q753" t="s">
        <v>1</v>
      </c>
      <c r="R753" t="s">
        <v>9</v>
      </c>
      <c r="S753">
        <v>0</v>
      </c>
    </row>
    <row r="754" spans="1:19" x14ac:dyDescent="0.3">
      <c r="A754">
        <v>753</v>
      </c>
      <c r="B754">
        <v>18.899999999999999</v>
      </c>
      <c r="C754" t="s">
        <v>11</v>
      </c>
      <c r="D754">
        <v>32201</v>
      </c>
      <c r="E754" t="s">
        <v>4</v>
      </c>
      <c r="F754">
        <v>5.03</v>
      </c>
      <c r="G754">
        <v>99.9</v>
      </c>
      <c r="H754">
        <v>4</v>
      </c>
      <c r="I754">
        <v>12</v>
      </c>
      <c r="J754" t="s">
        <v>3</v>
      </c>
      <c r="K754" t="s">
        <v>4</v>
      </c>
      <c r="L754">
        <v>6.1</v>
      </c>
      <c r="M754">
        <v>4</v>
      </c>
      <c r="N754">
        <v>3.76</v>
      </c>
      <c r="O754">
        <v>3.77</v>
      </c>
      <c r="P754" t="s">
        <v>10</v>
      </c>
      <c r="Q754" t="s">
        <v>8</v>
      </c>
      <c r="R754" t="s">
        <v>9</v>
      </c>
      <c r="S754">
        <v>0</v>
      </c>
    </row>
    <row r="755" spans="1:19" x14ac:dyDescent="0.3">
      <c r="A755">
        <v>754</v>
      </c>
      <c r="B755">
        <v>23.3</v>
      </c>
      <c r="C755" t="s">
        <v>5</v>
      </c>
      <c r="D755">
        <v>39692</v>
      </c>
      <c r="E755" t="s">
        <v>4</v>
      </c>
      <c r="F755">
        <v>3.99</v>
      </c>
      <c r="G755">
        <v>81.8</v>
      </c>
      <c r="H755">
        <v>4</v>
      </c>
      <c r="I755">
        <v>45.2</v>
      </c>
      <c r="J755" t="s">
        <v>4</v>
      </c>
      <c r="K755" t="s">
        <v>3</v>
      </c>
      <c r="L755">
        <v>5.8</v>
      </c>
      <c r="M755">
        <v>2.4300000000000002</v>
      </c>
      <c r="N755">
        <v>1.97</v>
      </c>
      <c r="O755">
        <v>2</v>
      </c>
      <c r="P755" t="s">
        <v>10</v>
      </c>
      <c r="Q755" t="s">
        <v>6</v>
      </c>
      <c r="R755" t="s">
        <v>9</v>
      </c>
      <c r="S755">
        <v>0</v>
      </c>
    </row>
    <row r="756" spans="1:19" x14ac:dyDescent="0.3">
      <c r="A756">
        <v>755</v>
      </c>
      <c r="B756">
        <v>18.899999999999999</v>
      </c>
      <c r="C756" t="s">
        <v>11</v>
      </c>
      <c r="D756">
        <v>25000</v>
      </c>
      <c r="E756" t="s">
        <v>4</v>
      </c>
      <c r="F756">
        <v>4.1399999999999997</v>
      </c>
      <c r="G756">
        <v>84.3</v>
      </c>
      <c r="H756">
        <v>4</v>
      </c>
      <c r="I756">
        <v>5.2</v>
      </c>
      <c r="J756" t="s">
        <v>4</v>
      </c>
      <c r="K756" t="s">
        <v>4</v>
      </c>
      <c r="L756">
        <v>4.7</v>
      </c>
      <c r="M756">
        <v>3.09</v>
      </c>
      <c r="N756">
        <v>3.24</v>
      </c>
      <c r="O756">
        <v>3.19</v>
      </c>
      <c r="P756" t="s">
        <v>7</v>
      </c>
      <c r="Q756" t="s">
        <v>13</v>
      </c>
      <c r="R756" t="s">
        <v>0</v>
      </c>
      <c r="S756">
        <v>0</v>
      </c>
    </row>
    <row r="757" spans="1:19" x14ac:dyDescent="0.3">
      <c r="A757">
        <v>756</v>
      </c>
      <c r="B757">
        <v>26.8</v>
      </c>
      <c r="C757" t="s">
        <v>11</v>
      </c>
      <c r="D757">
        <v>81983</v>
      </c>
      <c r="E757" t="s">
        <v>4</v>
      </c>
      <c r="F757">
        <v>4.13</v>
      </c>
      <c r="G757">
        <v>91</v>
      </c>
      <c r="H757">
        <v>5</v>
      </c>
      <c r="I757">
        <v>40.9</v>
      </c>
      <c r="J757" t="s">
        <v>3</v>
      </c>
      <c r="K757" t="s">
        <v>4</v>
      </c>
      <c r="L757">
        <v>6.7</v>
      </c>
      <c r="M757">
        <v>3.64</v>
      </c>
      <c r="N757">
        <v>3.77</v>
      </c>
      <c r="O757">
        <v>3.77</v>
      </c>
      <c r="P757" t="s">
        <v>2</v>
      </c>
      <c r="Q757" t="s">
        <v>1</v>
      </c>
      <c r="R757" t="s">
        <v>15</v>
      </c>
      <c r="S757">
        <v>0</v>
      </c>
    </row>
    <row r="758" spans="1:19" x14ac:dyDescent="0.3">
      <c r="A758">
        <v>757</v>
      </c>
      <c r="B758">
        <v>22.1</v>
      </c>
      <c r="C758" t="s">
        <v>11</v>
      </c>
      <c r="D758">
        <v>25000</v>
      </c>
      <c r="E758" t="s">
        <v>4</v>
      </c>
      <c r="F758">
        <v>5.22</v>
      </c>
      <c r="G758">
        <v>81.5</v>
      </c>
      <c r="H758">
        <v>3</v>
      </c>
      <c r="I758">
        <v>44</v>
      </c>
      <c r="J758" t="s">
        <v>3</v>
      </c>
      <c r="K758" t="s">
        <v>3</v>
      </c>
      <c r="L758">
        <v>5.9</v>
      </c>
      <c r="M758">
        <v>1.02</v>
      </c>
      <c r="N758">
        <v>1.37</v>
      </c>
      <c r="O758">
        <v>1.34</v>
      </c>
      <c r="P758" t="s">
        <v>7</v>
      </c>
      <c r="Q758" t="s">
        <v>1</v>
      </c>
      <c r="R758" t="s">
        <v>9</v>
      </c>
      <c r="S758">
        <v>1</v>
      </c>
    </row>
    <row r="759" spans="1:19" x14ac:dyDescent="0.3">
      <c r="A759">
        <v>758</v>
      </c>
      <c r="B759">
        <v>21.4</v>
      </c>
      <c r="C759" t="s">
        <v>11</v>
      </c>
      <c r="D759">
        <v>35245</v>
      </c>
      <c r="E759" t="s">
        <v>4</v>
      </c>
      <c r="F759">
        <v>1.1000000000000001</v>
      </c>
      <c r="G759">
        <v>84.9</v>
      </c>
      <c r="H759">
        <v>0</v>
      </c>
      <c r="I759">
        <v>44.6</v>
      </c>
      <c r="J759" t="s">
        <v>4</v>
      </c>
      <c r="K759" t="s">
        <v>3</v>
      </c>
      <c r="L759">
        <v>3.4</v>
      </c>
      <c r="M759">
        <v>1.41</v>
      </c>
      <c r="N759">
        <v>1.19</v>
      </c>
      <c r="O759">
        <v>1.19</v>
      </c>
      <c r="P759" t="s">
        <v>2</v>
      </c>
      <c r="Q759" t="s">
        <v>14</v>
      </c>
      <c r="R759" t="s">
        <v>17</v>
      </c>
      <c r="S759">
        <v>0</v>
      </c>
    </row>
    <row r="760" spans="1:19" x14ac:dyDescent="0.3">
      <c r="A760">
        <v>759</v>
      </c>
      <c r="B760">
        <v>19.100000000000001</v>
      </c>
      <c r="C760" t="s">
        <v>5</v>
      </c>
      <c r="D760">
        <v>49464</v>
      </c>
      <c r="E760" t="s">
        <v>4</v>
      </c>
      <c r="F760">
        <v>2.44</v>
      </c>
      <c r="G760">
        <v>88.6</v>
      </c>
      <c r="H760">
        <v>1</v>
      </c>
      <c r="I760">
        <v>36.799999999999997</v>
      </c>
      <c r="J760" t="s">
        <v>3</v>
      </c>
      <c r="K760" t="s">
        <v>3</v>
      </c>
      <c r="L760">
        <v>1</v>
      </c>
      <c r="M760">
        <v>4</v>
      </c>
      <c r="N760">
        <v>4</v>
      </c>
      <c r="O760">
        <v>3.97</v>
      </c>
      <c r="P760" t="s">
        <v>7</v>
      </c>
      <c r="Q760" t="s">
        <v>6</v>
      </c>
      <c r="R760" t="s">
        <v>9</v>
      </c>
      <c r="S760">
        <v>0</v>
      </c>
    </row>
    <row r="761" spans="1:19" x14ac:dyDescent="0.3">
      <c r="A761">
        <v>760</v>
      </c>
      <c r="B761">
        <v>22.5</v>
      </c>
      <c r="C761" t="s">
        <v>11</v>
      </c>
      <c r="D761">
        <v>28385</v>
      </c>
      <c r="E761" t="s">
        <v>4</v>
      </c>
      <c r="F761">
        <v>6.55</v>
      </c>
      <c r="G761">
        <v>90.8</v>
      </c>
      <c r="H761">
        <v>5</v>
      </c>
      <c r="I761">
        <v>17.2</v>
      </c>
      <c r="J761" t="s">
        <v>4</v>
      </c>
      <c r="K761" t="s">
        <v>4</v>
      </c>
      <c r="L761">
        <v>6.4</v>
      </c>
      <c r="M761">
        <v>0.98</v>
      </c>
      <c r="N761">
        <v>1.08</v>
      </c>
      <c r="O761">
        <v>1.05</v>
      </c>
      <c r="P761" t="s">
        <v>12</v>
      </c>
      <c r="Q761" t="s">
        <v>8</v>
      </c>
      <c r="R761" t="s">
        <v>15</v>
      </c>
      <c r="S761">
        <v>1</v>
      </c>
    </row>
    <row r="762" spans="1:19" x14ac:dyDescent="0.3">
      <c r="A762">
        <v>761</v>
      </c>
      <c r="B762">
        <v>19.7</v>
      </c>
      <c r="C762" t="s">
        <v>5</v>
      </c>
      <c r="D762">
        <v>26553</v>
      </c>
      <c r="E762" t="s">
        <v>4</v>
      </c>
      <c r="F762">
        <v>2.41</v>
      </c>
      <c r="G762">
        <v>82.4</v>
      </c>
      <c r="H762">
        <v>0</v>
      </c>
      <c r="I762">
        <v>39</v>
      </c>
      <c r="J762" t="s">
        <v>4</v>
      </c>
      <c r="K762" t="s">
        <v>3</v>
      </c>
      <c r="L762">
        <v>5</v>
      </c>
      <c r="M762">
        <v>2.38</v>
      </c>
      <c r="N762">
        <v>2.4500000000000002</v>
      </c>
      <c r="O762">
        <v>2.46</v>
      </c>
      <c r="P762" t="s">
        <v>7</v>
      </c>
      <c r="Q762" t="s">
        <v>1</v>
      </c>
      <c r="R762" t="s">
        <v>17</v>
      </c>
      <c r="S762">
        <v>0</v>
      </c>
    </row>
    <row r="763" spans="1:19" x14ac:dyDescent="0.3">
      <c r="A763">
        <v>762</v>
      </c>
      <c r="B763">
        <v>21.3</v>
      </c>
      <c r="C763" t="s">
        <v>5</v>
      </c>
      <c r="D763">
        <v>25000</v>
      </c>
      <c r="E763" t="s">
        <v>4</v>
      </c>
      <c r="F763">
        <v>3.01</v>
      </c>
      <c r="G763">
        <v>78.2</v>
      </c>
      <c r="H763">
        <v>1</v>
      </c>
      <c r="I763">
        <v>17.2</v>
      </c>
      <c r="J763" t="s">
        <v>4</v>
      </c>
      <c r="K763" t="s">
        <v>3</v>
      </c>
      <c r="L763">
        <v>3.5</v>
      </c>
      <c r="M763">
        <v>2.88</v>
      </c>
      <c r="N763">
        <v>2.81</v>
      </c>
      <c r="O763">
        <v>2.86</v>
      </c>
      <c r="P763" t="s">
        <v>12</v>
      </c>
      <c r="Q763" t="s">
        <v>8</v>
      </c>
      <c r="R763" t="s">
        <v>9</v>
      </c>
      <c r="S763">
        <v>0</v>
      </c>
    </row>
    <row r="764" spans="1:19" x14ac:dyDescent="0.3">
      <c r="A764">
        <v>763</v>
      </c>
      <c r="B764">
        <v>26.6</v>
      </c>
      <c r="C764" t="s">
        <v>5</v>
      </c>
      <c r="D764">
        <v>67131</v>
      </c>
      <c r="E764" t="s">
        <v>4</v>
      </c>
      <c r="F764">
        <v>5.63</v>
      </c>
      <c r="G764">
        <v>83.6</v>
      </c>
      <c r="H764">
        <v>1</v>
      </c>
      <c r="I764">
        <v>18.7</v>
      </c>
      <c r="J764" t="s">
        <v>3</v>
      </c>
      <c r="K764" t="s">
        <v>4</v>
      </c>
      <c r="L764">
        <v>8.4</v>
      </c>
      <c r="M764">
        <v>3.53</v>
      </c>
      <c r="N764">
        <v>3.76</v>
      </c>
      <c r="O764">
        <v>3.8</v>
      </c>
      <c r="P764" t="s">
        <v>12</v>
      </c>
      <c r="Q764" t="s">
        <v>13</v>
      </c>
      <c r="R764" t="s">
        <v>9</v>
      </c>
      <c r="S764">
        <v>0</v>
      </c>
    </row>
    <row r="765" spans="1:19" x14ac:dyDescent="0.3">
      <c r="A765">
        <v>764</v>
      </c>
      <c r="B765">
        <v>20.8</v>
      </c>
      <c r="C765" t="s">
        <v>11</v>
      </c>
      <c r="D765">
        <v>26851</v>
      </c>
      <c r="E765" t="s">
        <v>4</v>
      </c>
      <c r="F765">
        <v>4.07</v>
      </c>
      <c r="G765">
        <v>68.400000000000006</v>
      </c>
      <c r="H765">
        <v>3</v>
      </c>
      <c r="I765">
        <v>24.5</v>
      </c>
      <c r="J765" t="s">
        <v>3</v>
      </c>
      <c r="K765" t="s">
        <v>3</v>
      </c>
      <c r="L765">
        <v>8.4</v>
      </c>
      <c r="M765">
        <v>0.74</v>
      </c>
      <c r="N765">
        <v>0.76</v>
      </c>
      <c r="O765">
        <v>0.81</v>
      </c>
      <c r="P765" t="s">
        <v>7</v>
      </c>
      <c r="Q765" t="s">
        <v>14</v>
      </c>
      <c r="R765" t="s">
        <v>0</v>
      </c>
      <c r="S765">
        <v>1</v>
      </c>
    </row>
    <row r="766" spans="1:19" x14ac:dyDescent="0.3">
      <c r="A766">
        <v>765</v>
      </c>
      <c r="B766">
        <v>23.5</v>
      </c>
      <c r="C766" t="s">
        <v>5</v>
      </c>
      <c r="E766" t="s">
        <v>4</v>
      </c>
      <c r="G766">
        <v>69.3</v>
      </c>
      <c r="H766">
        <v>3</v>
      </c>
      <c r="I766">
        <v>25.6</v>
      </c>
      <c r="J766" t="s">
        <v>3</v>
      </c>
      <c r="K766" t="s">
        <v>4</v>
      </c>
      <c r="M766">
        <v>2.11</v>
      </c>
      <c r="N766">
        <v>1.86</v>
      </c>
      <c r="O766">
        <v>1.92</v>
      </c>
      <c r="P766" t="s">
        <v>7</v>
      </c>
      <c r="Q766" t="s">
        <v>14</v>
      </c>
      <c r="R766" t="s">
        <v>9</v>
      </c>
      <c r="S766">
        <v>0</v>
      </c>
    </row>
    <row r="767" spans="1:19" x14ac:dyDescent="0.3">
      <c r="A767">
        <v>766</v>
      </c>
      <c r="B767">
        <v>19.5</v>
      </c>
      <c r="C767" t="s">
        <v>11</v>
      </c>
      <c r="E767" t="s">
        <v>4</v>
      </c>
      <c r="G767">
        <v>73.900000000000006</v>
      </c>
      <c r="H767">
        <v>3</v>
      </c>
      <c r="I767">
        <v>32.9</v>
      </c>
      <c r="J767" t="s">
        <v>4</v>
      </c>
      <c r="K767" t="s">
        <v>3</v>
      </c>
      <c r="M767">
        <v>3.76</v>
      </c>
      <c r="N767">
        <v>3.95</v>
      </c>
      <c r="O767">
        <v>3.99</v>
      </c>
      <c r="P767" t="s">
        <v>12</v>
      </c>
      <c r="Q767" t="s">
        <v>6</v>
      </c>
      <c r="R767" t="s">
        <v>15</v>
      </c>
      <c r="S767">
        <v>0</v>
      </c>
    </row>
    <row r="768" spans="1:19" x14ac:dyDescent="0.3">
      <c r="A768">
        <v>767</v>
      </c>
      <c r="B768">
        <v>20.9</v>
      </c>
      <c r="C768" t="s">
        <v>5</v>
      </c>
      <c r="D768">
        <v>25000</v>
      </c>
      <c r="E768" t="s">
        <v>3</v>
      </c>
      <c r="F768">
        <v>3.25</v>
      </c>
      <c r="G768">
        <v>95.6</v>
      </c>
      <c r="H768">
        <v>1</v>
      </c>
      <c r="I768">
        <v>21.7</v>
      </c>
      <c r="J768" t="s">
        <v>3</v>
      </c>
      <c r="K768" t="s">
        <v>3</v>
      </c>
      <c r="L768">
        <v>1</v>
      </c>
      <c r="M768">
        <v>3.64</v>
      </c>
      <c r="N768">
        <v>3.88</v>
      </c>
      <c r="O768">
        <v>3.78</v>
      </c>
      <c r="P768" t="s">
        <v>12</v>
      </c>
      <c r="Q768" t="s">
        <v>8</v>
      </c>
      <c r="R768" t="s">
        <v>15</v>
      </c>
      <c r="S768">
        <v>0</v>
      </c>
    </row>
    <row r="769" spans="1:19" x14ac:dyDescent="0.3">
      <c r="A769">
        <v>768</v>
      </c>
      <c r="B769">
        <v>24.9</v>
      </c>
      <c r="C769" t="s">
        <v>11</v>
      </c>
      <c r="D769">
        <v>26410</v>
      </c>
      <c r="E769" t="s">
        <v>4</v>
      </c>
      <c r="F769">
        <v>3.3</v>
      </c>
      <c r="G769">
        <v>89.4</v>
      </c>
      <c r="H769">
        <v>2</v>
      </c>
      <c r="I769">
        <v>34</v>
      </c>
      <c r="J769" t="s">
        <v>4</v>
      </c>
      <c r="K769" t="s">
        <v>4</v>
      </c>
      <c r="L769">
        <v>7.6</v>
      </c>
      <c r="M769">
        <v>2.52</v>
      </c>
      <c r="N769">
        <v>2.66</v>
      </c>
      <c r="O769">
        <v>2.73</v>
      </c>
      <c r="P769" t="s">
        <v>10</v>
      </c>
      <c r="Q769" t="s">
        <v>13</v>
      </c>
      <c r="R769" t="s">
        <v>0</v>
      </c>
      <c r="S769">
        <v>0</v>
      </c>
    </row>
    <row r="770" spans="1:19" x14ac:dyDescent="0.3">
      <c r="A770">
        <v>769</v>
      </c>
      <c r="B770">
        <v>19.600000000000001</v>
      </c>
      <c r="C770" t="s">
        <v>5</v>
      </c>
      <c r="D770">
        <v>66217</v>
      </c>
      <c r="E770" t="s">
        <v>4</v>
      </c>
      <c r="F770">
        <v>4.99</v>
      </c>
      <c r="G770">
        <v>61.5</v>
      </c>
      <c r="H770">
        <v>4</v>
      </c>
      <c r="I770">
        <v>13.5</v>
      </c>
      <c r="J770" t="s">
        <v>4</v>
      </c>
      <c r="K770" t="s">
        <v>3</v>
      </c>
      <c r="L770">
        <v>3.8</v>
      </c>
      <c r="M770">
        <v>2.67</v>
      </c>
      <c r="N770">
        <v>2.63</v>
      </c>
      <c r="O770">
        <v>2.63</v>
      </c>
      <c r="P770" t="s">
        <v>12</v>
      </c>
      <c r="Q770" t="s">
        <v>14</v>
      </c>
      <c r="R770" t="s">
        <v>0</v>
      </c>
      <c r="S770">
        <v>1</v>
      </c>
    </row>
    <row r="771" spans="1:19" x14ac:dyDescent="0.3">
      <c r="A771">
        <v>770</v>
      </c>
      <c r="B771">
        <v>25</v>
      </c>
      <c r="C771" t="s">
        <v>11</v>
      </c>
      <c r="D771">
        <v>25000</v>
      </c>
      <c r="E771" t="s">
        <v>4</v>
      </c>
      <c r="F771">
        <v>4.21</v>
      </c>
      <c r="G771">
        <v>93.1</v>
      </c>
      <c r="H771">
        <v>0</v>
      </c>
      <c r="I771">
        <v>30.5</v>
      </c>
      <c r="J771" t="s">
        <v>4</v>
      </c>
      <c r="K771" t="s">
        <v>3</v>
      </c>
      <c r="L771">
        <v>4.5</v>
      </c>
      <c r="M771">
        <v>3.89</v>
      </c>
      <c r="N771">
        <v>3.77</v>
      </c>
      <c r="O771">
        <v>3.77</v>
      </c>
      <c r="P771" t="s">
        <v>2</v>
      </c>
      <c r="Q771" t="s">
        <v>1</v>
      </c>
      <c r="R771" t="s">
        <v>9</v>
      </c>
      <c r="S771">
        <v>0</v>
      </c>
    </row>
    <row r="772" spans="1:19" x14ac:dyDescent="0.3">
      <c r="A772">
        <v>771</v>
      </c>
      <c r="B772">
        <v>22.6</v>
      </c>
      <c r="C772" t="s">
        <v>11</v>
      </c>
      <c r="D772">
        <v>106591</v>
      </c>
      <c r="E772" t="s">
        <v>4</v>
      </c>
      <c r="F772">
        <v>5.34</v>
      </c>
      <c r="G772">
        <v>93.7</v>
      </c>
      <c r="H772">
        <v>4</v>
      </c>
      <c r="I772">
        <v>26.7</v>
      </c>
      <c r="J772" t="s">
        <v>3</v>
      </c>
      <c r="K772" t="s">
        <v>3</v>
      </c>
      <c r="L772">
        <v>7.1</v>
      </c>
      <c r="M772">
        <v>2.46</v>
      </c>
      <c r="N772">
        <v>3.03</v>
      </c>
      <c r="O772">
        <v>3.02</v>
      </c>
      <c r="P772" t="s">
        <v>10</v>
      </c>
      <c r="Q772" t="s">
        <v>8</v>
      </c>
      <c r="R772" t="s">
        <v>15</v>
      </c>
      <c r="S772">
        <v>0</v>
      </c>
    </row>
    <row r="773" spans="1:19" x14ac:dyDescent="0.3">
      <c r="A773">
        <v>772</v>
      </c>
      <c r="B773">
        <v>19.8</v>
      </c>
      <c r="C773" t="s">
        <v>5</v>
      </c>
      <c r="D773">
        <v>25000</v>
      </c>
      <c r="E773" t="s">
        <v>4</v>
      </c>
      <c r="F773">
        <v>3.16</v>
      </c>
      <c r="G773">
        <v>74.599999999999994</v>
      </c>
      <c r="H773">
        <v>3</v>
      </c>
      <c r="I773">
        <v>42.2</v>
      </c>
      <c r="J773" t="s">
        <v>3</v>
      </c>
      <c r="K773" t="s">
        <v>3</v>
      </c>
      <c r="L773">
        <v>9.1999999999999993</v>
      </c>
      <c r="M773">
        <v>2.02</v>
      </c>
      <c r="N773">
        <v>2.33</v>
      </c>
      <c r="O773">
        <v>2.29</v>
      </c>
      <c r="P773" t="s">
        <v>7</v>
      </c>
      <c r="Q773" t="s">
        <v>8</v>
      </c>
      <c r="R773" t="s">
        <v>9</v>
      </c>
      <c r="S773">
        <v>1</v>
      </c>
    </row>
    <row r="774" spans="1:19" x14ac:dyDescent="0.3">
      <c r="A774">
        <v>773</v>
      </c>
      <c r="B774">
        <v>22.4</v>
      </c>
      <c r="C774" t="s">
        <v>5</v>
      </c>
      <c r="D774">
        <v>25000</v>
      </c>
      <c r="E774" t="s">
        <v>3</v>
      </c>
      <c r="F774">
        <v>4.26</v>
      </c>
      <c r="G774">
        <v>78.8</v>
      </c>
      <c r="H774">
        <v>1</v>
      </c>
      <c r="I774">
        <v>43.4</v>
      </c>
      <c r="J774" t="s">
        <v>4</v>
      </c>
      <c r="K774" t="s">
        <v>4</v>
      </c>
      <c r="L774">
        <v>8.3000000000000007</v>
      </c>
      <c r="M774">
        <v>2.6</v>
      </c>
      <c r="N774">
        <v>2.78</v>
      </c>
      <c r="O774">
        <v>2.83</v>
      </c>
      <c r="P774" t="s">
        <v>7</v>
      </c>
      <c r="Q774" t="s">
        <v>1</v>
      </c>
      <c r="R774" t="s">
        <v>15</v>
      </c>
      <c r="S774">
        <v>0</v>
      </c>
    </row>
    <row r="775" spans="1:19" x14ac:dyDescent="0.3">
      <c r="A775">
        <v>774</v>
      </c>
      <c r="B775">
        <v>23.1</v>
      </c>
      <c r="C775" t="s">
        <v>11</v>
      </c>
      <c r="D775">
        <v>32189</v>
      </c>
      <c r="E775" t="s">
        <v>4</v>
      </c>
      <c r="F775">
        <v>3.91</v>
      </c>
      <c r="G775">
        <v>93.5</v>
      </c>
      <c r="H775">
        <v>0</v>
      </c>
      <c r="I775">
        <v>28</v>
      </c>
      <c r="J775" t="s">
        <v>4</v>
      </c>
      <c r="K775" t="s">
        <v>4</v>
      </c>
      <c r="L775">
        <v>5.8</v>
      </c>
      <c r="M775">
        <v>3.32</v>
      </c>
      <c r="N775">
        <v>3.61</v>
      </c>
      <c r="O775">
        <v>3.61</v>
      </c>
      <c r="P775" t="s">
        <v>2</v>
      </c>
      <c r="Q775" t="s">
        <v>8</v>
      </c>
      <c r="R775" t="s">
        <v>15</v>
      </c>
      <c r="S775">
        <v>0</v>
      </c>
    </row>
    <row r="776" spans="1:19" x14ac:dyDescent="0.3">
      <c r="A776">
        <v>775</v>
      </c>
      <c r="B776">
        <v>22.4</v>
      </c>
      <c r="C776" t="s">
        <v>11</v>
      </c>
      <c r="D776">
        <v>111861</v>
      </c>
      <c r="E776" t="s">
        <v>4</v>
      </c>
      <c r="F776">
        <v>3.49</v>
      </c>
      <c r="G776">
        <v>82.4</v>
      </c>
      <c r="H776">
        <v>3</v>
      </c>
      <c r="I776">
        <v>6.5</v>
      </c>
      <c r="J776" t="s">
        <v>3</v>
      </c>
      <c r="K776" t="s">
        <v>4</v>
      </c>
      <c r="L776">
        <v>6.8</v>
      </c>
      <c r="M776">
        <v>2.21</v>
      </c>
      <c r="N776">
        <v>2.15</v>
      </c>
      <c r="O776">
        <v>2.0299999999999998</v>
      </c>
      <c r="P776" t="s">
        <v>7</v>
      </c>
      <c r="Q776" t="s">
        <v>13</v>
      </c>
      <c r="R776" t="s">
        <v>17</v>
      </c>
      <c r="S776">
        <v>0</v>
      </c>
    </row>
    <row r="777" spans="1:19" x14ac:dyDescent="0.3">
      <c r="A777">
        <v>776</v>
      </c>
      <c r="B777">
        <v>17.5</v>
      </c>
      <c r="C777" t="s">
        <v>11</v>
      </c>
      <c r="D777">
        <v>25000</v>
      </c>
      <c r="E777" t="s">
        <v>4</v>
      </c>
      <c r="F777">
        <v>2.33</v>
      </c>
      <c r="G777">
        <v>77.3</v>
      </c>
      <c r="H777">
        <v>1</v>
      </c>
      <c r="I777">
        <v>12.3</v>
      </c>
      <c r="J777" t="s">
        <v>4</v>
      </c>
      <c r="K777" t="s">
        <v>3</v>
      </c>
      <c r="L777">
        <v>3.5</v>
      </c>
      <c r="M777">
        <v>2.37</v>
      </c>
      <c r="N777">
        <v>2.56</v>
      </c>
      <c r="O777">
        <v>2.52</v>
      </c>
      <c r="P777" t="s">
        <v>12</v>
      </c>
      <c r="Q777" t="s">
        <v>6</v>
      </c>
      <c r="R777" t="s">
        <v>9</v>
      </c>
      <c r="S777">
        <v>0</v>
      </c>
    </row>
    <row r="778" spans="1:19" x14ac:dyDescent="0.3">
      <c r="A778">
        <v>777</v>
      </c>
      <c r="B778">
        <v>19.399999999999999</v>
      </c>
      <c r="C778" t="s">
        <v>5</v>
      </c>
      <c r="D778">
        <v>27320</v>
      </c>
      <c r="E778" t="s">
        <v>4</v>
      </c>
      <c r="F778">
        <v>3.45</v>
      </c>
      <c r="G778">
        <v>76</v>
      </c>
      <c r="H778">
        <v>1</v>
      </c>
      <c r="I778">
        <v>43.5</v>
      </c>
      <c r="J778" t="s">
        <v>3</v>
      </c>
      <c r="K778" t="s">
        <v>3</v>
      </c>
      <c r="L778">
        <v>2.6</v>
      </c>
      <c r="M778">
        <v>2.12</v>
      </c>
      <c r="N778">
        <v>1.59</v>
      </c>
      <c r="O778">
        <v>1.59</v>
      </c>
      <c r="P778" t="s">
        <v>2</v>
      </c>
      <c r="Q778" t="s">
        <v>13</v>
      </c>
      <c r="R778" t="s">
        <v>0</v>
      </c>
      <c r="S778">
        <v>0</v>
      </c>
    </row>
    <row r="779" spans="1:19" x14ac:dyDescent="0.3">
      <c r="A779">
        <v>778</v>
      </c>
      <c r="B779">
        <v>20.5</v>
      </c>
      <c r="C779" t="s">
        <v>11</v>
      </c>
      <c r="D779">
        <v>39567</v>
      </c>
      <c r="E779" t="s">
        <v>4</v>
      </c>
      <c r="F779">
        <v>3.3</v>
      </c>
      <c r="G779">
        <v>100</v>
      </c>
      <c r="H779">
        <v>0</v>
      </c>
      <c r="I779">
        <v>28.3</v>
      </c>
      <c r="J779" t="s">
        <v>3</v>
      </c>
      <c r="K779" t="s">
        <v>4</v>
      </c>
      <c r="L779">
        <v>7.4</v>
      </c>
      <c r="M779">
        <v>0.85</v>
      </c>
      <c r="N779">
        <v>0.83</v>
      </c>
      <c r="O779">
        <v>0.81</v>
      </c>
      <c r="P779" t="s">
        <v>7</v>
      </c>
      <c r="Q779" t="s">
        <v>14</v>
      </c>
      <c r="R779" t="s">
        <v>9</v>
      </c>
      <c r="S779">
        <v>0</v>
      </c>
    </row>
    <row r="780" spans="1:19" x14ac:dyDescent="0.3">
      <c r="A780">
        <v>779</v>
      </c>
      <c r="B780">
        <v>20.8</v>
      </c>
      <c r="C780" t="s">
        <v>5</v>
      </c>
      <c r="D780">
        <v>30339</v>
      </c>
      <c r="E780" t="s">
        <v>4</v>
      </c>
      <c r="F780">
        <v>5.63</v>
      </c>
      <c r="G780">
        <v>88.3</v>
      </c>
      <c r="H780">
        <v>2</v>
      </c>
      <c r="I780">
        <v>51</v>
      </c>
      <c r="J780" t="s">
        <v>3</v>
      </c>
      <c r="K780" t="s">
        <v>4</v>
      </c>
      <c r="L780">
        <v>6.1</v>
      </c>
      <c r="M780">
        <v>3.26</v>
      </c>
      <c r="N780">
        <v>3.52</v>
      </c>
      <c r="O780">
        <v>3.52</v>
      </c>
      <c r="P780" t="s">
        <v>7</v>
      </c>
      <c r="Q780" t="s">
        <v>1</v>
      </c>
      <c r="R780" t="s">
        <v>0</v>
      </c>
      <c r="S780">
        <v>0</v>
      </c>
    </row>
    <row r="781" spans="1:19" x14ac:dyDescent="0.3">
      <c r="A781">
        <v>780</v>
      </c>
      <c r="B781">
        <v>22.4</v>
      </c>
      <c r="C781" t="s">
        <v>11</v>
      </c>
      <c r="D781">
        <v>37390</v>
      </c>
      <c r="E781" t="s">
        <v>4</v>
      </c>
      <c r="F781">
        <v>4.74</v>
      </c>
      <c r="G781">
        <v>79.8</v>
      </c>
      <c r="H781">
        <v>0</v>
      </c>
      <c r="I781">
        <v>40.799999999999997</v>
      </c>
      <c r="J781" t="s">
        <v>3</v>
      </c>
      <c r="K781" t="s">
        <v>3</v>
      </c>
      <c r="L781">
        <v>2.9</v>
      </c>
      <c r="M781">
        <v>2.0099999999999998</v>
      </c>
      <c r="N781">
        <v>1.44</v>
      </c>
      <c r="O781">
        <v>1.44</v>
      </c>
      <c r="P781" t="s">
        <v>2</v>
      </c>
      <c r="Q781" t="s">
        <v>6</v>
      </c>
      <c r="R781" t="s">
        <v>17</v>
      </c>
      <c r="S781">
        <v>0</v>
      </c>
    </row>
    <row r="782" spans="1:19" x14ac:dyDescent="0.3">
      <c r="A782">
        <v>781</v>
      </c>
      <c r="B782">
        <v>21.4</v>
      </c>
      <c r="C782" t="s">
        <v>11</v>
      </c>
      <c r="D782">
        <v>25000</v>
      </c>
      <c r="E782" t="s">
        <v>4</v>
      </c>
      <c r="F782">
        <v>4.58</v>
      </c>
      <c r="G782">
        <v>93.4</v>
      </c>
      <c r="H782">
        <v>1</v>
      </c>
      <c r="I782">
        <v>33.1</v>
      </c>
      <c r="J782" t="s">
        <v>3</v>
      </c>
      <c r="K782" t="s">
        <v>3</v>
      </c>
      <c r="L782">
        <v>5.4</v>
      </c>
      <c r="M782">
        <v>1.94</v>
      </c>
      <c r="N782">
        <v>2.04</v>
      </c>
      <c r="O782">
        <v>2.0299999999999998</v>
      </c>
      <c r="P782" t="s">
        <v>10</v>
      </c>
      <c r="Q782" t="s">
        <v>14</v>
      </c>
      <c r="R782" t="s">
        <v>0</v>
      </c>
      <c r="S782">
        <v>0</v>
      </c>
    </row>
    <row r="783" spans="1:19" x14ac:dyDescent="0.3">
      <c r="A783">
        <v>782</v>
      </c>
      <c r="B783">
        <v>18.100000000000001</v>
      </c>
      <c r="C783" t="s">
        <v>5</v>
      </c>
      <c r="D783">
        <v>25000</v>
      </c>
      <c r="E783" t="s">
        <v>3</v>
      </c>
      <c r="F783">
        <v>3.76</v>
      </c>
      <c r="G783">
        <v>81.3</v>
      </c>
      <c r="H783">
        <v>0</v>
      </c>
      <c r="I783">
        <v>31.5</v>
      </c>
      <c r="J783" t="s">
        <v>4</v>
      </c>
      <c r="K783" t="s">
        <v>4</v>
      </c>
      <c r="L783">
        <v>6.6</v>
      </c>
      <c r="M783">
        <v>3.28</v>
      </c>
      <c r="N783">
        <v>3.28</v>
      </c>
      <c r="O783">
        <v>3.32</v>
      </c>
      <c r="P783" t="s">
        <v>7</v>
      </c>
      <c r="Q783" t="s">
        <v>14</v>
      </c>
      <c r="R783" t="s">
        <v>9</v>
      </c>
      <c r="S783">
        <v>0</v>
      </c>
    </row>
    <row r="784" spans="1:19" x14ac:dyDescent="0.3">
      <c r="A784">
        <v>783</v>
      </c>
      <c r="B784">
        <v>21.8</v>
      </c>
      <c r="C784" t="s">
        <v>11</v>
      </c>
      <c r="D784">
        <v>27199</v>
      </c>
      <c r="E784" t="s">
        <v>3</v>
      </c>
      <c r="F784">
        <v>2.84</v>
      </c>
      <c r="G784">
        <v>91.7</v>
      </c>
      <c r="H784">
        <v>3</v>
      </c>
      <c r="I784">
        <v>16.2</v>
      </c>
      <c r="J784" t="s">
        <v>4</v>
      </c>
      <c r="K784" t="s">
        <v>3</v>
      </c>
      <c r="L784">
        <v>7.1</v>
      </c>
      <c r="M784">
        <v>2.5299999999999998</v>
      </c>
      <c r="N784">
        <v>3.07</v>
      </c>
      <c r="O784">
        <v>3.07</v>
      </c>
      <c r="P784" t="s">
        <v>10</v>
      </c>
      <c r="Q784" t="s">
        <v>6</v>
      </c>
      <c r="R784" t="s">
        <v>15</v>
      </c>
      <c r="S784">
        <v>0</v>
      </c>
    </row>
    <row r="785" spans="1:19" x14ac:dyDescent="0.3">
      <c r="A785">
        <v>784</v>
      </c>
      <c r="B785">
        <v>22.3</v>
      </c>
      <c r="C785" t="s">
        <v>11</v>
      </c>
      <c r="D785">
        <v>25000</v>
      </c>
      <c r="E785" t="s">
        <v>3</v>
      </c>
      <c r="F785">
        <v>4.29</v>
      </c>
      <c r="G785">
        <v>86.6</v>
      </c>
      <c r="H785">
        <v>1</v>
      </c>
      <c r="I785">
        <v>22.4</v>
      </c>
      <c r="J785" t="s">
        <v>4</v>
      </c>
      <c r="K785" t="s">
        <v>4</v>
      </c>
      <c r="L785">
        <v>6.6</v>
      </c>
      <c r="M785">
        <v>3.7</v>
      </c>
      <c r="N785">
        <v>3.1</v>
      </c>
      <c r="O785">
        <v>3.16</v>
      </c>
      <c r="P785" t="s">
        <v>10</v>
      </c>
      <c r="Q785" t="s">
        <v>14</v>
      </c>
      <c r="R785" t="s">
        <v>0</v>
      </c>
      <c r="S785">
        <v>0</v>
      </c>
    </row>
    <row r="786" spans="1:19" x14ac:dyDescent="0.3">
      <c r="A786">
        <v>785</v>
      </c>
      <c r="B786">
        <v>22.2</v>
      </c>
      <c r="C786" t="s">
        <v>11</v>
      </c>
      <c r="D786">
        <v>28946</v>
      </c>
      <c r="E786" t="s">
        <v>4</v>
      </c>
      <c r="F786">
        <v>5.84</v>
      </c>
      <c r="G786">
        <v>79.3</v>
      </c>
      <c r="H786">
        <v>2</v>
      </c>
      <c r="I786">
        <v>35</v>
      </c>
      <c r="J786" t="s">
        <v>3</v>
      </c>
      <c r="K786" t="s">
        <v>4</v>
      </c>
      <c r="L786">
        <v>4.8</v>
      </c>
      <c r="M786">
        <v>1.43</v>
      </c>
      <c r="N786">
        <v>1.55</v>
      </c>
      <c r="O786">
        <v>1.55</v>
      </c>
      <c r="P786" t="s">
        <v>2</v>
      </c>
      <c r="Q786" t="s">
        <v>14</v>
      </c>
      <c r="R786" t="s">
        <v>16</v>
      </c>
      <c r="S786">
        <v>0</v>
      </c>
    </row>
    <row r="787" spans="1:19" x14ac:dyDescent="0.3">
      <c r="A787">
        <v>786</v>
      </c>
      <c r="B787">
        <v>23.4</v>
      </c>
      <c r="C787" t="s">
        <v>5</v>
      </c>
      <c r="D787">
        <v>25000</v>
      </c>
      <c r="E787" t="s">
        <v>3</v>
      </c>
      <c r="F787">
        <v>2.88</v>
      </c>
      <c r="G787">
        <v>86</v>
      </c>
      <c r="H787">
        <v>3</v>
      </c>
      <c r="I787">
        <v>25.9</v>
      </c>
      <c r="J787" t="s">
        <v>3</v>
      </c>
      <c r="K787" t="s">
        <v>3</v>
      </c>
      <c r="L787">
        <v>4</v>
      </c>
      <c r="M787">
        <v>0.68</v>
      </c>
      <c r="N787">
        <v>0.98</v>
      </c>
      <c r="O787">
        <v>1.08</v>
      </c>
      <c r="P787" t="s">
        <v>10</v>
      </c>
      <c r="Q787" t="s">
        <v>8</v>
      </c>
      <c r="R787" t="s">
        <v>15</v>
      </c>
      <c r="S787">
        <v>1</v>
      </c>
    </row>
    <row r="788" spans="1:19" x14ac:dyDescent="0.3">
      <c r="A788">
        <v>787</v>
      </c>
      <c r="B788">
        <v>22.8</v>
      </c>
      <c r="C788" t="s">
        <v>5</v>
      </c>
      <c r="D788">
        <v>25000</v>
      </c>
      <c r="E788" t="s">
        <v>4</v>
      </c>
      <c r="F788">
        <v>4.59</v>
      </c>
      <c r="G788">
        <v>86.3</v>
      </c>
      <c r="H788">
        <v>5</v>
      </c>
      <c r="I788">
        <v>35.6</v>
      </c>
      <c r="J788" t="s">
        <v>4</v>
      </c>
      <c r="K788" t="s">
        <v>3</v>
      </c>
      <c r="L788">
        <v>5.7</v>
      </c>
      <c r="M788">
        <v>3.34</v>
      </c>
      <c r="N788">
        <v>3.37</v>
      </c>
      <c r="O788">
        <v>3.3</v>
      </c>
      <c r="P788" t="s">
        <v>12</v>
      </c>
      <c r="Q788" t="s">
        <v>13</v>
      </c>
      <c r="R788" t="s">
        <v>15</v>
      </c>
      <c r="S788">
        <v>1</v>
      </c>
    </row>
    <row r="789" spans="1:19" x14ac:dyDescent="0.3">
      <c r="A789">
        <v>788</v>
      </c>
      <c r="B789">
        <v>22</v>
      </c>
      <c r="C789" t="s">
        <v>11</v>
      </c>
      <c r="D789">
        <v>36037</v>
      </c>
      <c r="E789" t="s">
        <v>4</v>
      </c>
      <c r="F789">
        <v>3.41</v>
      </c>
      <c r="G789">
        <v>88.4</v>
      </c>
      <c r="H789">
        <v>3</v>
      </c>
      <c r="I789">
        <v>42.4</v>
      </c>
      <c r="J789" t="s">
        <v>3</v>
      </c>
      <c r="K789" t="s">
        <v>3</v>
      </c>
      <c r="L789">
        <v>6.9</v>
      </c>
      <c r="M789">
        <v>1.68</v>
      </c>
      <c r="N789">
        <v>1.83</v>
      </c>
      <c r="O789">
        <v>1.91</v>
      </c>
      <c r="P789" t="s">
        <v>10</v>
      </c>
      <c r="Q789" t="s">
        <v>1</v>
      </c>
      <c r="R789" t="s">
        <v>0</v>
      </c>
      <c r="S789">
        <v>0</v>
      </c>
    </row>
    <row r="790" spans="1:19" x14ac:dyDescent="0.3">
      <c r="A790">
        <v>789</v>
      </c>
      <c r="B790">
        <v>20.8</v>
      </c>
      <c r="C790" t="s">
        <v>5</v>
      </c>
      <c r="D790">
        <v>25000</v>
      </c>
      <c r="E790" t="s">
        <v>4</v>
      </c>
      <c r="F790">
        <v>3.99</v>
      </c>
      <c r="G790">
        <v>95</v>
      </c>
      <c r="H790">
        <v>1</v>
      </c>
      <c r="I790">
        <v>27.8</v>
      </c>
      <c r="J790" t="s">
        <v>4</v>
      </c>
      <c r="K790" t="s">
        <v>3</v>
      </c>
      <c r="L790">
        <v>7.1</v>
      </c>
      <c r="M790">
        <v>1.69</v>
      </c>
      <c r="N790">
        <v>1.25</v>
      </c>
      <c r="O790">
        <v>1.25</v>
      </c>
      <c r="P790" t="s">
        <v>2</v>
      </c>
      <c r="Q790" t="s">
        <v>8</v>
      </c>
      <c r="R790" t="s">
        <v>15</v>
      </c>
      <c r="S790">
        <v>0</v>
      </c>
    </row>
    <row r="791" spans="1:19" x14ac:dyDescent="0.3">
      <c r="A791">
        <v>790</v>
      </c>
      <c r="B791">
        <v>17.3</v>
      </c>
      <c r="C791" t="s">
        <v>5</v>
      </c>
      <c r="D791">
        <v>25914</v>
      </c>
      <c r="E791" t="s">
        <v>4</v>
      </c>
      <c r="F791">
        <v>3.8</v>
      </c>
      <c r="G791">
        <v>99.7</v>
      </c>
      <c r="H791">
        <v>2</v>
      </c>
      <c r="I791">
        <v>24.8</v>
      </c>
      <c r="J791" t="s">
        <v>3</v>
      </c>
      <c r="K791" t="s">
        <v>3</v>
      </c>
      <c r="L791">
        <v>8.3000000000000007</v>
      </c>
      <c r="M791">
        <v>2.96</v>
      </c>
      <c r="N791">
        <v>2.6</v>
      </c>
      <c r="O791">
        <v>2.62</v>
      </c>
      <c r="P791" t="s">
        <v>12</v>
      </c>
      <c r="Q791" t="s">
        <v>6</v>
      </c>
      <c r="R791" t="s">
        <v>15</v>
      </c>
      <c r="S791">
        <v>0</v>
      </c>
    </row>
    <row r="792" spans="1:19" x14ac:dyDescent="0.3">
      <c r="A792">
        <v>791</v>
      </c>
      <c r="B792">
        <v>21.9</v>
      </c>
      <c r="C792" t="s">
        <v>11</v>
      </c>
      <c r="D792">
        <v>119421</v>
      </c>
      <c r="E792" t="s">
        <v>4</v>
      </c>
      <c r="F792">
        <v>4.58</v>
      </c>
      <c r="G792">
        <v>85.3</v>
      </c>
      <c r="H792">
        <v>0</v>
      </c>
      <c r="I792">
        <v>19.2</v>
      </c>
      <c r="J792" t="s">
        <v>4</v>
      </c>
      <c r="K792" t="s">
        <v>4</v>
      </c>
      <c r="L792">
        <v>5.6</v>
      </c>
      <c r="M792">
        <v>3.45</v>
      </c>
      <c r="N792">
        <v>3.51</v>
      </c>
      <c r="O792">
        <v>3.52</v>
      </c>
      <c r="P792" t="s">
        <v>12</v>
      </c>
      <c r="Q792" t="s">
        <v>6</v>
      </c>
      <c r="R792" t="s">
        <v>0</v>
      </c>
      <c r="S792">
        <v>0</v>
      </c>
    </row>
    <row r="793" spans="1:19" x14ac:dyDescent="0.3">
      <c r="A793">
        <v>792</v>
      </c>
      <c r="B793">
        <v>21.5</v>
      </c>
      <c r="C793" t="s">
        <v>5</v>
      </c>
      <c r="D793">
        <v>25000</v>
      </c>
      <c r="E793" t="s">
        <v>4</v>
      </c>
      <c r="F793">
        <v>3.8</v>
      </c>
      <c r="G793">
        <v>66.7</v>
      </c>
      <c r="H793">
        <v>3</v>
      </c>
      <c r="I793">
        <v>40</v>
      </c>
      <c r="J793" t="s">
        <v>3</v>
      </c>
      <c r="K793" t="s">
        <v>3</v>
      </c>
      <c r="L793">
        <v>3.5</v>
      </c>
      <c r="M793">
        <v>0.41</v>
      </c>
      <c r="N793">
        <v>0.03</v>
      </c>
      <c r="O793">
        <v>0.02</v>
      </c>
      <c r="P793" t="s">
        <v>12</v>
      </c>
      <c r="Q793" t="s">
        <v>6</v>
      </c>
      <c r="R793" t="s">
        <v>9</v>
      </c>
      <c r="S793">
        <v>1</v>
      </c>
    </row>
    <row r="794" spans="1:19" x14ac:dyDescent="0.3">
      <c r="A794">
        <v>793</v>
      </c>
      <c r="B794">
        <v>21.6</v>
      </c>
      <c r="C794" t="s">
        <v>11</v>
      </c>
      <c r="D794">
        <v>64299</v>
      </c>
      <c r="E794" t="s">
        <v>3</v>
      </c>
      <c r="F794">
        <v>3.35</v>
      </c>
      <c r="G794">
        <v>89</v>
      </c>
      <c r="H794">
        <v>4</v>
      </c>
      <c r="I794">
        <v>39</v>
      </c>
      <c r="J794" t="s">
        <v>4</v>
      </c>
      <c r="K794" t="s">
        <v>3</v>
      </c>
      <c r="L794">
        <v>7.5</v>
      </c>
      <c r="M794">
        <v>0.85</v>
      </c>
      <c r="N794">
        <v>0.84</v>
      </c>
      <c r="O794">
        <v>0.82</v>
      </c>
      <c r="P794" t="s">
        <v>10</v>
      </c>
      <c r="Q794" t="s">
        <v>1</v>
      </c>
      <c r="R794" t="s">
        <v>0</v>
      </c>
      <c r="S794">
        <v>0</v>
      </c>
    </row>
    <row r="795" spans="1:19" x14ac:dyDescent="0.3">
      <c r="A795">
        <v>794</v>
      </c>
      <c r="B795">
        <v>18.2</v>
      </c>
      <c r="C795" t="s">
        <v>5</v>
      </c>
      <c r="D795">
        <v>30724</v>
      </c>
      <c r="E795" t="s">
        <v>4</v>
      </c>
      <c r="F795">
        <v>1.95</v>
      </c>
      <c r="G795">
        <v>79.900000000000006</v>
      </c>
      <c r="H795">
        <v>3</v>
      </c>
      <c r="I795">
        <v>56.2</v>
      </c>
      <c r="J795" t="s">
        <v>3</v>
      </c>
      <c r="K795" t="s">
        <v>3</v>
      </c>
      <c r="L795">
        <v>5.6</v>
      </c>
      <c r="M795">
        <v>2.5499999999999998</v>
      </c>
      <c r="N795">
        <v>2.57</v>
      </c>
      <c r="O795">
        <v>2.52</v>
      </c>
      <c r="P795" t="s">
        <v>12</v>
      </c>
      <c r="Q795" t="s">
        <v>13</v>
      </c>
      <c r="R795" t="s">
        <v>9</v>
      </c>
      <c r="S795">
        <v>1</v>
      </c>
    </row>
    <row r="796" spans="1:19" x14ac:dyDescent="0.3">
      <c r="A796">
        <v>795</v>
      </c>
      <c r="B796">
        <v>18.600000000000001</v>
      </c>
      <c r="C796" t="s">
        <v>5</v>
      </c>
      <c r="E796" t="s">
        <v>4</v>
      </c>
      <c r="G796">
        <v>68.5</v>
      </c>
      <c r="H796">
        <v>3</v>
      </c>
      <c r="I796">
        <v>32.1</v>
      </c>
      <c r="J796" t="s">
        <v>4</v>
      </c>
      <c r="K796" t="s">
        <v>3</v>
      </c>
      <c r="M796">
        <v>4</v>
      </c>
      <c r="N796">
        <v>3.41</v>
      </c>
      <c r="O796">
        <v>3.45</v>
      </c>
      <c r="P796" t="s">
        <v>12</v>
      </c>
      <c r="Q796" t="s">
        <v>6</v>
      </c>
      <c r="R796" t="s">
        <v>9</v>
      </c>
      <c r="S796">
        <v>0</v>
      </c>
    </row>
    <row r="797" spans="1:19" x14ac:dyDescent="0.3">
      <c r="A797">
        <v>796</v>
      </c>
      <c r="B797">
        <v>23.3</v>
      </c>
      <c r="C797" t="s">
        <v>11</v>
      </c>
      <c r="E797" t="s">
        <v>4</v>
      </c>
      <c r="G797">
        <v>87.5</v>
      </c>
      <c r="H797">
        <v>2</v>
      </c>
      <c r="I797">
        <v>28.8</v>
      </c>
      <c r="J797" t="s">
        <v>4</v>
      </c>
      <c r="K797" t="s">
        <v>4</v>
      </c>
      <c r="M797">
        <v>2.2799999999999998</v>
      </c>
      <c r="N797">
        <v>2.33</v>
      </c>
      <c r="O797">
        <v>2.21</v>
      </c>
      <c r="P797" t="s">
        <v>7</v>
      </c>
      <c r="Q797" t="s">
        <v>14</v>
      </c>
      <c r="R797" t="s">
        <v>9</v>
      </c>
      <c r="S797">
        <v>0</v>
      </c>
    </row>
    <row r="798" spans="1:19" x14ac:dyDescent="0.3">
      <c r="A798">
        <v>797</v>
      </c>
      <c r="B798">
        <v>20.9</v>
      </c>
      <c r="C798" t="s">
        <v>11</v>
      </c>
      <c r="D798">
        <v>32332</v>
      </c>
      <c r="E798" t="s">
        <v>4</v>
      </c>
      <c r="F798">
        <v>4.08</v>
      </c>
      <c r="G798">
        <v>85.5</v>
      </c>
      <c r="H798">
        <v>1</v>
      </c>
      <c r="I798">
        <v>35.6</v>
      </c>
      <c r="J798" t="s">
        <v>3</v>
      </c>
      <c r="K798" t="s">
        <v>4</v>
      </c>
      <c r="L798">
        <v>8</v>
      </c>
      <c r="M798">
        <v>2.44</v>
      </c>
      <c r="N798">
        <v>2.44</v>
      </c>
      <c r="O798">
        <v>2.48</v>
      </c>
      <c r="P798" t="s">
        <v>7</v>
      </c>
      <c r="Q798" t="s">
        <v>14</v>
      </c>
      <c r="R798" t="s">
        <v>15</v>
      </c>
      <c r="S798">
        <v>0</v>
      </c>
    </row>
    <row r="799" spans="1:19" x14ac:dyDescent="0.3">
      <c r="A799">
        <v>798</v>
      </c>
      <c r="B799">
        <v>22.5</v>
      </c>
      <c r="C799" t="s">
        <v>11</v>
      </c>
      <c r="D799">
        <v>71114</v>
      </c>
      <c r="E799" t="s">
        <v>4</v>
      </c>
      <c r="F799">
        <v>3.91</v>
      </c>
      <c r="G799">
        <v>75.599999999999994</v>
      </c>
      <c r="H799">
        <v>0</v>
      </c>
      <c r="I799">
        <v>26.5</v>
      </c>
      <c r="J799" t="s">
        <v>3</v>
      </c>
      <c r="K799" t="s">
        <v>4</v>
      </c>
      <c r="L799">
        <v>6.2</v>
      </c>
      <c r="M799">
        <v>1.56</v>
      </c>
      <c r="N799">
        <v>1.21</v>
      </c>
      <c r="O799">
        <v>1.28</v>
      </c>
      <c r="P799" t="s">
        <v>10</v>
      </c>
      <c r="Q799" t="s">
        <v>6</v>
      </c>
      <c r="R799" t="s">
        <v>9</v>
      </c>
      <c r="S799">
        <v>0</v>
      </c>
    </row>
    <row r="800" spans="1:19" x14ac:dyDescent="0.3">
      <c r="A800">
        <v>799</v>
      </c>
      <c r="B800">
        <v>21.1</v>
      </c>
      <c r="C800" t="s">
        <v>11</v>
      </c>
      <c r="D800">
        <v>25000</v>
      </c>
      <c r="E800" t="s">
        <v>4</v>
      </c>
      <c r="F800">
        <v>5.93</v>
      </c>
      <c r="G800">
        <v>72.5</v>
      </c>
      <c r="H800">
        <v>2</v>
      </c>
      <c r="I800">
        <v>19.399999999999999</v>
      </c>
      <c r="J800" t="s">
        <v>3</v>
      </c>
      <c r="K800" t="s">
        <v>3</v>
      </c>
      <c r="L800">
        <v>8.1</v>
      </c>
      <c r="M800">
        <v>1.19</v>
      </c>
      <c r="N800">
        <v>1.29</v>
      </c>
      <c r="O800">
        <v>1.32</v>
      </c>
      <c r="P800" t="s">
        <v>10</v>
      </c>
      <c r="Q800" t="s">
        <v>14</v>
      </c>
      <c r="R800" t="s">
        <v>17</v>
      </c>
      <c r="S800">
        <v>1</v>
      </c>
    </row>
    <row r="801" spans="1:19" x14ac:dyDescent="0.3">
      <c r="A801">
        <v>800</v>
      </c>
      <c r="B801">
        <v>21.1</v>
      </c>
      <c r="C801" t="s">
        <v>11</v>
      </c>
      <c r="E801" t="s">
        <v>4</v>
      </c>
      <c r="G801">
        <v>78.2</v>
      </c>
      <c r="H801">
        <v>2</v>
      </c>
      <c r="I801">
        <v>31.1</v>
      </c>
      <c r="J801" t="s">
        <v>3</v>
      </c>
      <c r="K801" t="s">
        <v>3</v>
      </c>
      <c r="M801">
        <v>1.17</v>
      </c>
      <c r="N801">
        <v>0.78</v>
      </c>
      <c r="O801">
        <v>0.84</v>
      </c>
      <c r="P801" t="s">
        <v>7</v>
      </c>
      <c r="Q801" t="s">
        <v>6</v>
      </c>
      <c r="R801" t="s">
        <v>15</v>
      </c>
      <c r="S801">
        <v>0</v>
      </c>
    </row>
    <row r="802" spans="1:19" x14ac:dyDescent="0.3">
      <c r="A802">
        <v>801</v>
      </c>
      <c r="B802">
        <v>23.1</v>
      </c>
      <c r="C802" t="s">
        <v>5</v>
      </c>
      <c r="D802">
        <v>54515</v>
      </c>
      <c r="E802" t="s">
        <v>4</v>
      </c>
      <c r="F802">
        <v>5.39</v>
      </c>
      <c r="G802">
        <v>86</v>
      </c>
      <c r="H802">
        <v>2</v>
      </c>
      <c r="I802">
        <v>35.5</v>
      </c>
      <c r="J802" t="s">
        <v>3</v>
      </c>
      <c r="K802" t="s">
        <v>3</v>
      </c>
      <c r="L802">
        <v>4.2</v>
      </c>
      <c r="M802">
        <v>2.5299999999999998</v>
      </c>
      <c r="N802">
        <v>2.39</v>
      </c>
      <c r="O802">
        <v>2.39</v>
      </c>
      <c r="P802" t="s">
        <v>2</v>
      </c>
      <c r="Q802" t="s">
        <v>14</v>
      </c>
      <c r="R802" t="s">
        <v>15</v>
      </c>
      <c r="S802">
        <v>0</v>
      </c>
    </row>
    <row r="803" spans="1:19" x14ac:dyDescent="0.3">
      <c r="A803">
        <v>802</v>
      </c>
      <c r="B803">
        <v>19.899999999999999</v>
      </c>
      <c r="C803" t="s">
        <v>5</v>
      </c>
      <c r="D803">
        <v>36480</v>
      </c>
      <c r="E803" t="s">
        <v>3</v>
      </c>
      <c r="F803">
        <v>4.4400000000000004</v>
      </c>
      <c r="G803">
        <v>75.7</v>
      </c>
      <c r="H803">
        <v>2</v>
      </c>
      <c r="I803">
        <v>36.299999999999997</v>
      </c>
      <c r="J803" t="s">
        <v>3</v>
      </c>
      <c r="K803" t="s">
        <v>3</v>
      </c>
      <c r="L803">
        <v>7</v>
      </c>
      <c r="M803">
        <v>2.75</v>
      </c>
      <c r="N803">
        <v>2.2599999999999998</v>
      </c>
      <c r="O803">
        <v>2.36</v>
      </c>
      <c r="P803" t="s">
        <v>12</v>
      </c>
      <c r="Q803" t="s">
        <v>14</v>
      </c>
      <c r="R803" t="s">
        <v>15</v>
      </c>
      <c r="S803">
        <v>1</v>
      </c>
    </row>
    <row r="804" spans="1:19" x14ac:dyDescent="0.3">
      <c r="A804">
        <v>803</v>
      </c>
      <c r="B804">
        <v>21.2</v>
      </c>
      <c r="C804" t="s">
        <v>5</v>
      </c>
      <c r="D804">
        <v>25000</v>
      </c>
      <c r="E804" t="s">
        <v>4</v>
      </c>
      <c r="F804">
        <v>4.13</v>
      </c>
      <c r="G804">
        <v>87.3</v>
      </c>
      <c r="H804">
        <v>5</v>
      </c>
      <c r="I804">
        <v>35.299999999999997</v>
      </c>
      <c r="J804" t="s">
        <v>3</v>
      </c>
      <c r="K804" t="s">
        <v>3</v>
      </c>
      <c r="L804">
        <v>4.9000000000000004</v>
      </c>
      <c r="M804">
        <v>3.39</v>
      </c>
      <c r="N804">
        <v>3.23</v>
      </c>
      <c r="O804">
        <v>3.23</v>
      </c>
      <c r="P804" t="s">
        <v>2</v>
      </c>
      <c r="Q804" t="s">
        <v>14</v>
      </c>
      <c r="R804" t="s">
        <v>15</v>
      </c>
      <c r="S804">
        <v>0</v>
      </c>
    </row>
    <row r="805" spans="1:19" x14ac:dyDescent="0.3">
      <c r="A805">
        <v>804</v>
      </c>
      <c r="B805">
        <v>20</v>
      </c>
      <c r="C805" t="s">
        <v>11</v>
      </c>
      <c r="D805">
        <v>31550</v>
      </c>
      <c r="E805" t="s">
        <v>4</v>
      </c>
      <c r="F805">
        <v>2.63</v>
      </c>
      <c r="G805">
        <v>78.599999999999994</v>
      </c>
      <c r="H805">
        <v>0</v>
      </c>
      <c r="I805">
        <v>42.8</v>
      </c>
      <c r="J805" t="s">
        <v>3</v>
      </c>
      <c r="K805" t="s">
        <v>3</v>
      </c>
      <c r="L805">
        <v>7.7</v>
      </c>
      <c r="M805">
        <v>1.67</v>
      </c>
      <c r="N805">
        <v>1.85</v>
      </c>
      <c r="O805">
        <v>1.85</v>
      </c>
      <c r="P805" t="s">
        <v>2</v>
      </c>
      <c r="Q805" t="s">
        <v>8</v>
      </c>
      <c r="R805" t="s">
        <v>0</v>
      </c>
      <c r="S805">
        <v>0</v>
      </c>
    </row>
    <row r="806" spans="1:19" x14ac:dyDescent="0.3">
      <c r="A806">
        <v>805</v>
      </c>
      <c r="B806">
        <v>20</v>
      </c>
      <c r="C806" t="s">
        <v>5</v>
      </c>
      <c r="D806">
        <v>73669</v>
      </c>
      <c r="E806" t="s">
        <v>3</v>
      </c>
      <c r="F806">
        <v>1.52</v>
      </c>
      <c r="G806">
        <v>86.4</v>
      </c>
      <c r="H806">
        <v>5</v>
      </c>
      <c r="I806">
        <v>36.200000000000003</v>
      </c>
      <c r="J806" t="s">
        <v>3</v>
      </c>
      <c r="K806" t="s">
        <v>3</v>
      </c>
      <c r="L806">
        <v>5.8</v>
      </c>
      <c r="M806">
        <v>1.51</v>
      </c>
      <c r="N806">
        <v>1.73</v>
      </c>
      <c r="O806">
        <v>1.78</v>
      </c>
      <c r="P806" t="s">
        <v>12</v>
      </c>
      <c r="Q806" t="s">
        <v>8</v>
      </c>
      <c r="R806" t="s">
        <v>9</v>
      </c>
      <c r="S806">
        <v>1</v>
      </c>
    </row>
    <row r="807" spans="1:19" x14ac:dyDescent="0.3">
      <c r="A807">
        <v>806</v>
      </c>
      <c r="B807">
        <v>20.3</v>
      </c>
      <c r="C807" t="s">
        <v>5</v>
      </c>
      <c r="D807">
        <v>29081</v>
      </c>
      <c r="E807" t="s">
        <v>3</v>
      </c>
      <c r="F807">
        <v>5.78</v>
      </c>
      <c r="G807">
        <v>84.5</v>
      </c>
      <c r="H807">
        <v>2</v>
      </c>
      <c r="I807">
        <v>33.200000000000003</v>
      </c>
      <c r="J807" t="s">
        <v>3</v>
      </c>
      <c r="K807" t="s">
        <v>3</v>
      </c>
      <c r="L807">
        <v>7.7</v>
      </c>
      <c r="M807">
        <v>2.23</v>
      </c>
      <c r="N807">
        <v>2.62</v>
      </c>
      <c r="O807">
        <v>2.62</v>
      </c>
      <c r="P807" t="s">
        <v>2</v>
      </c>
      <c r="Q807" t="s">
        <v>13</v>
      </c>
      <c r="R807" t="s">
        <v>15</v>
      </c>
      <c r="S807">
        <v>0</v>
      </c>
    </row>
    <row r="808" spans="1:19" x14ac:dyDescent="0.3">
      <c r="A808">
        <v>807</v>
      </c>
      <c r="B808">
        <v>21.5</v>
      </c>
      <c r="C808" t="s">
        <v>5</v>
      </c>
      <c r="D808">
        <v>25000</v>
      </c>
      <c r="E808" t="s">
        <v>3</v>
      </c>
      <c r="F808">
        <v>4.1500000000000004</v>
      </c>
      <c r="G808">
        <v>61.5</v>
      </c>
      <c r="H808">
        <v>1</v>
      </c>
      <c r="I808">
        <v>14.8</v>
      </c>
      <c r="J808" t="s">
        <v>3</v>
      </c>
      <c r="K808" t="s">
        <v>3</v>
      </c>
      <c r="L808">
        <v>6.6</v>
      </c>
      <c r="M808">
        <v>2.06</v>
      </c>
      <c r="N808">
        <v>1.89</v>
      </c>
      <c r="O808">
        <v>1.95</v>
      </c>
      <c r="P808" t="s">
        <v>10</v>
      </c>
      <c r="Q808" t="s">
        <v>8</v>
      </c>
      <c r="R808" t="s">
        <v>15</v>
      </c>
      <c r="S808">
        <v>0</v>
      </c>
    </row>
    <row r="809" spans="1:19" x14ac:dyDescent="0.3">
      <c r="A809">
        <v>808</v>
      </c>
      <c r="B809">
        <v>19.899999999999999</v>
      </c>
      <c r="C809" t="s">
        <v>5</v>
      </c>
      <c r="D809">
        <v>37531</v>
      </c>
      <c r="E809" t="s">
        <v>4</v>
      </c>
      <c r="F809">
        <v>8.41</v>
      </c>
      <c r="G809">
        <v>82.9</v>
      </c>
      <c r="H809">
        <v>0</v>
      </c>
      <c r="I809">
        <v>33</v>
      </c>
      <c r="J809" t="s">
        <v>3</v>
      </c>
      <c r="K809" t="s">
        <v>3</v>
      </c>
      <c r="L809">
        <v>3.9</v>
      </c>
      <c r="M809">
        <v>2.6</v>
      </c>
      <c r="N809">
        <v>3.27</v>
      </c>
      <c r="O809">
        <v>3.26</v>
      </c>
      <c r="P809" t="s">
        <v>10</v>
      </c>
      <c r="Q809" t="s">
        <v>6</v>
      </c>
      <c r="R809" t="s">
        <v>0</v>
      </c>
      <c r="S809">
        <v>0</v>
      </c>
    </row>
    <row r="810" spans="1:19" x14ac:dyDescent="0.3">
      <c r="A810">
        <v>809</v>
      </c>
      <c r="B810">
        <v>23.8</v>
      </c>
      <c r="C810" t="s">
        <v>5</v>
      </c>
      <c r="D810">
        <v>26395</v>
      </c>
      <c r="E810" t="s">
        <v>4</v>
      </c>
      <c r="F810">
        <v>3.24</v>
      </c>
      <c r="G810">
        <v>80.7</v>
      </c>
      <c r="H810">
        <v>4</v>
      </c>
      <c r="I810">
        <v>27.9</v>
      </c>
      <c r="J810" t="s">
        <v>4</v>
      </c>
      <c r="K810" t="s">
        <v>4</v>
      </c>
      <c r="L810">
        <v>1.9</v>
      </c>
      <c r="M810">
        <v>3.84</v>
      </c>
      <c r="N810">
        <v>3.98</v>
      </c>
      <c r="O810">
        <v>4</v>
      </c>
      <c r="P810" t="s">
        <v>10</v>
      </c>
      <c r="Q810" t="s">
        <v>13</v>
      </c>
      <c r="R810" t="s">
        <v>9</v>
      </c>
      <c r="S810">
        <v>0</v>
      </c>
    </row>
    <row r="811" spans="1:19" x14ac:dyDescent="0.3">
      <c r="A811">
        <v>810</v>
      </c>
      <c r="B811">
        <v>19</v>
      </c>
      <c r="C811" t="s">
        <v>11</v>
      </c>
      <c r="D811">
        <v>25000</v>
      </c>
      <c r="E811" t="s">
        <v>4</v>
      </c>
      <c r="F811">
        <v>4.5599999999999996</v>
      </c>
      <c r="G811">
        <v>76.099999999999994</v>
      </c>
      <c r="H811">
        <v>3</v>
      </c>
      <c r="I811">
        <v>16.5</v>
      </c>
      <c r="J811" t="s">
        <v>3</v>
      </c>
      <c r="K811" t="s">
        <v>3</v>
      </c>
      <c r="L811">
        <v>6.9</v>
      </c>
      <c r="M811">
        <v>1.95</v>
      </c>
      <c r="N811">
        <v>2.68</v>
      </c>
      <c r="O811">
        <v>2.69</v>
      </c>
      <c r="P811" t="s">
        <v>7</v>
      </c>
      <c r="Q811" t="s">
        <v>13</v>
      </c>
      <c r="R811" t="s">
        <v>0</v>
      </c>
      <c r="S811">
        <v>0</v>
      </c>
    </row>
    <row r="812" spans="1:19" x14ac:dyDescent="0.3">
      <c r="A812">
        <v>811</v>
      </c>
      <c r="B812">
        <v>20.6</v>
      </c>
      <c r="C812" t="s">
        <v>5</v>
      </c>
      <c r="D812">
        <v>25000</v>
      </c>
      <c r="E812" t="s">
        <v>4</v>
      </c>
      <c r="F812">
        <v>5.33</v>
      </c>
      <c r="G812">
        <v>71.900000000000006</v>
      </c>
      <c r="H812">
        <v>0</v>
      </c>
      <c r="I812">
        <v>36</v>
      </c>
      <c r="J812" t="s">
        <v>4</v>
      </c>
      <c r="K812" t="s">
        <v>3</v>
      </c>
      <c r="L812">
        <v>6.5</v>
      </c>
      <c r="M812">
        <v>1.41</v>
      </c>
      <c r="N812">
        <v>1.69</v>
      </c>
      <c r="O812">
        <v>1.7</v>
      </c>
      <c r="P812" t="s">
        <v>7</v>
      </c>
      <c r="Q812" t="s">
        <v>14</v>
      </c>
      <c r="R812" t="s">
        <v>0</v>
      </c>
      <c r="S812">
        <v>0</v>
      </c>
    </row>
    <row r="813" spans="1:19" x14ac:dyDescent="0.3">
      <c r="A813">
        <v>812</v>
      </c>
      <c r="B813">
        <v>20</v>
      </c>
      <c r="C813" t="s">
        <v>11</v>
      </c>
      <c r="D813">
        <v>53373</v>
      </c>
      <c r="E813" t="s">
        <v>4</v>
      </c>
      <c r="F813">
        <v>3.15</v>
      </c>
      <c r="G813">
        <v>80.3</v>
      </c>
      <c r="H813">
        <v>0</v>
      </c>
      <c r="I813">
        <v>36.200000000000003</v>
      </c>
      <c r="J813" t="s">
        <v>4</v>
      </c>
      <c r="K813" t="s">
        <v>3</v>
      </c>
      <c r="L813">
        <v>3.7</v>
      </c>
      <c r="M813">
        <v>1.45</v>
      </c>
      <c r="N813">
        <v>1.1499999999999999</v>
      </c>
      <c r="O813">
        <v>1.1000000000000001</v>
      </c>
      <c r="P813" t="s">
        <v>10</v>
      </c>
      <c r="Q813" t="s">
        <v>1</v>
      </c>
      <c r="R813" t="s">
        <v>0</v>
      </c>
      <c r="S813">
        <v>0</v>
      </c>
    </row>
    <row r="814" spans="1:19" x14ac:dyDescent="0.3">
      <c r="A814">
        <v>813</v>
      </c>
      <c r="B814">
        <v>24.2</v>
      </c>
      <c r="C814" t="s">
        <v>11</v>
      </c>
      <c r="D814">
        <v>25000</v>
      </c>
      <c r="E814" t="s">
        <v>4</v>
      </c>
      <c r="F814">
        <v>3.65</v>
      </c>
      <c r="G814">
        <v>79.2</v>
      </c>
      <c r="H814">
        <v>2</v>
      </c>
      <c r="I814">
        <v>35.1</v>
      </c>
      <c r="J814" t="s">
        <v>3</v>
      </c>
      <c r="K814" t="s">
        <v>3</v>
      </c>
      <c r="L814">
        <v>6.9</v>
      </c>
      <c r="M814">
        <v>1.72</v>
      </c>
      <c r="N814">
        <v>1.93</v>
      </c>
      <c r="O814">
        <v>1.94</v>
      </c>
      <c r="P814" t="s">
        <v>7</v>
      </c>
      <c r="Q814" t="s">
        <v>1</v>
      </c>
      <c r="R814" t="s">
        <v>9</v>
      </c>
      <c r="S814">
        <v>1</v>
      </c>
    </row>
    <row r="815" spans="1:19" x14ac:dyDescent="0.3">
      <c r="A815">
        <v>814</v>
      </c>
      <c r="B815">
        <v>21.4</v>
      </c>
      <c r="C815" t="s">
        <v>5</v>
      </c>
      <c r="D815">
        <v>25000</v>
      </c>
      <c r="E815" t="s">
        <v>4</v>
      </c>
      <c r="F815">
        <v>3.75</v>
      </c>
      <c r="G815">
        <v>87.2</v>
      </c>
      <c r="H815">
        <v>2</v>
      </c>
      <c r="I815">
        <v>36.700000000000003</v>
      </c>
      <c r="J815" t="s">
        <v>3</v>
      </c>
      <c r="K815" t="s">
        <v>3</v>
      </c>
      <c r="L815">
        <v>8</v>
      </c>
      <c r="M815">
        <v>3.2</v>
      </c>
      <c r="N815">
        <v>3.54</v>
      </c>
      <c r="O815">
        <v>3.54</v>
      </c>
      <c r="P815" t="s">
        <v>2</v>
      </c>
      <c r="Q815" t="s">
        <v>1</v>
      </c>
      <c r="R815" t="s">
        <v>15</v>
      </c>
      <c r="S815">
        <v>0</v>
      </c>
    </row>
    <row r="816" spans="1:19" x14ac:dyDescent="0.3">
      <c r="A816">
        <v>815</v>
      </c>
      <c r="B816">
        <v>23.3</v>
      </c>
      <c r="C816" t="s">
        <v>11</v>
      </c>
      <c r="D816">
        <v>29104</v>
      </c>
      <c r="E816" t="s">
        <v>3</v>
      </c>
      <c r="F816">
        <v>3.47</v>
      </c>
      <c r="G816">
        <v>80.8</v>
      </c>
      <c r="H816">
        <v>2</v>
      </c>
      <c r="I816">
        <v>31.5</v>
      </c>
      <c r="J816" t="s">
        <v>3</v>
      </c>
      <c r="K816" t="s">
        <v>3</v>
      </c>
      <c r="L816">
        <v>4.2</v>
      </c>
      <c r="M816">
        <v>3.39</v>
      </c>
      <c r="N816">
        <v>3</v>
      </c>
      <c r="O816">
        <v>3</v>
      </c>
      <c r="P816" t="s">
        <v>2</v>
      </c>
      <c r="Q816" t="s">
        <v>14</v>
      </c>
      <c r="R816" t="s">
        <v>9</v>
      </c>
      <c r="S816">
        <v>0</v>
      </c>
    </row>
    <row r="817" spans="1:19" x14ac:dyDescent="0.3">
      <c r="A817">
        <v>816</v>
      </c>
      <c r="B817">
        <v>17.7</v>
      </c>
      <c r="C817" t="s">
        <v>5</v>
      </c>
      <c r="D817">
        <v>25000</v>
      </c>
      <c r="E817" t="s">
        <v>3</v>
      </c>
      <c r="F817">
        <v>4.5199999999999996</v>
      </c>
      <c r="G817">
        <v>82.7</v>
      </c>
      <c r="H817">
        <v>2</v>
      </c>
      <c r="I817">
        <v>27</v>
      </c>
      <c r="J817" t="s">
        <v>3</v>
      </c>
      <c r="K817" t="s">
        <v>3</v>
      </c>
      <c r="L817">
        <v>2</v>
      </c>
      <c r="M817">
        <v>3.4</v>
      </c>
      <c r="N817">
        <v>3.51</v>
      </c>
      <c r="O817">
        <v>3.52</v>
      </c>
      <c r="P817" t="s">
        <v>7</v>
      </c>
      <c r="Q817" t="s">
        <v>8</v>
      </c>
      <c r="R817" t="s">
        <v>15</v>
      </c>
      <c r="S817">
        <v>0</v>
      </c>
    </row>
    <row r="818" spans="1:19" x14ac:dyDescent="0.3">
      <c r="A818">
        <v>817</v>
      </c>
      <c r="B818">
        <v>21.6</v>
      </c>
      <c r="C818" t="s">
        <v>11</v>
      </c>
      <c r="D818">
        <v>31572</v>
      </c>
      <c r="E818" t="s">
        <v>4</v>
      </c>
      <c r="F818">
        <v>4.07</v>
      </c>
      <c r="G818">
        <v>84.6</v>
      </c>
      <c r="H818">
        <v>3</v>
      </c>
      <c r="I818">
        <v>51.2</v>
      </c>
      <c r="J818" t="s">
        <v>4</v>
      </c>
      <c r="K818" t="s">
        <v>3</v>
      </c>
      <c r="L818">
        <v>7.2</v>
      </c>
      <c r="M818">
        <v>1.69</v>
      </c>
      <c r="N818">
        <v>1.91</v>
      </c>
      <c r="O818">
        <v>1.92</v>
      </c>
      <c r="P818" t="s">
        <v>7</v>
      </c>
      <c r="Q818" t="s">
        <v>6</v>
      </c>
      <c r="R818" t="s">
        <v>15</v>
      </c>
      <c r="S818">
        <v>1</v>
      </c>
    </row>
    <row r="819" spans="1:19" x14ac:dyDescent="0.3">
      <c r="A819">
        <v>818</v>
      </c>
      <c r="B819">
        <v>23</v>
      </c>
      <c r="C819" t="s">
        <v>11</v>
      </c>
      <c r="D819">
        <v>26327</v>
      </c>
      <c r="E819" t="s">
        <v>4</v>
      </c>
      <c r="F819">
        <v>1.35</v>
      </c>
      <c r="G819">
        <v>78.3</v>
      </c>
      <c r="H819">
        <v>2</v>
      </c>
      <c r="I819">
        <v>31.8</v>
      </c>
      <c r="J819" t="s">
        <v>4</v>
      </c>
      <c r="K819" t="s">
        <v>3</v>
      </c>
      <c r="L819">
        <v>7.8</v>
      </c>
      <c r="M819">
        <v>0.96</v>
      </c>
      <c r="N819">
        <v>1.44</v>
      </c>
      <c r="O819">
        <v>1.46</v>
      </c>
      <c r="P819" t="s">
        <v>12</v>
      </c>
      <c r="Q819" t="s">
        <v>1</v>
      </c>
      <c r="R819" t="s">
        <v>9</v>
      </c>
      <c r="S819">
        <v>1</v>
      </c>
    </row>
    <row r="820" spans="1:19" x14ac:dyDescent="0.3">
      <c r="A820">
        <v>819</v>
      </c>
      <c r="B820">
        <v>21.2</v>
      </c>
      <c r="C820" t="s">
        <v>11</v>
      </c>
      <c r="D820">
        <v>25000</v>
      </c>
      <c r="E820" t="s">
        <v>4</v>
      </c>
      <c r="F820">
        <v>4.1399999999999997</v>
      </c>
      <c r="G820">
        <v>74</v>
      </c>
      <c r="H820">
        <v>3</v>
      </c>
      <c r="I820">
        <v>5</v>
      </c>
      <c r="J820" t="s">
        <v>4</v>
      </c>
      <c r="K820" t="s">
        <v>3</v>
      </c>
      <c r="L820">
        <v>4.2</v>
      </c>
      <c r="M820">
        <v>1.6</v>
      </c>
      <c r="N820">
        <v>2.62</v>
      </c>
      <c r="O820">
        <v>2.64</v>
      </c>
      <c r="P820" t="s">
        <v>7</v>
      </c>
      <c r="Q820" t="s">
        <v>8</v>
      </c>
      <c r="R820" t="s">
        <v>0</v>
      </c>
      <c r="S820">
        <v>0</v>
      </c>
    </row>
    <row r="821" spans="1:19" x14ac:dyDescent="0.3">
      <c r="A821">
        <v>820</v>
      </c>
      <c r="B821">
        <v>23.3</v>
      </c>
      <c r="C821" t="s">
        <v>11</v>
      </c>
      <c r="D821">
        <v>25000</v>
      </c>
      <c r="E821" t="s">
        <v>4</v>
      </c>
      <c r="F821">
        <v>4.49</v>
      </c>
      <c r="G821">
        <v>99.7</v>
      </c>
      <c r="H821">
        <v>0</v>
      </c>
      <c r="I821">
        <v>5</v>
      </c>
      <c r="J821" t="s">
        <v>4</v>
      </c>
      <c r="K821" t="s">
        <v>3</v>
      </c>
      <c r="L821">
        <v>6.9</v>
      </c>
      <c r="M821">
        <v>4</v>
      </c>
      <c r="N821">
        <v>4</v>
      </c>
      <c r="O821">
        <v>4</v>
      </c>
      <c r="P821" t="s">
        <v>2</v>
      </c>
      <c r="Q821" t="s">
        <v>6</v>
      </c>
      <c r="R821" t="s">
        <v>9</v>
      </c>
      <c r="S821">
        <v>0</v>
      </c>
    </row>
    <row r="822" spans="1:19" x14ac:dyDescent="0.3">
      <c r="A822">
        <v>821</v>
      </c>
      <c r="B822">
        <v>19.899999999999999</v>
      </c>
      <c r="C822" t="s">
        <v>5</v>
      </c>
      <c r="D822">
        <v>38780</v>
      </c>
      <c r="E822" t="s">
        <v>4</v>
      </c>
      <c r="F822">
        <v>3.95</v>
      </c>
      <c r="G822">
        <v>81.400000000000006</v>
      </c>
      <c r="H822">
        <v>1</v>
      </c>
      <c r="I822">
        <v>44.5</v>
      </c>
      <c r="J822" t="s">
        <v>3</v>
      </c>
      <c r="K822" t="s">
        <v>3</v>
      </c>
      <c r="L822">
        <v>6.1</v>
      </c>
      <c r="M822">
        <v>0.71</v>
      </c>
      <c r="N822">
        <v>0.62</v>
      </c>
      <c r="O822">
        <v>0.67</v>
      </c>
      <c r="P822" t="s">
        <v>12</v>
      </c>
      <c r="Q822" t="s">
        <v>13</v>
      </c>
      <c r="R822" t="s">
        <v>15</v>
      </c>
      <c r="S822">
        <v>1</v>
      </c>
    </row>
    <row r="823" spans="1:19" x14ac:dyDescent="0.3">
      <c r="A823">
        <v>822</v>
      </c>
      <c r="B823">
        <v>24.1</v>
      </c>
      <c r="C823" t="s">
        <v>5</v>
      </c>
      <c r="D823">
        <v>30490</v>
      </c>
      <c r="E823" t="s">
        <v>4</v>
      </c>
      <c r="F823">
        <v>6.14</v>
      </c>
      <c r="G823">
        <v>80.3</v>
      </c>
      <c r="H823">
        <v>1</v>
      </c>
      <c r="I823">
        <v>8</v>
      </c>
      <c r="J823" t="s">
        <v>3</v>
      </c>
      <c r="K823" t="s">
        <v>3</v>
      </c>
      <c r="L823">
        <v>5.3</v>
      </c>
      <c r="M823">
        <v>2.04</v>
      </c>
      <c r="N823">
        <v>1.63</v>
      </c>
      <c r="O823">
        <v>1.63</v>
      </c>
      <c r="P823" t="s">
        <v>10</v>
      </c>
      <c r="Q823" t="s">
        <v>8</v>
      </c>
      <c r="R823" t="s">
        <v>15</v>
      </c>
      <c r="S823">
        <v>0</v>
      </c>
    </row>
    <row r="824" spans="1:19" x14ac:dyDescent="0.3">
      <c r="A824">
        <v>823</v>
      </c>
      <c r="B824">
        <v>26.1</v>
      </c>
      <c r="C824" t="s">
        <v>11</v>
      </c>
      <c r="D824">
        <v>28306</v>
      </c>
      <c r="E824" t="s">
        <v>4</v>
      </c>
      <c r="F824">
        <v>4.45</v>
      </c>
      <c r="G824">
        <v>93.3</v>
      </c>
      <c r="H824">
        <v>2</v>
      </c>
      <c r="I824">
        <v>23.5</v>
      </c>
      <c r="J824" t="s">
        <v>4</v>
      </c>
      <c r="K824" t="s">
        <v>4</v>
      </c>
      <c r="L824">
        <v>6.5</v>
      </c>
      <c r="M824">
        <v>2.76</v>
      </c>
      <c r="N824">
        <v>2.62</v>
      </c>
      <c r="O824">
        <v>2.54</v>
      </c>
      <c r="P824" t="s">
        <v>12</v>
      </c>
      <c r="Q824" t="s">
        <v>14</v>
      </c>
      <c r="R824" t="s">
        <v>9</v>
      </c>
      <c r="S824">
        <v>1</v>
      </c>
    </row>
    <row r="825" spans="1:19" x14ac:dyDescent="0.3">
      <c r="A825">
        <v>824</v>
      </c>
      <c r="B825">
        <v>20.2</v>
      </c>
      <c r="C825" t="s">
        <v>5</v>
      </c>
      <c r="D825">
        <v>95076</v>
      </c>
      <c r="E825" t="s">
        <v>4</v>
      </c>
      <c r="F825">
        <v>4.03</v>
      </c>
      <c r="G825">
        <v>97.1</v>
      </c>
      <c r="H825">
        <v>1</v>
      </c>
      <c r="I825">
        <v>15.4</v>
      </c>
      <c r="J825" t="s">
        <v>4</v>
      </c>
      <c r="K825" t="s">
        <v>3</v>
      </c>
      <c r="L825">
        <v>4.5999999999999996</v>
      </c>
      <c r="M825">
        <v>2.98</v>
      </c>
      <c r="N825">
        <v>3.47</v>
      </c>
      <c r="O825">
        <v>3.47</v>
      </c>
      <c r="P825" t="s">
        <v>2</v>
      </c>
      <c r="Q825" t="s">
        <v>8</v>
      </c>
      <c r="R825" t="s">
        <v>15</v>
      </c>
      <c r="S825">
        <v>1</v>
      </c>
    </row>
    <row r="826" spans="1:19" x14ac:dyDescent="0.3">
      <c r="A826">
        <v>825</v>
      </c>
      <c r="B826">
        <v>20</v>
      </c>
      <c r="C826" t="s">
        <v>5</v>
      </c>
      <c r="D826">
        <v>46103</v>
      </c>
      <c r="E826" t="s">
        <v>4</v>
      </c>
      <c r="F826">
        <v>5.18</v>
      </c>
      <c r="G826">
        <v>93.6</v>
      </c>
      <c r="H826">
        <v>4</v>
      </c>
      <c r="I826">
        <v>26.4</v>
      </c>
      <c r="J826" t="s">
        <v>3</v>
      </c>
      <c r="K826" t="s">
        <v>4</v>
      </c>
      <c r="L826">
        <v>3.5</v>
      </c>
      <c r="M826">
        <v>4</v>
      </c>
      <c r="N826">
        <v>3.84</v>
      </c>
      <c r="O826">
        <v>3.82</v>
      </c>
      <c r="P826" t="s">
        <v>10</v>
      </c>
      <c r="Q826" t="s">
        <v>8</v>
      </c>
      <c r="R826" t="s">
        <v>0</v>
      </c>
      <c r="S826">
        <v>1</v>
      </c>
    </row>
    <row r="827" spans="1:19" x14ac:dyDescent="0.3">
      <c r="A827">
        <v>826</v>
      </c>
      <c r="B827">
        <v>24.2</v>
      </c>
      <c r="C827" t="s">
        <v>5</v>
      </c>
      <c r="D827">
        <v>49586</v>
      </c>
      <c r="E827" t="s">
        <v>4</v>
      </c>
      <c r="F827">
        <v>6.95</v>
      </c>
      <c r="G827">
        <v>78.900000000000006</v>
      </c>
      <c r="H827">
        <v>2</v>
      </c>
      <c r="I827">
        <v>34.6</v>
      </c>
      <c r="J827" t="s">
        <v>3</v>
      </c>
      <c r="K827" t="s">
        <v>3</v>
      </c>
      <c r="L827">
        <v>6.2</v>
      </c>
      <c r="M827">
        <v>4</v>
      </c>
      <c r="N827">
        <v>4</v>
      </c>
      <c r="O827">
        <v>4</v>
      </c>
      <c r="P827" t="s">
        <v>2</v>
      </c>
      <c r="Q827" t="s">
        <v>14</v>
      </c>
      <c r="R827" t="s">
        <v>15</v>
      </c>
      <c r="S827">
        <v>0</v>
      </c>
    </row>
    <row r="828" spans="1:19" x14ac:dyDescent="0.3">
      <c r="A828">
        <v>827</v>
      </c>
      <c r="B828">
        <v>24.5</v>
      </c>
      <c r="C828" t="s">
        <v>11</v>
      </c>
      <c r="D828">
        <v>26914</v>
      </c>
      <c r="E828" t="s">
        <v>4</v>
      </c>
      <c r="F828">
        <v>3.81</v>
      </c>
      <c r="G828">
        <v>84.8</v>
      </c>
      <c r="H828">
        <v>3</v>
      </c>
      <c r="I828">
        <v>22</v>
      </c>
      <c r="J828" t="s">
        <v>4</v>
      </c>
      <c r="K828" t="s">
        <v>3</v>
      </c>
      <c r="L828">
        <v>6</v>
      </c>
      <c r="M828">
        <v>2.35</v>
      </c>
      <c r="N828">
        <v>1.79</v>
      </c>
      <c r="O828">
        <v>1.79</v>
      </c>
      <c r="P828" t="s">
        <v>2</v>
      </c>
      <c r="Q828" t="s">
        <v>14</v>
      </c>
      <c r="R828" t="s">
        <v>15</v>
      </c>
      <c r="S828">
        <v>1</v>
      </c>
    </row>
    <row r="829" spans="1:19" x14ac:dyDescent="0.3">
      <c r="A829">
        <v>828</v>
      </c>
      <c r="B829">
        <v>19.8</v>
      </c>
      <c r="C829" t="s">
        <v>5</v>
      </c>
      <c r="D829">
        <v>33931</v>
      </c>
      <c r="E829" t="s">
        <v>4</v>
      </c>
      <c r="F829">
        <v>5.37</v>
      </c>
      <c r="G829">
        <v>86.7</v>
      </c>
      <c r="H829">
        <v>3</v>
      </c>
      <c r="I829">
        <v>20.2</v>
      </c>
      <c r="J829" t="s">
        <v>4</v>
      </c>
      <c r="K829" t="s">
        <v>4</v>
      </c>
      <c r="L829">
        <v>1</v>
      </c>
      <c r="M829">
        <v>4</v>
      </c>
      <c r="N829">
        <v>4</v>
      </c>
      <c r="O829">
        <v>3.97</v>
      </c>
      <c r="P829" t="s">
        <v>10</v>
      </c>
      <c r="Q829" t="s">
        <v>1</v>
      </c>
      <c r="R829" t="s">
        <v>9</v>
      </c>
      <c r="S829">
        <v>0</v>
      </c>
    </row>
    <row r="830" spans="1:19" x14ac:dyDescent="0.3">
      <c r="A830">
        <v>829</v>
      </c>
      <c r="B830">
        <v>20.100000000000001</v>
      </c>
      <c r="C830" t="s">
        <v>11</v>
      </c>
      <c r="D830">
        <v>25000</v>
      </c>
      <c r="E830" t="s">
        <v>3</v>
      </c>
      <c r="F830">
        <v>6.39</v>
      </c>
      <c r="G830">
        <v>99.9</v>
      </c>
      <c r="H830">
        <v>1</v>
      </c>
      <c r="I830">
        <v>38.799999999999997</v>
      </c>
      <c r="J830" t="s">
        <v>3</v>
      </c>
      <c r="K830" t="s">
        <v>3</v>
      </c>
      <c r="L830">
        <v>3.4</v>
      </c>
      <c r="M830">
        <v>4</v>
      </c>
      <c r="N830">
        <v>3.97</v>
      </c>
      <c r="O830">
        <v>4</v>
      </c>
      <c r="P830" t="s">
        <v>7</v>
      </c>
      <c r="Q830" t="s">
        <v>14</v>
      </c>
      <c r="R830" t="s">
        <v>15</v>
      </c>
      <c r="S830">
        <v>0</v>
      </c>
    </row>
    <row r="831" spans="1:19" x14ac:dyDescent="0.3">
      <c r="A831">
        <v>830</v>
      </c>
      <c r="B831">
        <v>20.399999999999999</v>
      </c>
      <c r="C831" t="s">
        <v>5</v>
      </c>
      <c r="D831">
        <v>47407</v>
      </c>
      <c r="E831" t="s">
        <v>4</v>
      </c>
      <c r="F831">
        <v>3.7</v>
      </c>
      <c r="G831">
        <v>85.4</v>
      </c>
      <c r="H831">
        <v>2</v>
      </c>
      <c r="I831">
        <v>61.6</v>
      </c>
      <c r="J831" t="s">
        <v>4</v>
      </c>
      <c r="K831" t="s">
        <v>3</v>
      </c>
      <c r="L831">
        <v>4.3</v>
      </c>
      <c r="M831">
        <v>2.5299999999999998</v>
      </c>
      <c r="N831">
        <v>2.78</v>
      </c>
      <c r="O831">
        <v>2.79</v>
      </c>
      <c r="P831" t="s">
        <v>12</v>
      </c>
      <c r="Q831" t="s">
        <v>1</v>
      </c>
      <c r="R831" t="s">
        <v>0</v>
      </c>
      <c r="S831">
        <v>0</v>
      </c>
    </row>
    <row r="832" spans="1:19" x14ac:dyDescent="0.3">
      <c r="A832">
        <v>831</v>
      </c>
      <c r="B832">
        <v>18</v>
      </c>
      <c r="C832" t="s">
        <v>5</v>
      </c>
      <c r="D832">
        <v>27827</v>
      </c>
      <c r="E832" t="s">
        <v>3</v>
      </c>
      <c r="F832">
        <v>2.48</v>
      </c>
      <c r="G832">
        <v>85.7</v>
      </c>
      <c r="H832">
        <v>2</v>
      </c>
      <c r="I832">
        <v>36.5</v>
      </c>
      <c r="J832" t="s">
        <v>3</v>
      </c>
      <c r="K832" t="s">
        <v>3</v>
      </c>
      <c r="L832">
        <v>6.4</v>
      </c>
      <c r="M832">
        <v>1.38</v>
      </c>
      <c r="N832">
        <v>1.36</v>
      </c>
      <c r="O832">
        <v>1.33</v>
      </c>
      <c r="P832" t="s">
        <v>10</v>
      </c>
      <c r="Q832" t="s">
        <v>1</v>
      </c>
      <c r="R832" t="s">
        <v>9</v>
      </c>
      <c r="S832">
        <v>0</v>
      </c>
    </row>
    <row r="833" spans="1:19" x14ac:dyDescent="0.3">
      <c r="A833">
        <v>832</v>
      </c>
      <c r="B833">
        <v>19</v>
      </c>
      <c r="C833" t="s">
        <v>11</v>
      </c>
      <c r="D833">
        <v>33977</v>
      </c>
      <c r="E833" t="s">
        <v>4</v>
      </c>
      <c r="F833">
        <v>4.57</v>
      </c>
      <c r="G833">
        <v>73.900000000000006</v>
      </c>
      <c r="H833">
        <v>0</v>
      </c>
      <c r="I833">
        <v>19</v>
      </c>
      <c r="J833" t="s">
        <v>3</v>
      </c>
      <c r="K833" t="s">
        <v>3</v>
      </c>
      <c r="L833">
        <v>2.8</v>
      </c>
      <c r="M833">
        <v>4</v>
      </c>
      <c r="N833">
        <v>3.86</v>
      </c>
      <c r="O833">
        <v>3.78</v>
      </c>
      <c r="P833" t="s">
        <v>12</v>
      </c>
      <c r="Q833" t="s">
        <v>14</v>
      </c>
      <c r="R833" t="s">
        <v>15</v>
      </c>
      <c r="S833">
        <v>0</v>
      </c>
    </row>
    <row r="834" spans="1:19" x14ac:dyDescent="0.3">
      <c r="A834">
        <v>833</v>
      </c>
      <c r="B834">
        <v>18.8</v>
      </c>
      <c r="C834" t="s">
        <v>5</v>
      </c>
      <c r="D834">
        <v>32740</v>
      </c>
      <c r="E834" t="s">
        <v>4</v>
      </c>
      <c r="F834">
        <v>5.75</v>
      </c>
      <c r="G834">
        <v>72</v>
      </c>
      <c r="H834">
        <v>2</v>
      </c>
      <c r="I834">
        <v>40.5</v>
      </c>
      <c r="J834" t="s">
        <v>3</v>
      </c>
      <c r="K834" t="s">
        <v>3</v>
      </c>
      <c r="L834">
        <v>4.9000000000000004</v>
      </c>
      <c r="M834">
        <v>3.83</v>
      </c>
      <c r="N834">
        <v>3.67</v>
      </c>
      <c r="O834">
        <v>3.63</v>
      </c>
      <c r="P834" t="s">
        <v>7</v>
      </c>
      <c r="Q834" t="s">
        <v>13</v>
      </c>
      <c r="R834" t="s">
        <v>9</v>
      </c>
      <c r="S834">
        <v>0</v>
      </c>
    </row>
    <row r="835" spans="1:19" x14ac:dyDescent="0.3">
      <c r="A835">
        <v>834</v>
      </c>
      <c r="B835">
        <v>19.3</v>
      </c>
      <c r="C835" t="s">
        <v>11</v>
      </c>
      <c r="D835">
        <v>29410</v>
      </c>
      <c r="E835" t="s">
        <v>4</v>
      </c>
      <c r="F835">
        <v>3.63</v>
      </c>
      <c r="G835">
        <v>92.8</v>
      </c>
      <c r="H835">
        <v>1</v>
      </c>
      <c r="I835">
        <v>50.9</v>
      </c>
      <c r="J835" t="s">
        <v>3</v>
      </c>
      <c r="K835" t="s">
        <v>3</v>
      </c>
      <c r="L835">
        <v>9</v>
      </c>
      <c r="M835">
        <v>2.87</v>
      </c>
      <c r="N835">
        <v>3.55</v>
      </c>
      <c r="O835">
        <v>3.56</v>
      </c>
      <c r="P835" t="s">
        <v>10</v>
      </c>
      <c r="Q835" t="s">
        <v>14</v>
      </c>
      <c r="R835" t="s">
        <v>9</v>
      </c>
      <c r="S835">
        <v>0</v>
      </c>
    </row>
    <row r="836" spans="1:19" x14ac:dyDescent="0.3">
      <c r="A836">
        <v>835</v>
      </c>
      <c r="B836">
        <v>20.9</v>
      </c>
      <c r="C836" t="s">
        <v>5</v>
      </c>
      <c r="D836">
        <v>173323</v>
      </c>
      <c r="E836" t="s">
        <v>4</v>
      </c>
      <c r="F836">
        <v>5.42</v>
      </c>
      <c r="G836">
        <v>84.8</v>
      </c>
      <c r="H836">
        <v>2</v>
      </c>
      <c r="I836">
        <v>42.8</v>
      </c>
      <c r="J836" t="s">
        <v>4</v>
      </c>
      <c r="K836" t="s">
        <v>3</v>
      </c>
      <c r="L836">
        <v>5.6</v>
      </c>
      <c r="M836">
        <v>3.87</v>
      </c>
      <c r="N836">
        <v>4</v>
      </c>
      <c r="O836">
        <v>3.83</v>
      </c>
      <c r="P836" t="s">
        <v>10</v>
      </c>
      <c r="Q836" t="s">
        <v>8</v>
      </c>
      <c r="R836" t="s">
        <v>0</v>
      </c>
      <c r="S836">
        <v>0</v>
      </c>
    </row>
    <row r="837" spans="1:19" x14ac:dyDescent="0.3">
      <c r="A837">
        <v>836</v>
      </c>
      <c r="B837">
        <v>21.5</v>
      </c>
      <c r="C837" t="s">
        <v>5</v>
      </c>
      <c r="D837">
        <v>25000</v>
      </c>
      <c r="E837" t="s">
        <v>4</v>
      </c>
      <c r="F837">
        <v>2.88</v>
      </c>
      <c r="G837">
        <v>85.6</v>
      </c>
      <c r="H837">
        <v>3</v>
      </c>
      <c r="I837">
        <v>11.5</v>
      </c>
      <c r="J837" t="s">
        <v>4</v>
      </c>
      <c r="K837" t="s">
        <v>3</v>
      </c>
      <c r="L837">
        <v>5.7</v>
      </c>
      <c r="M837">
        <v>0.48</v>
      </c>
      <c r="N837">
        <v>0.46</v>
      </c>
      <c r="O837">
        <v>0.46</v>
      </c>
      <c r="P837" t="s">
        <v>2</v>
      </c>
      <c r="Q837" t="s">
        <v>14</v>
      </c>
      <c r="R837" t="s">
        <v>0</v>
      </c>
      <c r="S837">
        <v>0</v>
      </c>
    </row>
    <row r="838" spans="1:19" x14ac:dyDescent="0.3">
      <c r="A838">
        <v>837</v>
      </c>
      <c r="B838">
        <v>24.4</v>
      </c>
      <c r="C838" t="s">
        <v>5</v>
      </c>
      <c r="D838">
        <v>25000</v>
      </c>
      <c r="E838" t="s">
        <v>4</v>
      </c>
      <c r="F838">
        <v>3.68</v>
      </c>
      <c r="G838">
        <v>90.6</v>
      </c>
      <c r="H838">
        <v>1</v>
      </c>
      <c r="I838">
        <v>36.299999999999997</v>
      </c>
      <c r="J838" t="s">
        <v>3</v>
      </c>
      <c r="K838" t="s">
        <v>3</v>
      </c>
      <c r="L838">
        <v>5.4</v>
      </c>
      <c r="M838">
        <v>1.52</v>
      </c>
      <c r="N838">
        <v>1.25</v>
      </c>
      <c r="O838">
        <v>1.28</v>
      </c>
      <c r="P838" t="s">
        <v>10</v>
      </c>
      <c r="Q838" t="s">
        <v>8</v>
      </c>
      <c r="R838" t="s">
        <v>0</v>
      </c>
      <c r="S838">
        <v>0</v>
      </c>
    </row>
    <row r="839" spans="1:19" x14ac:dyDescent="0.3">
      <c r="A839">
        <v>838</v>
      </c>
      <c r="B839">
        <v>18.8</v>
      </c>
      <c r="C839" t="s">
        <v>11</v>
      </c>
      <c r="D839">
        <v>45092</v>
      </c>
      <c r="E839" t="s">
        <v>4</v>
      </c>
      <c r="F839">
        <v>3.88</v>
      </c>
      <c r="G839">
        <v>88.8</v>
      </c>
      <c r="H839">
        <v>0</v>
      </c>
      <c r="I839">
        <v>24.5</v>
      </c>
      <c r="J839" t="s">
        <v>4</v>
      </c>
      <c r="K839" t="s">
        <v>3</v>
      </c>
      <c r="L839">
        <v>7.3</v>
      </c>
      <c r="M839">
        <v>2.61</v>
      </c>
      <c r="N839">
        <v>3.07</v>
      </c>
      <c r="O839">
        <v>3.07</v>
      </c>
      <c r="P839" t="s">
        <v>7</v>
      </c>
      <c r="Q839" t="s">
        <v>14</v>
      </c>
      <c r="R839" t="s">
        <v>9</v>
      </c>
      <c r="S839">
        <v>0</v>
      </c>
    </row>
    <row r="840" spans="1:19" x14ac:dyDescent="0.3">
      <c r="A840">
        <v>839</v>
      </c>
      <c r="B840">
        <v>23.2</v>
      </c>
      <c r="C840" t="s">
        <v>11</v>
      </c>
      <c r="D840">
        <v>25000</v>
      </c>
      <c r="E840" t="s">
        <v>4</v>
      </c>
      <c r="F840">
        <v>3.82</v>
      </c>
      <c r="G840">
        <v>87.8</v>
      </c>
      <c r="H840">
        <v>1</v>
      </c>
      <c r="I840">
        <v>30.6</v>
      </c>
      <c r="J840" t="s">
        <v>4</v>
      </c>
      <c r="K840" t="s">
        <v>4</v>
      </c>
      <c r="L840">
        <v>5.6</v>
      </c>
      <c r="M840">
        <v>2.69</v>
      </c>
      <c r="N840">
        <v>2.71</v>
      </c>
      <c r="O840">
        <v>2.7</v>
      </c>
      <c r="P840" t="s">
        <v>10</v>
      </c>
      <c r="Q840" t="s">
        <v>13</v>
      </c>
      <c r="R840" t="s">
        <v>0</v>
      </c>
      <c r="S840">
        <v>1</v>
      </c>
    </row>
    <row r="841" spans="1:19" x14ac:dyDescent="0.3">
      <c r="A841">
        <v>840</v>
      </c>
      <c r="B841">
        <v>20.5</v>
      </c>
      <c r="C841" t="s">
        <v>11</v>
      </c>
      <c r="D841">
        <v>25000</v>
      </c>
      <c r="E841" t="s">
        <v>4</v>
      </c>
      <c r="F841">
        <v>2.88</v>
      </c>
      <c r="G841">
        <v>87.1</v>
      </c>
      <c r="H841">
        <v>1</v>
      </c>
      <c r="I841">
        <v>25.5</v>
      </c>
      <c r="J841" t="s">
        <v>4</v>
      </c>
      <c r="K841" t="s">
        <v>3</v>
      </c>
      <c r="L841">
        <v>5.0999999999999996</v>
      </c>
      <c r="M841">
        <v>1.36</v>
      </c>
      <c r="N841">
        <v>0.93</v>
      </c>
      <c r="O841">
        <v>0.93</v>
      </c>
      <c r="P841" t="s">
        <v>2</v>
      </c>
      <c r="Q841" t="s">
        <v>1</v>
      </c>
      <c r="R841" t="s">
        <v>9</v>
      </c>
      <c r="S841">
        <v>0</v>
      </c>
    </row>
    <row r="842" spans="1:19" x14ac:dyDescent="0.3">
      <c r="A842">
        <v>841</v>
      </c>
      <c r="B842">
        <v>20.9</v>
      </c>
      <c r="C842" t="s">
        <v>5</v>
      </c>
      <c r="D842">
        <v>25000</v>
      </c>
      <c r="E842" t="s">
        <v>3</v>
      </c>
      <c r="F842">
        <v>3.56</v>
      </c>
      <c r="G842">
        <v>83.1</v>
      </c>
      <c r="H842">
        <v>1</v>
      </c>
      <c r="I842">
        <v>38.9</v>
      </c>
      <c r="J842" t="s">
        <v>3</v>
      </c>
      <c r="K842" t="s">
        <v>3</v>
      </c>
      <c r="L842">
        <v>5.8</v>
      </c>
      <c r="M842">
        <v>2.59</v>
      </c>
      <c r="N842">
        <v>2.36</v>
      </c>
      <c r="O842">
        <v>2.31</v>
      </c>
      <c r="P842" t="s">
        <v>7</v>
      </c>
      <c r="Q842" t="s">
        <v>14</v>
      </c>
      <c r="R842" t="s">
        <v>16</v>
      </c>
      <c r="S842">
        <v>0</v>
      </c>
    </row>
    <row r="843" spans="1:19" x14ac:dyDescent="0.3">
      <c r="A843">
        <v>842</v>
      </c>
      <c r="B843">
        <v>22.5</v>
      </c>
      <c r="C843" t="s">
        <v>11</v>
      </c>
      <c r="D843">
        <v>39932</v>
      </c>
      <c r="E843" t="s">
        <v>4</v>
      </c>
      <c r="F843">
        <v>1.44</v>
      </c>
      <c r="G843">
        <v>83.7</v>
      </c>
      <c r="H843">
        <v>1</v>
      </c>
      <c r="I843">
        <v>25.8</v>
      </c>
      <c r="J843" t="s">
        <v>3</v>
      </c>
      <c r="K843" t="s">
        <v>3</v>
      </c>
      <c r="L843">
        <v>7.9</v>
      </c>
      <c r="M843">
        <v>1.63</v>
      </c>
      <c r="N843">
        <v>1.51</v>
      </c>
      <c r="O843">
        <v>1.48</v>
      </c>
      <c r="P843" t="s">
        <v>12</v>
      </c>
      <c r="Q843" t="s">
        <v>8</v>
      </c>
      <c r="R843" t="s">
        <v>9</v>
      </c>
      <c r="S843">
        <v>0</v>
      </c>
    </row>
    <row r="844" spans="1:19" x14ac:dyDescent="0.3">
      <c r="A844">
        <v>843</v>
      </c>
      <c r="B844">
        <v>18.5</v>
      </c>
      <c r="C844" t="s">
        <v>5</v>
      </c>
      <c r="D844">
        <v>40237</v>
      </c>
      <c r="E844" t="s">
        <v>4</v>
      </c>
      <c r="F844">
        <v>4.9000000000000004</v>
      </c>
      <c r="G844">
        <v>89.3</v>
      </c>
      <c r="H844">
        <v>2</v>
      </c>
      <c r="I844">
        <v>47</v>
      </c>
      <c r="J844" t="s">
        <v>4</v>
      </c>
      <c r="K844" t="s">
        <v>4</v>
      </c>
      <c r="L844">
        <v>6.2</v>
      </c>
      <c r="M844">
        <v>2.1800000000000002</v>
      </c>
      <c r="N844">
        <v>2.12</v>
      </c>
      <c r="O844">
        <v>2.15</v>
      </c>
      <c r="P844" t="s">
        <v>12</v>
      </c>
      <c r="Q844" t="s">
        <v>1</v>
      </c>
      <c r="R844" t="s">
        <v>16</v>
      </c>
      <c r="S844">
        <v>0</v>
      </c>
    </row>
    <row r="845" spans="1:19" x14ac:dyDescent="0.3">
      <c r="A845">
        <v>844</v>
      </c>
      <c r="B845">
        <v>21.8</v>
      </c>
      <c r="C845" t="s">
        <v>11</v>
      </c>
      <c r="D845">
        <v>25000</v>
      </c>
      <c r="E845" t="s">
        <v>4</v>
      </c>
      <c r="F845">
        <v>4.05</v>
      </c>
      <c r="G845">
        <v>74.5</v>
      </c>
      <c r="H845">
        <v>1</v>
      </c>
      <c r="I845">
        <v>30</v>
      </c>
      <c r="J845" t="s">
        <v>3</v>
      </c>
      <c r="K845" t="s">
        <v>3</v>
      </c>
      <c r="L845">
        <v>5.6</v>
      </c>
      <c r="M845">
        <v>1.52</v>
      </c>
      <c r="N845">
        <v>1.31</v>
      </c>
      <c r="O845">
        <v>1.25</v>
      </c>
      <c r="P845" t="s">
        <v>10</v>
      </c>
      <c r="Q845" t="s">
        <v>14</v>
      </c>
      <c r="R845" t="s">
        <v>9</v>
      </c>
      <c r="S845">
        <v>1</v>
      </c>
    </row>
    <row r="846" spans="1:19" x14ac:dyDescent="0.3">
      <c r="A846">
        <v>845</v>
      </c>
      <c r="B846">
        <v>21.4</v>
      </c>
      <c r="C846" t="s">
        <v>11</v>
      </c>
      <c r="D846">
        <v>45656</v>
      </c>
      <c r="E846" t="s">
        <v>3</v>
      </c>
      <c r="F846">
        <v>5.49</v>
      </c>
      <c r="G846">
        <v>73.599999999999994</v>
      </c>
      <c r="H846">
        <v>3</v>
      </c>
      <c r="I846">
        <v>27.3</v>
      </c>
      <c r="J846" t="s">
        <v>3</v>
      </c>
      <c r="K846" t="s">
        <v>3</v>
      </c>
      <c r="L846">
        <v>7.6</v>
      </c>
      <c r="M846">
        <v>0.74</v>
      </c>
      <c r="N846">
        <v>0.82</v>
      </c>
      <c r="O846">
        <v>0.85</v>
      </c>
      <c r="P846" t="s">
        <v>7</v>
      </c>
      <c r="Q846" t="s">
        <v>8</v>
      </c>
      <c r="R846" t="s">
        <v>0</v>
      </c>
      <c r="S846">
        <v>1</v>
      </c>
    </row>
    <row r="847" spans="1:19" x14ac:dyDescent="0.3">
      <c r="A847">
        <v>846</v>
      </c>
      <c r="B847">
        <v>22.1</v>
      </c>
      <c r="C847" t="s">
        <v>11</v>
      </c>
      <c r="D847">
        <v>25000</v>
      </c>
      <c r="E847" t="s">
        <v>4</v>
      </c>
      <c r="F847">
        <v>3.88</v>
      </c>
      <c r="G847">
        <v>82.7</v>
      </c>
      <c r="H847">
        <v>0</v>
      </c>
      <c r="I847">
        <v>36.9</v>
      </c>
      <c r="J847" t="s">
        <v>3</v>
      </c>
      <c r="K847" t="s">
        <v>3</v>
      </c>
      <c r="L847">
        <v>4.5999999999999996</v>
      </c>
      <c r="M847">
        <v>4</v>
      </c>
      <c r="N847">
        <v>3.86</v>
      </c>
      <c r="O847">
        <v>3.86</v>
      </c>
      <c r="P847" t="s">
        <v>2</v>
      </c>
      <c r="Q847" t="s">
        <v>1</v>
      </c>
      <c r="R847" t="s">
        <v>15</v>
      </c>
      <c r="S847">
        <v>0</v>
      </c>
    </row>
    <row r="848" spans="1:19" x14ac:dyDescent="0.3">
      <c r="A848">
        <v>847</v>
      </c>
      <c r="B848">
        <v>21.6</v>
      </c>
      <c r="C848" t="s">
        <v>5</v>
      </c>
      <c r="D848">
        <v>25000</v>
      </c>
      <c r="E848" t="s">
        <v>4</v>
      </c>
      <c r="F848">
        <v>1.66</v>
      </c>
      <c r="G848">
        <v>83.2</v>
      </c>
      <c r="H848">
        <v>1</v>
      </c>
      <c r="I848">
        <v>34.299999999999997</v>
      </c>
      <c r="J848" t="s">
        <v>3</v>
      </c>
      <c r="K848" t="s">
        <v>3</v>
      </c>
      <c r="L848">
        <v>1</v>
      </c>
      <c r="M848">
        <v>4</v>
      </c>
      <c r="N848">
        <v>3.84</v>
      </c>
      <c r="O848">
        <v>3.9</v>
      </c>
      <c r="P848" t="s">
        <v>10</v>
      </c>
      <c r="Q848" t="s">
        <v>8</v>
      </c>
      <c r="R848" t="s">
        <v>9</v>
      </c>
      <c r="S848">
        <v>0</v>
      </c>
    </row>
    <row r="849" spans="1:19" x14ac:dyDescent="0.3">
      <c r="A849">
        <v>848</v>
      </c>
      <c r="B849">
        <v>26.4</v>
      </c>
      <c r="C849" t="s">
        <v>11</v>
      </c>
      <c r="D849">
        <v>26850</v>
      </c>
      <c r="E849" t="s">
        <v>3</v>
      </c>
      <c r="F849">
        <v>4.41</v>
      </c>
      <c r="G849">
        <v>87.8</v>
      </c>
      <c r="H849">
        <v>4</v>
      </c>
      <c r="I849">
        <v>37.200000000000003</v>
      </c>
      <c r="J849" t="s">
        <v>3</v>
      </c>
      <c r="K849" t="s">
        <v>3</v>
      </c>
      <c r="L849">
        <v>6.3</v>
      </c>
      <c r="M849">
        <v>2.34</v>
      </c>
      <c r="N849">
        <v>1.84</v>
      </c>
      <c r="O849">
        <v>1.79</v>
      </c>
      <c r="P849" t="s">
        <v>10</v>
      </c>
      <c r="Q849" t="s">
        <v>14</v>
      </c>
      <c r="R849" t="s">
        <v>9</v>
      </c>
      <c r="S849">
        <v>0</v>
      </c>
    </row>
    <row r="850" spans="1:19" x14ac:dyDescent="0.3">
      <c r="A850">
        <v>849</v>
      </c>
      <c r="B850">
        <v>19.600000000000001</v>
      </c>
      <c r="C850" t="s">
        <v>5</v>
      </c>
      <c r="D850">
        <v>25000</v>
      </c>
      <c r="E850" t="s">
        <v>4</v>
      </c>
      <c r="F850">
        <v>3.14</v>
      </c>
      <c r="G850">
        <v>80.2</v>
      </c>
      <c r="H850">
        <v>1</v>
      </c>
      <c r="I850">
        <v>28.4</v>
      </c>
      <c r="J850" t="s">
        <v>3</v>
      </c>
      <c r="K850" t="s">
        <v>3</v>
      </c>
      <c r="L850">
        <v>6.3</v>
      </c>
      <c r="M850">
        <v>1.77</v>
      </c>
      <c r="N850">
        <v>1.76</v>
      </c>
      <c r="O850">
        <v>1.76</v>
      </c>
      <c r="P850" t="s">
        <v>2</v>
      </c>
      <c r="Q850" t="s">
        <v>14</v>
      </c>
      <c r="R850" t="s">
        <v>9</v>
      </c>
      <c r="S850">
        <v>0</v>
      </c>
    </row>
    <row r="851" spans="1:19" x14ac:dyDescent="0.3">
      <c r="A851">
        <v>850</v>
      </c>
      <c r="B851">
        <v>19.8</v>
      </c>
      <c r="C851" t="s">
        <v>11</v>
      </c>
      <c r="D851">
        <v>25000</v>
      </c>
      <c r="E851" t="s">
        <v>4</v>
      </c>
      <c r="F851">
        <v>5.39</v>
      </c>
      <c r="G851">
        <v>75.8</v>
      </c>
      <c r="H851">
        <v>0</v>
      </c>
      <c r="I851">
        <v>46</v>
      </c>
      <c r="J851" t="s">
        <v>3</v>
      </c>
      <c r="K851" t="s">
        <v>3</v>
      </c>
      <c r="L851">
        <v>4.4000000000000004</v>
      </c>
      <c r="M851">
        <v>4</v>
      </c>
      <c r="N851">
        <v>3.58</v>
      </c>
      <c r="O851">
        <v>3.58</v>
      </c>
      <c r="P851" t="s">
        <v>2</v>
      </c>
      <c r="Q851" t="s">
        <v>8</v>
      </c>
      <c r="R851" t="s">
        <v>9</v>
      </c>
      <c r="S851">
        <v>0</v>
      </c>
    </row>
    <row r="852" spans="1:19" x14ac:dyDescent="0.3">
      <c r="A852">
        <v>851</v>
      </c>
      <c r="B852">
        <v>19.600000000000001</v>
      </c>
      <c r="C852" t="s">
        <v>5</v>
      </c>
      <c r="D852">
        <v>25000</v>
      </c>
      <c r="E852" t="s">
        <v>4</v>
      </c>
      <c r="F852">
        <v>3.72</v>
      </c>
      <c r="G852">
        <v>86.8</v>
      </c>
      <c r="H852">
        <v>1</v>
      </c>
      <c r="I852">
        <v>41.9</v>
      </c>
      <c r="J852" t="s">
        <v>3</v>
      </c>
      <c r="K852" t="s">
        <v>3</v>
      </c>
      <c r="L852">
        <v>5</v>
      </c>
      <c r="M852">
        <v>2.99</v>
      </c>
      <c r="N852">
        <v>3.4</v>
      </c>
      <c r="O852">
        <v>3.31</v>
      </c>
      <c r="P852" t="s">
        <v>7</v>
      </c>
      <c r="Q852" t="s">
        <v>13</v>
      </c>
      <c r="R852" t="s">
        <v>9</v>
      </c>
      <c r="S852">
        <v>0</v>
      </c>
    </row>
    <row r="853" spans="1:19" x14ac:dyDescent="0.3">
      <c r="A853">
        <v>852</v>
      </c>
      <c r="B853">
        <v>19.8</v>
      </c>
      <c r="C853" t="s">
        <v>5</v>
      </c>
      <c r="D853">
        <v>45090</v>
      </c>
      <c r="E853" t="s">
        <v>4</v>
      </c>
      <c r="F853">
        <v>6.62</v>
      </c>
      <c r="G853">
        <v>92.8</v>
      </c>
      <c r="H853">
        <v>4</v>
      </c>
      <c r="I853">
        <v>29.9</v>
      </c>
      <c r="J853" t="s">
        <v>4</v>
      </c>
      <c r="K853" t="s">
        <v>3</v>
      </c>
      <c r="L853">
        <v>7.8</v>
      </c>
      <c r="M853">
        <v>2.25</v>
      </c>
      <c r="N853">
        <v>2.15</v>
      </c>
      <c r="O853">
        <v>2.11</v>
      </c>
      <c r="P853" t="s">
        <v>7</v>
      </c>
      <c r="Q853" t="s">
        <v>1</v>
      </c>
      <c r="R853" t="s">
        <v>9</v>
      </c>
      <c r="S853">
        <v>0</v>
      </c>
    </row>
    <row r="854" spans="1:19" x14ac:dyDescent="0.3">
      <c r="A854">
        <v>853</v>
      </c>
      <c r="B854">
        <v>19.600000000000001</v>
      </c>
      <c r="C854" t="s">
        <v>5</v>
      </c>
      <c r="D854">
        <v>64168</v>
      </c>
      <c r="E854" t="s">
        <v>4</v>
      </c>
      <c r="F854">
        <v>2.84</v>
      </c>
      <c r="G854">
        <v>84.9</v>
      </c>
      <c r="H854">
        <v>1</v>
      </c>
      <c r="I854">
        <v>39.9</v>
      </c>
      <c r="J854" t="s">
        <v>3</v>
      </c>
      <c r="K854" t="s">
        <v>3</v>
      </c>
      <c r="L854">
        <v>6.3</v>
      </c>
      <c r="M854">
        <v>0.39</v>
      </c>
      <c r="N854">
        <v>0.75</v>
      </c>
      <c r="O854">
        <v>0.83</v>
      </c>
      <c r="P854" t="s">
        <v>7</v>
      </c>
      <c r="Q854" t="s">
        <v>13</v>
      </c>
      <c r="R854" t="s">
        <v>15</v>
      </c>
      <c r="S854">
        <v>1</v>
      </c>
    </row>
    <row r="855" spans="1:19" x14ac:dyDescent="0.3">
      <c r="A855">
        <v>854</v>
      </c>
      <c r="B855">
        <v>23.6</v>
      </c>
      <c r="C855" t="s">
        <v>5</v>
      </c>
      <c r="D855">
        <v>25000</v>
      </c>
      <c r="E855" t="s">
        <v>3</v>
      </c>
      <c r="F855">
        <v>4.32</v>
      </c>
      <c r="G855">
        <v>70.400000000000006</v>
      </c>
      <c r="H855">
        <v>2</v>
      </c>
      <c r="I855">
        <v>26.8</v>
      </c>
      <c r="J855" t="s">
        <v>4</v>
      </c>
      <c r="K855" t="s">
        <v>3</v>
      </c>
      <c r="L855">
        <v>8.1999999999999993</v>
      </c>
      <c r="M855">
        <v>3.12</v>
      </c>
      <c r="N855">
        <v>3.01</v>
      </c>
      <c r="O855">
        <v>3.02</v>
      </c>
      <c r="P855" t="s">
        <v>10</v>
      </c>
      <c r="Q855" t="s">
        <v>8</v>
      </c>
      <c r="R855" t="s">
        <v>0</v>
      </c>
      <c r="S855">
        <v>0</v>
      </c>
    </row>
    <row r="856" spans="1:19" x14ac:dyDescent="0.3">
      <c r="A856">
        <v>855</v>
      </c>
      <c r="B856">
        <v>24.1</v>
      </c>
      <c r="C856" t="s">
        <v>5</v>
      </c>
      <c r="D856">
        <v>46163</v>
      </c>
      <c r="E856" t="s">
        <v>3</v>
      </c>
      <c r="F856">
        <v>4.78</v>
      </c>
      <c r="G856">
        <v>84.2</v>
      </c>
      <c r="H856">
        <v>1</v>
      </c>
      <c r="I856">
        <v>36.799999999999997</v>
      </c>
      <c r="J856" t="s">
        <v>3</v>
      </c>
      <c r="K856" t="s">
        <v>3</v>
      </c>
      <c r="L856">
        <v>6</v>
      </c>
      <c r="M856">
        <v>1.21</v>
      </c>
      <c r="N856">
        <v>1</v>
      </c>
      <c r="O856">
        <v>1.06</v>
      </c>
      <c r="P856" t="s">
        <v>12</v>
      </c>
      <c r="Q856" t="s">
        <v>14</v>
      </c>
      <c r="R856" t="s">
        <v>9</v>
      </c>
      <c r="S856">
        <v>1</v>
      </c>
    </row>
    <row r="857" spans="1:19" x14ac:dyDescent="0.3">
      <c r="A857">
        <v>856</v>
      </c>
      <c r="B857">
        <v>19.7</v>
      </c>
      <c r="C857" t="s">
        <v>11</v>
      </c>
      <c r="D857">
        <v>43561</v>
      </c>
      <c r="E857" t="s">
        <v>4</v>
      </c>
      <c r="F857">
        <v>3.57</v>
      </c>
      <c r="G857">
        <v>66.5</v>
      </c>
      <c r="H857">
        <v>1</v>
      </c>
      <c r="I857">
        <v>39.9</v>
      </c>
      <c r="J857" t="s">
        <v>4</v>
      </c>
      <c r="K857" t="s">
        <v>3</v>
      </c>
      <c r="L857">
        <v>5.2</v>
      </c>
      <c r="M857">
        <v>1.18</v>
      </c>
      <c r="N857">
        <v>1.5</v>
      </c>
      <c r="O857">
        <v>1.5</v>
      </c>
      <c r="P857" t="s">
        <v>2</v>
      </c>
      <c r="Q857" t="s">
        <v>13</v>
      </c>
      <c r="R857" t="s">
        <v>15</v>
      </c>
      <c r="S857">
        <v>1</v>
      </c>
    </row>
    <row r="858" spans="1:19" x14ac:dyDescent="0.3">
      <c r="A858">
        <v>857</v>
      </c>
      <c r="B858">
        <v>19.2</v>
      </c>
      <c r="C858" t="s">
        <v>11</v>
      </c>
      <c r="E858" t="s">
        <v>4</v>
      </c>
      <c r="G858">
        <v>81.7</v>
      </c>
      <c r="H858">
        <v>3</v>
      </c>
      <c r="I858">
        <v>33</v>
      </c>
      <c r="J858" t="s">
        <v>4</v>
      </c>
      <c r="K858" t="s">
        <v>3</v>
      </c>
      <c r="M858">
        <v>0</v>
      </c>
      <c r="N858">
        <v>0</v>
      </c>
      <c r="O858">
        <v>7.0000000000000007E-2</v>
      </c>
      <c r="P858" t="s">
        <v>10</v>
      </c>
      <c r="Q858" t="s">
        <v>8</v>
      </c>
      <c r="R858" t="s">
        <v>9</v>
      </c>
      <c r="S858">
        <v>1</v>
      </c>
    </row>
    <row r="859" spans="1:19" x14ac:dyDescent="0.3">
      <c r="A859">
        <v>858</v>
      </c>
      <c r="B859">
        <v>22</v>
      </c>
      <c r="C859" t="s">
        <v>11</v>
      </c>
      <c r="D859">
        <v>25000</v>
      </c>
      <c r="E859" t="s">
        <v>4</v>
      </c>
      <c r="F859">
        <v>3.74</v>
      </c>
      <c r="G859">
        <v>65.900000000000006</v>
      </c>
      <c r="H859">
        <v>1</v>
      </c>
      <c r="I859">
        <v>20.2</v>
      </c>
      <c r="J859" t="s">
        <v>4</v>
      </c>
      <c r="K859" t="s">
        <v>3</v>
      </c>
      <c r="L859">
        <v>6.2</v>
      </c>
      <c r="M859">
        <v>1.71</v>
      </c>
      <c r="N859">
        <v>1.39</v>
      </c>
      <c r="O859">
        <v>1.35</v>
      </c>
      <c r="P859" t="s">
        <v>7</v>
      </c>
      <c r="Q859" t="s">
        <v>14</v>
      </c>
      <c r="R859" t="s">
        <v>15</v>
      </c>
      <c r="S859">
        <v>1</v>
      </c>
    </row>
    <row r="860" spans="1:19" x14ac:dyDescent="0.3">
      <c r="A860">
        <v>859</v>
      </c>
      <c r="B860">
        <v>19.8</v>
      </c>
      <c r="C860" t="s">
        <v>11</v>
      </c>
      <c r="D860">
        <v>25000</v>
      </c>
      <c r="E860" t="s">
        <v>4</v>
      </c>
      <c r="F860">
        <v>1.64</v>
      </c>
      <c r="G860">
        <v>78.599999999999994</v>
      </c>
      <c r="H860">
        <v>3</v>
      </c>
      <c r="I860">
        <v>15.7</v>
      </c>
      <c r="J860" t="s">
        <v>3</v>
      </c>
      <c r="K860" t="s">
        <v>3</v>
      </c>
      <c r="L860">
        <v>6.3</v>
      </c>
      <c r="M860">
        <v>0.92</v>
      </c>
      <c r="N860">
        <v>1.23</v>
      </c>
      <c r="O860">
        <v>1.23</v>
      </c>
      <c r="P860" t="s">
        <v>2</v>
      </c>
      <c r="Q860" t="s">
        <v>8</v>
      </c>
      <c r="R860" t="s">
        <v>15</v>
      </c>
      <c r="S860">
        <v>1</v>
      </c>
    </row>
    <row r="861" spans="1:19" x14ac:dyDescent="0.3">
      <c r="A861">
        <v>860</v>
      </c>
      <c r="B861">
        <v>22.4</v>
      </c>
      <c r="C861" t="s">
        <v>5</v>
      </c>
      <c r="D861">
        <v>31011</v>
      </c>
      <c r="E861" t="s">
        <v>4</v>
      </c>
      <c r="F861">
        <v>3.09</v>
      </c>
      <c r="G861">
        <v>86.1</v>
      </c>
      <c r="H861">
        <v>1</v>
      </c>
      <c r="I861">
        <v>33.5</v>
      </c>
      <c r="J861" t="s">
        <v>4</v>
      </c>
      <c r="K861" t="s">
        <v>3</v>
      </c>
      <c r="L861">
        <v>5.0999999999999996</v>
      </c>
      <c r="M861">
        <v>0.71</v>
      </c>
      <c r="N861">
        <v>0.35</v>
      </c>
      <c r="O861">
        <v>0.35</v>
      </c>
      <c r="P861" t="s">
        <v>2</v>
      </c>
      <c r="Q861" t="s">
        <v>13</v>
      </c>
      <c r="R861" t="s">
        <v>9</v>
      </c>
      <c r="S861">
        <v>0</v>
      </c>
    </row>
    <row r="862" spans="1:19" x14ac:dyDescent="0.3">
      <c r="A862">
        <v>861</v>
      </c>
      <c r="B862">
        <v>21.4</v>
      </c>
      <c r="C862" t="s">
        <v>11</v>
      </c>
      <c r="D862">
        <v>25000</v>
      </c>
      <c r="E862" t="s">
        <v>4</v>
      </c>
      <c r="F862">
        <v>3.77</v>
      </c>
      <c r="G862">
        <v>79.7</v>
      </c>
      <c r="H862">
        <v>3</v>
      </c>
      <c r="I862">
        <v>21.3</v>
      </c>
      <c r="J862" t="s">
        <v>3</v>
      </c>
      <c r="K862" t="s">
        <v>3</v>
      </c>
      <c r="L862">
        <v>4.5</v>
      </c>
      <c r="M862">
        <v>2.4900000000000002</v>
      </c>
      <c r="N862">
        <v>2.83</v>
      </c>
      <c r="O862">
        <v>2.87</v>
      </c>
      <c r="P862" t="s">
        <v>10</v>
      </c>
      <c r="Q862" t="s">
        <v>1</v>
      </c>
      <c r="R862" t="s">
        <v>9</v>
      </c>
      <c r="S862">
        <v>0</v>
      </c>
    </row>
    <row r="863" spans="1:19" x14ac:dyDescent="0.3">
      <c r="A863">
        <v>862</v>
      </c>
      <c r="B863">
        <v>17.7</v>
      </c>
      <c r="C863" t="s">
        <v>5</v>
      </c>
      <c r="D863">
        <v>25000</v>
      </c>
      <c r="E863" t="s">
        <v>4</v>
      </c>
      <c r="F863">
        <v>5.3</v>
      </c>
      <c r="G863">
        <v>91.2</v>
      </c>
      <c r="H863">
        <v>1</v>
      </c>
      <c r="I863">
        <v>42.7</v>
      </c>
      <c r="J863" t="s">
        <v>4</v>
      </c>
      <c r="K863" t="s">
        <v>3</v>
      </c>
      <c r="L863">
        <v>4.5</v>
      </c>
      <c r="M863">
        <v>3.14</v>
      </c>
      <c r="N863">
        <v>3.23</v>
      </c>
      <c r="O863">
        <v>3.25</v>
      </c>
      <c r="P863" t="s">
        <v>10</v>
      </c>
      <c r="Q863" t="s">
        <v>14</v>
      </c>
      <c r="R863" t="s">
        <v>9</v>
      </c>
      <c r="S863">
        <v>0</v>
      </c>
    </row>
    <row r="864" spans="1:19" x14ac:dyDescent="0.3">
      <c r="A864">
        <v>863</v>
      </c>
      <c r="B864">
        <v>24.4</v>
      </c>
      <c r="C864" t="s">
        <v>11</v>
      </c>
      <c r="D864">
        <v>25000</v>
      </c>
      <c r="E864" t="s">
        <v>4</v>
      </c>
      <c r="F864">
        <v>4.3600000000000003</v>
      </c>
      <c r="G864">
        <v>83.8</v>
      </c>
      <c r="H864">
        <v>0</v>
      </c>
      <c r="I864">
        <v>11.9</v>
      </c>
      <c r="J864" t="s">
        <v>3</v>
      </c>
      <c r="K864" t="s">
        <v>3</v>
      </c>
      <c r="L864">
        <v>6.4</v>
      </c>
      <c r="M864">
        <v>2.4500000000000002</v>
      </c>
      <c r="N864">
        <v>2.85</v>
      </c>
      <c r="O864">
        <v>2.83</v>
      </c>
      <c r="P864" t="s">
        <v>12</v>
      </c>
      <c r="Q864" t="s">
        <v>8</v>
      </c>
      <c r="R864" t="s">
        <v>0</v>
      </c>
      <c r="S864">
        <v>0</v>
      </c>
    </row>
    <row r="865" spans="1:19" x14ac:dyDescent="0.3">
      <c r="A865">
        <v>864</v>
      </c>
      <c r="B865">
        <v>25</v>
      </c>
      <c r="C865" t="s">
        <v>5</v>
      </c>
      <c r="D865">
        <v>25000</v>
      </c>
      <c r="E865" t="s">
        <v>4</v>
      </c>
      <c r="F865">
        <v>3.47</v>
      </c>
      <c r="G865">
        <v>73</v>
      </c>
      <c r="H865">
        <v>2</v>
      </c>
      <c r="I865">
        <v>45.8</v>
      </c>
      <c r="J865" t="s">
        <v>4</v>
      </c>
      <c r="K865" t="s">
        <v>4</v>
      </c>
      <c r="L865">
        <v>6.7</v>
      </c>
      <c r="M865">
        <v>2.21</v>
      </c>
      <c r="N865">
        <v>2.39</v>
      </c>
      <c r="O865">
        <v>2.39</v>
      </c>
      <c r="P865" t="s">
        <v>2</v>
      </c>
      <c r="Q865" t="s">
        <v>6</v>
      </c>
      <c r="R865" t="s">
        <v>9</v>
      </c>
      <c r="S865">
        <v>1</v>
      </c>
    </row>
    <row r="866" spans="1:19" x14ac:dyDescent="0.3">
      <c r="A866">
        <v>865</v>
      </c>
      <c r="B866">
        <v>19.7</v>
      </c>
      <c r="C866" t="s">
        <v>5</v>
      </c>
      <c r="D866">
        <v>32368</v>
      </c>
      <c r="E866" t="s">
        <v>3</v>
      </c>
      <c r="F866">
        <v>3.39</v>
      </c>
      <c r="G866">
        <v>89.2</v>
      </c>
      <c r="H866">
        <v>2</v>
      </c>
      <c r="I866">
        <v>30.6</v>
      </c>
      <c r="J866" t="s">
        <v>4</v>
      </c>
      <c r="K866" t="s">
        <v>3</v>
      </c>
      <c r="L866">
        <v>1</v>
      </c>
      <c r="M866">
        <v>3.13</v>
      </c>
      <c r="N866">
        <v>2.98</v>
      </c>
      <c r="O866">
        <v>3</v>
      </c>
      <c r="P866" t="s">
        <v>10</v>
      </c>
      <c r="Q866" t="s">
        <v>13</v>
      </c>
      <c r="R866" t="s">
        <v>15</v>
      </c>
      <c r="S866">
        <v>0</v>
      </c>
    </row>
    <row r="867" spans="1:19" x14ac:dyDescent="0.3">
      <c r="A867">
        <v>866</v>
      </c>
      <c r="B867">
        <v>20.100000000000001</v>
      </c>
      <c r="C867" t="s">
        <v>5</v>
      </c>
      <c r="D867">
        <v>45338</v>
      </c>
      <c r="E867" t="s">
        <v>4</v>
      </c>
      <c r="F867">
        <v>3.28</v>
      </c>
      <c r="G867">
        <v>87.5</v>
      </c>
      <c r="H867">
        <v>0</v>
      </c>
      <c r="I867">
        <v>19.7</v>
      </c>
      <c r="J867" t="s">
        <v>3</v>
      </c>
      <c r="K867" t="s">
        <v>3</v>
      </c>
      <c r="L867">
        <v>4.2</v>
      </c>
      <c r="M867">
        <v>2.66</v>
      </c>
      <c r="N867">
        <v>2.3199999999999998</v>
      </c>
      <c r="O867">
        <v>2.3199999999999998</v>
      </c>
      <c r="P867" t="s">
        <v>12</v>
      </c>
      <c r="Q867" t="s">
        <v>8</v>
      </c>
      <c r="R867" t="s">
        <v>9</v>
      </c>
      <c r="S867">
        <v>0</v>
      </c>
    </row>
    <row r="868" spans="1:19" x14ac:dyDescent="0.3">
      <c r="A868">
        <v>867</v>
      </c>
      <c r="B868">
        <v>21.6</v>
      </c>
      <c r="C868" t="s">
        <v>5</v>
      </c>
      <c r="D868">
        <v>25000</v>
      </c>
      <c r="E868" t="s">
        <v>4</v>
      </c>
      <c r="F868">
        <v>5.2</v>
      </c>
      <c r="G868">
        <v>92.2</v>
      </c>
      <c r="H868">
        <v>3</v>
      </c>
      <c r="I868">
        <v>24.6</v>
      </c>
      <c r="J868" t="s">
        <v>4</v>
      </c>
      <c r="K868" t="s">
        <v>3</v>
      </c>
      <c r="L868">
        <v>2.6</v>
      </c>
      <c r="M868">
        <v>2.76</v>
      </c>
      <c r="N868">
        <v>2.3199999999999998</v>
      </c>
      <c r="O868">
        <v>2.38</v>
      </c>
      <c r="P868" t="s">
        <v>7</v>
      </c>
      <c r="Q868" t="s">
        <v>13</v>
      </c>
      <c r="R868" t="s">
        <v>0</v>
      </c>
      <c r="S868">
        <v>0</v>
      </c>
    </row>
    <row r="869" spans="1:19" x14ac:dyDescent="0.3">
      <c r="A869">
        <v>868</v>
      </c>
      <c r="B869">
        <v>21.7</v>
      </c>
      <c r="C869" t="s">
        <v>5</v>
      </c>
      <c r="D869">
        <v>37700</v>
      </c>
      <c r="E869" t="s">
        <v>4</v>
      </c>
      <c r="F869">
        <v>2.0699999999999998</v>
      </c>
      <c r="G869">
        <v>87.7</v>
      </c>
      <c r="H869">
        <v>1</v>
      </c>
      <c r="I869">
        <v>27.6</v>
      </c>
      <c r="J869" t="s">
        <v>4</v>
      </c>
      <c r="K869" t="s">
        <v>4</v>
      </c>
      <c r="L869">
        <v>4.5999999999999996</v>
      </c>
      <c r="M869">
        <v>1.7</v>
      </c>
      <c r="N869">
        <v>1.62</v>
      </c>
      <c r="O869">
        <v>1.67</v>
      </c>
      <c r="P869" t="s">
        <v>7</v>
      </c>
      <c r="Q869" t="s">
        <v>14</v>
      </c>
      <c r="R869" t="s">
        <v>15</v>
      </c>
      <c r="S869">
        <v>1</v>
      </c>
    </row>
    <row r="870" spans="1:19" x14ac:dyDescent="0.3">
      <c r="A870">
        <v>869</v>
      </c>
      <c r="B870">
        <v>22.4</v>
      </c>
      <c r="C870" t="s">
        <v>5</v>
      </c>
      <c r="D870">
        <v>29998</v>
      </c>
      <c r="E870" t="s">
        <v>4</v>
      </c>
      <c r="F870">
        <v>2.9</v>
      </c>
      <c r="G870">
        <v>85.8</v>
      </c>
      <c r="H870">
        <v>3</v>
      </c>
      <c r="I870">
        <v>35.799999999999997</v>
      </c>
      <c r="J870" t="s">
        <v>3</v>
      </c>
      <c r="K870" t="s">
        <v>3</v>
      </c>
      <c r="L870">
        <v>4.4000000000000004</v>
      </c>
      <c r="M870">
        <v>2.5099999999999998</v>
      </c>
      <c r="N870">
        <v>2.2999999999999998</v>
      </c>
      <c r="O870">
        <v>2.2200000000000002</v>
      </c>
      <c r="P870" t="s">
        <v>12</v>
      </c>
      <c r="Q870" t="s">
        <v>14</v>
      </c>
      <c r="R870" t="s">
        <v>9</v>
      </c>
      <c r="S870">
        <v>0</v>
      </c>
    </row>
    <row r="871" spans="1:19" x14ac:dyDescent="0.3">
      <c r="A871">
        <v>870</v>
      </c>
      <c r="B871">
        <v>25.4</v>
      </c>
      <c r="C871" t="s">
        <v>11</v>
      </c>
      <c r="D871">
        <v>52120</v>
      </c>
      <c r="E871" t="s">
        <v>4</v>
      </c>
      <c r="F871">
        <v>2.06</v>
      </c>
      <c r="G871">
        <v>74.099999999999994</v>
      </c>
      <c r="H871">
        <v>5</v>
      </c>
      <c r="I871">
        <v>15.3</v>
      </c>
      <c r="J871" t="s">
        <v>3</v>
      </c>
      <c r="K871" t="s">
        <v>3</v>
      </c>
      <c r="L871">
        <v>5.8</v>
      </c>
      <c r="M871">
        <v>2.17</v>
      </c>
      <c r="N871">
        <v>1.94</v>
      </c>
      <c r="O871">
        <v>1.94</v>
      </c>
      <c r="P871" t="s">
        <v>2</v>
      </c>
      <c r="Q871" t="s">
        <v>8</v>
      </c>
      <c r="R871" t="s">
        <v>9</v>
      </c>
      <c r="S871">
        <v>1</v>
      </c>
    </row>
    <row r="872" spans="1:19" x14ac:dyDescent="0.3">
      <c r="A872">
        <v>871</v>
      </c>
      <c r="B872">
        <v>20.6</v>
      </c>
      <c r="C872" t="s">
        <v>11</v>
      </c>
      <c r="D872">
        <v>26552</v>
      </c>
      <c r="E872" t="s">
        <v>4</v>
      </c>
      <c r="F872">
        <v>4.76</v>
      </c>
      <c r="G872">
        <v>88.5</v>
      </c>
      <c r="H872">
        <v>0</v>
      </c>
      <c r="I872">
        <v>18.5</v>
      </c>
      <c r="J872" t="s">
        <v>3</v>
      </c>
      <c r="K872" t="s">
        <v>3</v>
      </c>
      <c r="L872">
        <v>5.8</v>
      </c>
      <c r="M872">
        <v>2.59</v>
      </c>
      <c r="N872">
        <v>2.11</v>
      </c>
      <c r="O872">
        <v>2.11</v>
      </c>
      <c r="P872" t="s">
        <v>2</v>
      </c>
      <c r="Q872" t="s">
        <v>8</v>
      </c>
      <c r="R872" t="s">
        <v>15</v>
      </c>
      <c r="S872">
        <v>0</v>
      </c>
    </row>
    <row r="873" spans="1:19" x14ac:dyDescent="0.3">
      <c r="A873">
        <v>872</v>
      </c>
      <c r="B873">
        <v>19.2</v>
      </c>
      <c r="C873" t="s">
        <v>5</v>
      </c>
      <c r="D873">
        <v>28357</v>
      </c>
      <c r="E873" t="s">
        <v>4</v>
      </c>
      <c r="F873">
        <v>5.97</v>
      </c>
      <c r="G873">
        <v>80.8</v>
      </c>
      <c r="H873">
        <v>1</v>
      </c>
      <c r="I873">
        <v>26.1</v>
      </c>
      <c r="J873" t="s">
        <v>3</v>
      </c>
      <c r="K873" t="s">
        <v>3</v>
      </c>
      <c r="L873">
        <v>9.3000000000000007</v>
      </c>
      <c r="M873">
        <v>1.55</v>
      </c>
      <c r="N873">
        <v>1.62</v>
      </c>
      <c r="O873">
        <v>1.62</v>
      </c>
      <c r="P873" t="s">
        <v>2</v>
      </c>
      <c r="Q873" t="s">
        <v>14</v>
      </c>
      <c r="R873" t="s">
        <v>9</v>
      </c>
      <c r="S873">
        <v>1</v>
      </c>
    </row>
    <row r="874" spans="1:19" x14ac:dyDescent="0.3">
      <c r="A874">
        <v>873</v>
      </c>
      <c r="B874">
        <v>18</v>
      </c>
      <c r="C874" t="s">
        <v>5</v>
      </c>
      <c r="D874">
        <v>25000</v>
      </c>
      <c r="E874" t="s">
        <v>4</v>
      </c>
      <c r="F874">
        <v>4.75</v>
      </c>
      <c r="G874">
        <v>88.4</v>
      </c>
      <c r="H874">
        <v>0</v>
      </c>
      <c r="I874">
        <v>29.6</v>
      </c>
      <c r="J874" t="s">
        <v>3</v>
      </c>
      <c r="K874" t="s">
        <v>3</v>
      </c>
      <c r="L874">
        <v>6.2</v>
      </c>
      <c r="M874">
        <v>2.58</v>
      </c>
      <c r="N874">
        <v>2.25</v>
      </c>
      <c r="O874">
        <v>2.21</v>
      </c>
      <c r="P874" t="s">
        <v>12</v>
      </c>
      <c r="Q874" t="s">
        <v>6</v>
      </c>
      <c r="R874" t="s">
        <v>15</v>
      </c>
      <c r="S874">
        <v>0</v>
      </c>
    </row>
    <row r="875" spans="1:19" x14ac:dyDescent="0.3">
      <c r="A875">
        <v>874</v>
      </c>
      <c r="B875">
        <v>19.399999999999999</v>
      </c>
      <c r="C875" t="s">
        <v>11</v>
      </c>
      <c r="D875">
        <v>26975</v>
      </c>
      <c r="E875" t="s">
        <v>3</v>
      </c>
      <c r="F875">
        <v>4.84</v>
      </c>
      <c r="G875">
        <v>99.8</v>
      </c>
      <c r="H875">
        <v>0</v>
      </c>
      <c r="I875">
        <v>38.6</v>
      </c>
      <c r="J875" t="s">
        <v>3</v>
      </c>
      <c r="K875" t="s">
        <v>3</v>
      </c>
      <c r="L875">
        <v>6.6</v>
      </c>
      <c r="M875">
        <v>3.79</v>
      </c>
      <c r="N875">
        <v>3.09</v>
      </c>
      <c r="O875">
        <v>3.09</v>
      </c>
      <c r="P875" t="s">
        <v>2</v>
      </c>
      <c r="Q875" t="s">
        <v>14</v>
      </c>
      <c r="R875" t="s">
        <v>15</v>
      </c>
      <c r="S875">
        <v>0</v>
      </c>
    </row>
    <row r="876" spans="1:19" x14ac:dyDescent="0.3">
      <c r="A876">
        <v>875</v>
      </c>
      <c r="B876">
        <v>20.9</v>
      </c>
      <c r="C876" t="s">
        <v>5</v>
      </c>
      <c r="D876">
        <v>25000</v>
      </c>
      <c r="E876" t="s">
        <v>4</v>
      </c>
      <c r="F876">
        <v>3.32</v>
      </c>
      <c r="G876">
        <v>91.7</v>
      </c>
      <c r="H876">
        <v>2</v>
      </c>
      <c r="I876">
        <v>33.200000000000003</v>
      </c>
      <c r="J876" t="s">
        <v>3</v>
      </c>
      <c r="K876" t="s">
        <v>3</v>
      </c>
      <c r="L876">
        <v>2.9</v>
      </c>
      <c r="M876">
        <v>2.2200000000000002</v>
      </c>
      <c r="N876">
        <v>1.95</v>
      </c>
      <c r="O876">
        <v>1.95</v>
      </c>
      <c r="P876" t="s">
        <v>2</v>
      </c>
      <c r="Q876" t="s">
        <v>1</v>
      </c>
      <c r="R876" t="s">
        <v>15</v>
      </c>
      <c r="S876">
        <v>0</v>
      </c>
    </row>
    <row r="877" spans="1:19" x14ac:dyDescent="0.3">
      <c r="A877">
        <v>876</v>
      </c>
      <c r="B877">
        <v>24.9</v>
      </c>
      <c r="C877" t="s">
        <v>11</v>
      </c>
      <c r="D877">
        <v>25000</v>
      </c>
      <c r="E877" t="s">
        <v>4</v>
      </c>
      <c r="F877">
        <v>4.63</v>
      </c>
      <c r="G877">
        <v>84.3</v>
      </c>
      <c r="H877">
        <v>0</v>
      </c>
      <c r="I877">
        <v>25.3</v>
      </c>
      <c r="J877" t="s">
        <v>3</v>
      </c>
      <c r="K877" t="s">
        <v>4</v>
      </c>
      <c r="L877">
        <v>4.9000000000000004</v>
      </c>
      <c r="M877">
        <v>1.92</v>
      </c>
      <c r="N877">
        <v>2.06</v>
      </c>
      <c r="O877">
        <v>2.09</v>
      </c>
      <c r="P877" t="s">
        <v>7</v>
      </c>
      <c r="Q877" t="s">
        <v>13</v>
      </c>
      <c r="R877" t="s">
        <v>9</v>
      </c>
      <c r="S877">
        <v>0</v>
      </c>
    </row>
    <row r="878" spans="1:19" x14ac:dyDescent="0.3">
      <c r="A878">
        <v>877</v>
      </c>
      <c r="B878">
        <v>19.899999999999999</v>
      </c>
      <c r="C878" t="s">
        <v>5</v>
      </c>
      <c r="D878">
        <v>47356</v>
      </c>
      <c r="E878" t="s">
        <v>4</v>
      </c>
      <c r="F878">
        <v>3.02</v>
      </c>
      <c r="G878">
        <v>82.6</v>
      </c>
      <c r="H878">
        <v>0</v>
      </c>
      <c r="I878">
        <v>32.799999999999997</v>
      </c>
      <c r="J878" t="s">
        <v>4</v>
      </c>
      <c r="K878" t="s">
        <v>3</v>
      </c>
      <c r="L878">
        <v>3.6</v>
      </c>
      <c r="M878">
        <v>1.64</v>
      </c>
      <c r="N878">
        <v>1.26</v>
      </c>
      <c r="O878">
        <v>1.28</v>
      </c>
      <c r="P878" t="s">
        <v>7</v>
      </c>
      <c r="Q878" t="s">
        <v>8</v>
      </c>
      <c r="R878" t="s">
        <v>15</v>
      </c>
      <c r="S878">
        <v>1</v>
      </c>
    </row>
    <row r="879" spans="1:19" x14ac:dyDescent="0.3">
      <c r="A879">
        <v>878</v>
      </c>
      <c r="B879">
        <v>21.5</v>
      </c>
      <c r="C879" t="s">
        <v>11</v>
      </c>
      <c r="D879">
        <v>25000</v>
      </c>
      <c r="E879" t="s">
        <v>4</v>
      </c>
      <c r="F879">
        <v>3.25</v>
      </c>
      <c r="G879">
        <v>78.7</v>
      </c>
      <c r="H879">
        <v>1</v>
      </c>
      <c r="I879">
        <v>32</v>
      </c>
      <c r="J879" t="s">
        <v>3</v>
      </c>
      <c r="K879" t="s">
        <v>3</v>
      </c>
      <c r="L879">
        <v>6.6</v>
      </c>
      <c r="M879">
        <v>1.93</v>
      </c>
      <c r="N879">
        <v>2.88</v>
      </c>
      <c r="O879">
        <v>2.88</v>
      </c>
      <c r="P879" t="s">
        <v>2</v>
      </c>
      <c r="Q879" t="s">
        <v>8</v>
      </c>
      <c r="R879" t="s">
        <v>0</v>
      </c>
      <c r="S879">
        <v>0</v>
      </c>
    </row>
    <row r="880" spans="1:19" x14ac:dyDescent="0.3">
      <c r="A880">
        <v>879</v>
      </c>
      <c r="B880">
        <v>21</v>
      </c>
      <c r="C880" t="s">
        <v>11</v>
      </c>
      <c r="D880">
        <v>25000</v>
      </c>
      <c r="E880" t="s">
        <v>4</v>
      </c>
      <c r="F880">
        <v>3.95</v>
      </c>
      <c r="G880">
        <v>63.4</v>
      </c>
      <c r="H880">
        <v>0</v>
      </c>
      <c r="I880">
        <v>27</v>
      </c>
      <c r="J880" t="s">
        <v>4</v>
      </c>
      <c r="K880" t="s">
        <v>3</v>
      </c>
      <c r="L880">
        <v>5.6</v>
      </c>
      <c r="M880">
        <v>1.88</v>
      </c>
      <c r="N880">
        <v>1.74</v>
      </c>
      <c r="O880">
        <v>1.68</v>
      </c>
      <c r="P880" t="s">
        <v>12</v>
      </c>
      <c r="Q880" t="s">
        <v>13</v>
      </c>
      <c r="R880" t="s">
        <v>9</v>
      </c>
      <c r="S880">
        <v>0</v>
      </c>
    </row>
    <row r="881" spans="1:19" x14ac:dyDescent="0.3">
      <c r="A881">
        <v>880</v>
      </c>
      <c r="B881">
        <v>23.6</v>
      </c>
      <c r="C881" t="s">
        <v>11</v>
      </c>
      <c r="D881">
        <v>54677</v>
      </c>
      <c r="E881" t="s">
        <v>3</v>
      </c>
      <c r="F881">
        <v>4.05</v>
      </c>
      <c r="G881">
        <v>82.4</v>
      </c>
      <c r="H881">
        <v>0</v>
      </c>
      <c r="I881">
        <v>31.4</v>
      </c>
      <c r="J881" t="s">
        <v>3</v>
      </c>
      <c r="K881" t="s">
        <v>4</v>
      </c>
      <c r="L881">
        <v>4.9000000000000004</v>
      </c>
      <c r="M881">
        <v>2.16</v>
      </c>
      <c r="N881">
        <v>2.31</v>
      </c>
      <c r="O881">
        <v>2.4500000000000002</v>
      </c>
      <c r="P881" t="s">
        <v>7</v>
      </c>
      <c r="Q881" t="s">
        <v>14</v>
      </c>
      <c r="R881" t="s">
        <v>15</v>
      </c>
      <c r="S881">
        <v>0</v>
      </c>
    </row>
    <row r="882" spans="1:19" x14ac:dyDescent="0.3">
      <c r="A882">
        <v>881</v>
      </c>
      <c r="B882">
        <v>26.6</v>
      </c>
      <c r="C882" t="s">
        <v>11</v>
      </c>
      <c r="D882">
        <v>25000</v>
      </c>
      <c r="E882" t="s">
        <v>4</v>
      </c>
      <c r="F882">
        <v>6.33</v>
      </c>
      <c r="G882">
        <v>77.900000000000006</v>
      </c>
      <c r="H882">
        <v>1</v>
      </c>
      <c r="I882">
        <v>5</v>
      </c>
      <c r="J882" t="s">
        <v>4</v>
      </c>
      <c r="K882" t="s">
        <v>4</v>
      </c>
      <c r="L882">
        <v>7.2</v>
      </c>
      <c r="M882">
        <v>2.98</v>
      </c>
      <c r="N882">
        <v>3.32</v>
      </c>
      <c r="O882">
        <v>3.28</v>
      </c>
      <c r="P882" t="s">
        <v>10</v>
      </c>
      <c r="Q882" t="s">
        <v>13</v>
      </c>
      <c r="R882" t="s">
        <v>15</v>
      </c>
      <c r="S882">
        <v>0</v>
      </c>
    </row>
    <row r="883" spans="1:19" x14ac:dyDescent="0.3">
      <c r="A883">
        <v>882</v>
      </c>
      <c r="B883">
        <v>19.8</v>
      </c>
      <c r="C883" t="s">
        <v>5</v>
      </c>
      <c r="D883">
        <v>48886</v>
      </c>
      <c r="E883" t="s">
        <v>4</v>
      </c>
      <c r="F883">
        <v>5.13</v>
      </c>
      <c r="G883">
        <v>84.6</v>
      </c>
      <c r="H883">
        <v>2</v>
      </c>
      <c r="I883">
        <v>41.2</v>
      </c>
      <c r="J883" t="s">
        <v>4</v>
      </c>
      <c r="K883" t="s">
        <v>3</v>
      </c>
      <c r="L883">
        <v>5</v>
      </c>
      <c r="M883">
        <v>2.48</v>
      </c>
      <c r="N883">
        <v>2.0699999999999998</v>
      </c>
      <c r="O883">
        <v>2.06</v>
      </c>
      <c r="P883" t="s">
        <v>7</v>
      </c>
      <c r="Q883" t="s">
        <v>1</v>
      </c>
      <c r="R883" t="s">
        <v>0</v>
      </c>
      <c r="S883">
        <v>0</v>
      </c>
    </row>
    <row r="884" spans="1:19" x14ac:dyDescent="0.3">
      <c r="A884">
        <v>883</v>
      </c>
      <c r="B884">
        <v>19.899999999999999</v>
      </c>
      <c r="C884" t="s">
        <v>5</v>
      </c>
      <c r="D884">
        <v>25000</v>
      </c>
      <c r="E884" t="s">
        <v>4</v>
      </c>
      <c r="F884">
        <v>4.1500000000000004</v>
      </c>
      <c r="G884">
        <v>77.900000000000006</v>
      </c>
      <c r="H884">
        <v>4</v>
      </c>
      <c r="I884">
        <v>36.6</v>
      </c>
      <c r="J884" t="s">
        <v>3</v>
      </c>
      <c r="K884" t="s">
        <v>3</v>
      </c>
      <c r="L884">
        <v>7.9</v>
      </c>
      <c r="M884">
        <v>0.28999999999999998</v>
      </c>
      <c r="N884">
        <v>0.15</v>
      </c>
      <c r="O884">
        <v>0.21</v>
      </c>
      <c r="P884" t="s">
        <v>12</v>
      </c>
      <c r="Q884" t="s">
        <v>8</v>
      </c>
      <c r="R884" t="s">
        <v>9</v>
      </c>
      <c r="S884">
        <v>1</v>
      </c>
    </row>
    <row r="885" spans="1:19" x14ac:dyDescent="0.3">
      <c r="A885">
        <v>884</v>
      </c>
      <c r="B885">
        <v>23.3</v>
      </c>
      <c r="C885" t="s">
        <v>11</v>
      </c>
      <c r="D885">
        <v>25000</v>
      </c>
      <c r="E885" t="s">
        <v>4</v>
      </c>
      <c r="F885">
        <v>6.22</v>
      </c>
      <c r="G885">
        <v>83.8</v>
      </c>
      <c r="H885">
        <v>1</v>
      </c>
      <c r="I885">
        <v>48</v>
      </c>
      <c r="J885" t="s">
        <v>4</v>
      </c>
      <c r="K885" t="s">
        <v>3</v>
      </c>
      <c r="L885">
        <v>7.9</v>
      </c>
      <c r="M885">
        <v>1.83</v>
      </c>
      <c r="N885">
        <v>1.57</v>
      </c>
      <c r="O885">
        <v>1.64</v>
      </c>
      <c r="P885" t="s">
        <v>7</v>
      </c>
      <c r="Q885" t="s">
        <v>14</v>
      </c>
      <c r="R885" t="s">
        <v>9</v>
      </c>
      <c r="S885">
        <v>0</v>
      </c>
    </row>
    <row r="886" spans="1:19" x14ac:dyDescent="0.3">
      <c r="A886">
        <v>885</v>
      </c>
      <c r="B886">
        <v>22.5</v>
      </c>
      <c r="C886" t="s">
        <v>11</v>
      </c>
      <c r="D886">
        <v>25000</v>
      </c>
      <c r="E886" t="s">
        <v>4</v>
      </c>
      <c r="F886">
        <v>7.12</v>
      </c>
      <c r="G886">
        <v>92</v>
      </c>
      <c r="H886">
        <v>0</v>
      </c>
      <c r="I886">
        <v>20.3</v>
      </c>
      <c r="J886" t="s">
        <v>4</v>
      </c>
      <c r="K886" t="s">
        <v>3</v>
      </c>
      <c r="L886">
        <v>4.4000000000000004</v>
      </c>
      <c r="M886">
        <v>4</v>
      </c>
      <c r="N886">
        <v>4</v>
      </c>
      <c r="O886">
        <v>4</v>
      </c>
      <c r="P886" t="s">
        <v>2</v>
      </c>
      <c r="Q886" t="s">
        <v>13</v>
      </c>
      <c r="R886" t="s">
        <v>0</v>
      </c>
      <c r="S886">
        <v>0</v>
      </c>
    </row>
    <row r="887" spans="1:19" x14ac:dyDescent="0.3">
      <c r="A887">
        <v>886</v>
      </c>
      <c r="B887">
        <v>25.1</v>
      </c>
      <c r="C887" t="s">
        <v>5</v>
      </c>
      <c r="D887">
        <v>65358</v>
      </c>
      <c r="E887" t="s">
        <v>4</v>
      </c>
      <c r="F887">
        <v>4.03</v>
      </c>
      <c r="G887">
        <v>83.3</v>
      </c>
      <c r="H887">
        <v>0</v>
      </c>
      <c r="I887">
        <v>36.9</v>
      </c>
      <c r="J887" t="s">
        <v>4</v>
      </c>
      <c r="K887" t="s">
        <v>4</v>
      </c>
      <c r="L887">
        <v>7.5</v>
      </c>
      <c r="M887">
        <v>0.71</v>
      </c>
      <c r="N887">
        <v>1.05</v>
      </c>
      <c r="O887">
        <v>1.05</v>
      </c>
      <c r="P887" t="s">
        <v>10</v>
      </c>
      <c r="Q887" t="s">
        <v>14</v>
      </c>
      <c r="R887" t="s">
        <v>15</v>
      </c>
      <c r="S887">
        <v>1</v>
      </c>
    </row>
    <row r="888" spans="1:19" x14ac:dyDescent="0.3">
      <c r="A888">
        <v>887</v>
      </c>
      <c r="B888">
        <v>22.3</v>
      </c>
      <c r="C888" t="s">
        <v>11</v>
      </c>
      <c r="D888">
        <v>25000</v>
      </c>
      <c r="E888" t="s">
        <v>4</v>
      </c>
      <c r="F888">
        <v>4.5</v>
      </c>
      <c r="G888">
        <v>73.3</v>
      </c>
      <c r="H888">
        <v>2</v>
      </c>
      <c r="I888">
        <v>7.1</v>
      </c>
      <c r="J888" t="s">
        <v>4</v>
      </c>
      <c r="K888" t="s">
        <v>3</v>
      </c>
      <c r="L888">
        <v>5.7</v>
      </c>
      <c r="M888">
        <v>2.2000000000000002</v>
      </c>
      <c r="N888">
        <v>2.16</v>
      </c>
      <c r="O888">
        <v>2.16</v>
      </c>
      <c r="P888" t="s">
        <v>2</v>
      </c>
      <c r="Q888" t="s">
        <v>8</v>
      </c>
      <c r="R888" t="s">
        <v>15</v>
      </c>
      <c r="S888">
        <v>0</v>
      </c>
    </row>
    <row r="889" spans="1:19" x14ac:dyDescent="0.3">
      <c r="A889">
        <v>888</v>
      </c>
      <c r="B889">
        <v>20.2</v>
      </c>
      <c r="C889" t="s">
        <v>5</v>
      </c>
      <c r="D889">
        <v>46551</v>
      </c>
      <c r="E889" t="s">
        <v>4</v>
      </c>
      <c r="F889">
        <v>2.39</v>
      </c>
      <c r="G889">
        <v>75.400000000000006</v>
      </c>
      <c r="H889">
        <v>1</v>
      </c>
      <c r="I889">
        <v>8.8000000000000007</v>
      </c>
      <c r="J889" t="s">
        <v>4</v>
      </c>
      <c r="K889" t="s">
        <v>3</v>
      </c>
      <c r="L889">
        <v>4.8</v>
      </c>
      <c r="M889">
        <v>2.5299999999999998</v>
      </c>
      <c r="N889">
        <v>2.4700000000000002</v>
      </c>
      <c r="O889">
        <v>2.5</v>
      </c>
      <c r="P889" t="s">
        <v>12</v>
      </c>
      <c r="Q889" t="s">
        <v>8</v>
      </c>
      <c r="R889" t="s">
        <v>0</v>
      </c>
      <c r="S889">
        <v>0</v>
      </c>
    </row>
    <row r="890" spans="1:19" x14ac:dyDescent="0.3">
      <c r="A890">
        <v>889</v>
      </c>
      <c r="B890">
        <v>22.3</v>
      </c>
      <c r="C890" t="s">
        <v>5</v>
      </c>
      <c r="D890">
        <v>25000</v>
      </c>
      <c r="E890" t="s">
        <v>4</v>
      </c>
      <c r="F890">
        <v>4.21</v>
      </c>
      <c r="G890">
        <v>87.5</v>
      </c>
      <c r="H890">
        <v>2</v>
      </c>
      <c r="I890">
        <v>27.2</v>
      </c>
      <c r="J890" t="s">
        <v>3</v>
      </c>
      <c r="K890" t="s">
        <v>4</v>
      </c>
      <c r="L890">
        <v>6.2</v>
      </c>
      <c r="M890">
        <v>3.53</v>
      </c>
      <c r="N890">
        <v>3.35</v>
      </c>
      <c r="O890">
        <v>3.35</v>
      </c>
      <c r="P890" t="s">
        <v>2</v>
      </c>
      <c r="Q890" t="s">
        <v>13</v>
      </c>
      <c r="R890" t="s">
        <v>0</v>
      </c>
      <c r="S890">
        <v>0</v>
      </c>
    </row>
    <row r="891" spans="1:19" x14ac:dyDescent="0.3">
      <c r="A891">
        <v>890</v>
      </c>
      <c r="B891">
        <v>23.4</v>
      </c>
      <c r="C891" t="s">
        <v>11</v>
      </c>
      <c r="D891">
        <v>65541</v>
      </c>
      <c r="E891" t="s">
        <v>4</v>
      </c>
      <c r="F891">
        <v>3.12</v>
      </c>
      <c r="G891">
        <v>88</v>
      </c>
      <c r="H891">
        <v>1</v>
      </c>
      <c r="I891">
        <v>23.1</v>
      </c>
      <c r="J891" t="s">
        <v>3</v>
      </c>
      <c r="K891" t="s">
        <v>4</v>
      </c>
      <c r="L891">
        <v>2.6</v>
      </c>
      <c r="M891">
        <v>0.97</v>
      </c>
      <c r="N891">
        <v>0.97</v>
      </c>
      <c r="O891">
        <v>0.93</v>
      </c>
      <c r="P891" t="s">
        <v>7</v>
      </c>
      <c r="Q891" t="s">
        <v>6</v>
      </c>
      <c r="R891" t="s">
        <v>9</v>
      </c>
      <c r="S891">
        <v>0</v>
      </c>
    </row>
    <row r="892" spans="1:19" x14ac:dyDescent="0.3">
      <c r="A892">
        <v>891</v>
      </c>
      <c r="B892">
        <v>22.8</v>
      </c>
      <c r="C892" t="s">
        <v>5</v>
      </c>
      <c r="D892">
        <v>111756</v>
      </c>
      <c r="E892" t="s">
        <v>4</v>
      </c>
      <c r="F892">
        <v>1.55</v>
      </c>
      <c r="G892">
        <v>75</v>
      </c>
      <c r="H892">
        <v>1</v>
      </c>
      <c r="I892">
        <v>42.6</v>
      </c>
      <c r="J892" t="s">
        <v>3</v>
      </c>
      <c r="K892" t="s">
        <v>4</v>
      </c>
      <c r="L892">
        <v>4.5</v>
      </c>
      <c r="M892">
        <v>1.82</v>
      </c>
      <c r="N892">
        <v>1.7</v>
      </c>
      <c r="O892">
        <v>1.7</v>
      </c>
      <c r="P892" t="s">
        <v>2</v>
      </c>
      <c r="Q892" t="s">
        <v>8</v>
      </c>
      <c r="R892" t="s">
        <v>0</v>
      </c>
      <c r="S892">
        <v>0</v>
      </c>
    </row>
    <row r="893" spans="1:19" x14ac:dyDescent="0.3">
      <c r="A893">
        <v>892</v>
      </c>
      <c r="B893">
        <v>22.1</v>
      </c>
      <c r="C893" t="s">
        <v>11</v>
      </c>
      <c r="D893">
        <v>25000</v>
      </c>
      <c r="E893" t="s">
        <v>4</v>
      </c>
      <c r="F893">
        <v>5.29</v>
      </c>
      <c r="G893">
        <v>81.8</v>
      </c>
      <c r="H893">
        <v>4</v>
      </c>
      <c r="I893">
        <v>44.1</v>
      </c>
      <c r="J893" t="s">
        <v>3</v>
      </c>
      <c r="K893" t="s">
        <v>4</v>
      </c>
      <c r="L893">
        <v>6.3</v>
      </c>
      <c r="M893">
        <v>3.33</v>
      </c>
      <c r="N893">
        <v>3</v>
      </c>
      <c r="O893">
        <v>3</v>
      </c>
      <c r="P893" t="s">
        <v>2</v>
      </c>
      <c r="Q893" t="s">
        <v>1</v>
      </c>
      <c r="R893" t="s">
        <v>0</v>
      </c>
      <c r="S893">
        <v>1</v>
      </c>
    </row>
    <row r="894" spans="1:19" x14ac:dyDescent="0.3">
      <c r="A894">
        <v>893</v>
      </c>
      <c r="B894">
        <v>23.3</v>
      </c>
      <c r="C894" t="s">
        <v>5</v>
      </c>
      <c r="D894">
        <v>25000</v>
      </c>
      <c r="E894" t="s">
        <v>4</v>
      </c>
      <c r="F894">
        <v>4.1399999999999997</v>
      </c>
      <c r="G894">
        <v>89.2</v>
      </c>
      <c r="H894">
        <v>0</v>
      </c>
      <c r="I894">
        <v>45.4</v>
      </c>
      <c r="J894" t="s">
        <v>3</v>
      </c>
      <c r="K894" t="s">
        <v>3</v>
      </c>
      <c r="L894">
        <v>5</v>
      </c>
      <c r="M894">
        <v>1.43</v>
      </c>
      <c r="N894">
        <v>1.18</v>
      </c>
      <c r="O894">
        <v>1.21</v>
      </c>
      <c r="P894" t="s">
        <v>7</v>
      </c>
      <c r="Q894" t="s">
        <v>1</v>
      </c>
      <c r="R894" t="s">
        <v>15</v>
      </c>
      <c r="S894">
        <v>0</v>
      </c>
    </row>
    <row r="895" spans="1:19" x14ac:dyDescent="0.3">
      <c r="A895">
        <v>894</v>
      </c>
      <c r="B895">
        <v>23.6</v>
      </c>
      <c r="C895" t="s">
        <v>5</v>
      </c>
      <c r="D895">
        <v>47282</v>
      </c>
      <c r="E895" t="s">
        <v>4</v>
      </c>
      <c r="F895">
        <v>2.87</v>
      </c>
      <c r="G895">
        <v>95.8</v>
      </c>
      <c r="H895">
        <v>3</v>
      </c>
      <c r="I895">
        <v>37.200000000000003</v>
      </c>
      <c r="J895" t="s">
        <v>4</v>
      </c>
      <c r="K895" t="s">
        <v>3</v>
      </c>
      <c r="L895">
        <v>7.4</v>
      </c>
      <c r="M895">
        <v>1.1299999999999999</v>
      </c>
      <c r="N895">
        <v>0.85</v>
      </c>
      <c r="O895">
        <v>0.84</v>
      </c>
      <c r="P895" t="s">
        <v>12</v>
      </c>
      <c r="Q895" t="s">
        <v>14</v>
      </c>
      <c r="R895" t="s">
        <v>15</v>
      </c>
      <c r="S895">
        <v>1</v>
      </c>
    </row>
    <row r="896" spans="1:19" x14ac:dyDescent="0.3">
      <c r="A896">
        <v>895</v>
      </c>
      <c r="B896">
        <v>24</v>
      </c>
      <c r="C896" t="s">
        <v>11</v>
      </c>
      <c r="D896">
        <v>40450</v>
      </c>
      <c r="E896" t="s">
        <v>4</v>
      </c>
      <c r="F896">
        <v>1.62</v>
      </c>
      <c r="G896">
        <v>83.4</v>
      </c>
      <c r="H896">
        <v>3</v>
      </c>
      <c r="I896">
        <v>37.700000000000003</v>
      </c>
      <c r="J896" t="s">
        <v>3</v>
      </c>
      <c r="K896" t="s">
        <v>4</v>
      </c>
      <c r="L896">
        <v>4.8</v>
      </c>
      <c r="M896">
        <v>2.44</v>
      </c>
      <c r="N896">
        <v>2.84</v>
      </c>
      <c r="O896">
        <v>2.82</v>
      </c>
      <c r="P896" t="s">
        <v>10</v>
      </c>
      <c r="Q896" t="s">
        <v>13</v>
      </c>
      <c r="R896" t="s">
        <v>9</v>
      </c>
      <c r="S896">
        <v>0</v>
      </c>
    </row>
    <row r="897" spans="1:19" x14ac:dyDescent="0.3">
      <c r="A897">
        <v>896</v>
      </c>
      <c r="B897">
        <v>22.4</v>
      </c>
      <c r="C897" t="s">
        <v>11</v>
      </c>
      <c r="D897">
        <v>47389</v>
      </c>
      <c r="E897" t="s">
        <v>4</v>
      </c>
      <c r="F897">
        <v>3.21</v>
      </c>
      <c r="G897">
        <v>80.400000000000006</v>
      </c>
      <c r="H897">
        <v>3</v>
      </c>
      <c r="I897">
        <v>14.6</v>
      </c>
      <c r="J897" t="s">
        <v>3</v>
      </c>
      <c r="K897" t="s">
        <v>3</v>
      </c>
      <c r="L897">
        <v>5.7</v>
      </c>
      <c r="M897">
        <v>1.32</v>
      </c>
      <c r="N897">
        <v>0.96</v>
      </c>
      <c r="O897">
        <v>0.99</v>
      </c>
      <c r="P897" t="s">
        <v>7</v>
      </c>
      <c r="Q897" t="s">
        <v>14</v>
      </c>
      <c r="R897" t="s">
        <v>17</v>
      </c>
      <c r="S897">
        <v>0</v>
      </c>
    </row>
    <row r="898" spans="1:19" x14ac:dyDescent="0.3">
      <c r="A898">
        <v>897</v>
      </c>
      <c r="B898">
        <v>20.6</v>
      </c>
      <c r="C898" t="s">
        <v>5</v>
      </c>
      <c r="D898">
        <v>25000</v>
      </c>
      <c r="E898" t="s">
        <v>4</v>
      </c>
      <c r="F898">
        <v>3.12</v>
      </c>
      <c r="G898">
        <v>79</v>
      </c>
      <c r="H898">
        <v>5</v>
      </c>
      <c r="I898">
        <v>46.8</v>
      </c>
      <c r="J898" t="s">
        <v>4</v>
      </c>
      <c r="K898" t="s">
        <v>3</v>
      </c>
      <c r="L898">
        <v>5.3</v>
      </c>
      <c r="M898">
        <v>1.96</v>
      </c>
      <c r="N898">
        <v>2.25</v>
      </c>
      <c r="O898">
        <v>2.2599999999999998</v>
      </c>
      <c r="P898" t="s">
        <v>10</v>
      </c>
      <c r="Q898" t="s">
        <v>8</v>
      </c>
      <c r="R898" t="s">
        <v>9</v>
      </c>
      <c r="S898">
        <v>0</v>
      </c>
    </row>
    <row r="899" spans="1:19" x14ac:dyDescent="0.3">
      <c r="A899">
        <v>898</v>
      </c>
      <c r="B899">
        <v>21.3</v>
      </c>
      <c r="C899" t="s">
        <v>5</v>
      </c>
      <c r="D899">
        <v>97980</v>
      </c>
      <c r="E899" t="s">
        <v>4</v>
      </c>
      <c r="F899">
        <v>3.86</v>
      </c>
      <c r="G899">
        <v>83.1</v>
      </c>
      <c r="H899">
        <v>1</v>
      </c>
      <c r="I899">
        <v>45</v>
      </c>
      <c r="J899" t="s">
        <v>3</v>
      </c>
      <c r="K899" t="s">
        <v>3</v>
      </c>
      <c r="L899">
        <v>2.7</v>
      </c>
      <c r="M899">
        <v>3.17</v>
      </c>
      <c r="N899">
        <v>2.92</v>
      </c>
      <c r="O899">
        <v>2.88</v>
      </c>
      <c r="P899" t="s">
        <v>7</v>
      </c>
      <c r="Q899" t="s">
        <v>13</v>
      </c>
      <c r="R899" t="s">
        <v>9</v>
      </c>
      <c r="S899">
        <v>0</v>
      </c>
    </row>
    <row r="900" spans="1:19" x14ac:dyDescent="0.3">
      <c r="A900">
        <v>899</v>
      </c>
      <c r="B900">
        <v>23.7</v>
      </c>
      <c r="C900" t="s">
        <v>5</v>
      </c>
      <c r="D900">
        <v>31915</v>
      </c>
      <c r="E900" t="s">
        <v>4</v>
      </c>
      <c r="F900">
        <v>1.73</v>
      </c>
      <c r="G900">
        <v>93.1</v>
      </c>
      <c r="H900">
        <v>2</v>
      </c>
      <c r="I900">
        <v>13.4</v>
      </c>
      <c r="J900" t="s">
        <v>4</v>
      </c>
      <c r="K900" t="s">
        <v>3</v>
      </c>
      <c r="L900">
        <v>6.2</v>
      </c>
      <c r="M900">
        <v>2.13</v>
      </c>
      <c r="N900">
        <v>2.2200000000000002</v>
      </c>
      <c r="O900">
        <v>2.2200000000000002</v>
      </c>
      <c r="P900" t="s">
        <v>7</v>
      </c>
      <c r="Q900" t="s">
        <v>14</v>
      </c>
      <c r="R900" t="s">
        <v>9</v>
      </c>
      <c r="S900">
        <v>0</v>
      </c>
    </row>
    <row r="901" spans="1:19" x14ac:dyDescent="0.3">
      <c r="A901">
        <v>900</v>
      </c>
      <c r="B901">
        <v>19.2</v>
      </c>
      <c r="C901" t="s">
        <v>5</v>
      </c>
      <c r="D901">
        <v>25000</v>
      </c>
      <c r="E901" t="s">
        <v>4</v>
      </c>
      <c r="F901">
        <v>4.5599999999999996</v>
      </c>
      <c r="G901">
        <v>83.2</v>
      </c>
      <c r="H901">
        <v>3</v>
      </c>
      <c r="I901">
        <v>35.6</v>
      </c>
      <c r="J901" t="s">
        <v>4</v>
      </c>
      <c r="K901" t="s">
        <v>4</v>
      </c>
      <c r="L901">
        <v>6.1</v>
      </c>
      <c r="M901">
        <v>2.33</v>
      </c>
      <c r="N901">
        <v>2.35</v>
      </c>
      <c r="O901">
        <v>2.41</v>
      </c>
      <c r="P901" t="s">
        <v>7</v>
      </c>
      <c r="Q901" t="s">
        <v>8</v>
      </c>
      <c r="R901" t="s">
        <v>15</v>
      </c>
      <c r="S901">
        <v>0</v>
      </c>
    </row>
    <row r="902" spans="1:19" x14ac:dyDescent="0.3">
      <c r="A902">
        <v>901</v>
      </c>
      <c r="B902">
        <v>21.8</v>
      </c>
      <c r="C902" t="s">
        <v>11</v>
      </c>
      <c r="D902">
        <v>25543</v>
      </c>
      <c r="E902" t="s">
        <v>4</v>
      </c>
      <c r="F902">
        <v>4.83</v>
      </c>
      <c r="G902">
        <v>86</v>
      </c>
      <c r="H902">
        <v>1</v>
      </c>
      <c r="I902">
        <v>23.4</v>
      </c>
      <c r="J902" t="s">
        <v>4</v>
      </c>
      <c r="K902" t="s">
        <v>4</v>
      </c>
      <c r="L902">
        <v>2</v>
      </c>
      <c r="M902">
        <v>2.57</v>
      </c>
      <c r="N902">
        <v>2.4700000000000002</v>
      </c>
      <c r="O902">
        <v>2.4700000000000002</v>
      </c>
      <c r="P902" t="s">
        <v>2</v>
      </c>
      <c r="Q902" t="s">
        <v>14</v>
      </c>
      <c r="R902" t="s">
        <v>15</v>
      </c>
      <c r="S902">
        <v>0</v>
      </c>
    </row>
    <row r="903" spans="1:19" x14ac:dyDescent="0.3">
      <c r="A903">
        <v>902</v>
      </c>
      <c r="B903">
        <v>20.100000000000001</v>
      </c>
      <c r="C903" t="s">
        <v>11</v>
      </c>
      <c r="D903">
        <v>25000</v>
      </c>
      <c r="E903" t="s">
        <v>4</v>
      </c>
      <c r="F903">
        <v>2.31</v>
      </c>
      <c r="G903">
        <v>70.599999999999994</v>
      </c>
      <c r="H903">
        <v>5</v>
      </c>
      <c r="I903">
        <v>52.2</v>
      </c>
      <c r="J903" t="s">
        <v>3</v>
      </c>
      <c r="K903" t="s">
        <v>3</v>
      </c>
      <c r="L903">
        <v>1.1000000000000001</v>
      </c>
      <c r="M903">
        <v>3.81</v>
      </c>
      <c r="N903">
        <v>4</v>
      </c>
      <c r="O903">
        <v>4</v>
      </c>
      <c r="P903" t="s">
        <v>2</v>
      </c>
      <c r="Q903" t="s">
        <v>8</v>
      </c>
      <c r="R903" t="s">
        <v>16</v>
      </c>
      <c r="S903">
        <v>0</v>
      </c>
    </row>
    <row r="904" spans="1:19" x14ac:dyDescent="0.3">
      <c r="A904">
        <v>903</v>
      </c>
      <c r="B904">
        <v>21.1</v>
      </c>
      <c r="C904" t="s">
        <v>5</v>
      </c>
      <c r="D904">
        <v>77232</v>
      </c>
      <c r="E904" t="s">
        <v>4</v>
      </c>
      <c r="F904">
        <v>1.8</v>
      </c>
      <c r="G904">
        <v>94.8</v>
      </c>
      <c r="H904">
        <v>3</v>
      </c>
      <c r="I904">
        <v>18.3</v>
      </c>
      <c r="J904" t="s">
        <v>3</v>
      </c>
      <c r="K904" t="s">
        <v>3</v>
      </c>
      <c r="L904">
        <v>4.7</v>
      </c>
      <c r="M904">
        <v>2.5499999999999998</v>
      </c>
      <c r="N904">
        <v>2.38</v>
      </c>
      <c r="O904">
        <v>2.31</v>
      </c>
      <c r="P904" t="s">
        <v>10</v>
      </c>
      <c r="Q904" t="s">
        <v>14</v>
      </c>
      <c r="R904" t="s">
        <v>15</v>
      </c>
      <c r="S904">
        <v>0</v>
      </c>
    </row>
    <row r="905" spans="1:19" x14ac:dyDescent="0.3">
      <c r="A905">
        <v>904</v>
      </c>
      <c r="B905">
        <v>23.8</v>
      </c>
      <c r="C905" t="s">
        <v>5</v>
      </c>
      <c r="D905">
        <v>25000</v>
      </c>
      <c r="E905" t="s">
        <v>3</v>
      </c>
      <c r="F905">
        <v>5.32</v>
      </c>
      <c r="G905">
        <v>92.7</v>
      </c>
      <c r="H905">
        <v>5</v>
      </c>
      <c r="I905">
        <v>31.1</v>
      </c>
      <c r="J905" t="s">
        <v>3</v>
      </c>
      <c r="K905" t="s">
        <v>3</v>
      </c>
      <c r="L905">
        <v>7.7</v>
      </c>
      <c r="M905">
        <v>2.61</v>
      </c>
      <c r="N905">
        <v>2.4300000000000002</v>
      </c>
      <c r="O905">
        <v>2.42</v>
      </c>
      <c r="P905" t="s">
        <v>12</v>
      </c>
      <c r="Q905" t="s">
        <v>13</v>
      </c>
      <c r="R905" t="s">
        <v>0</v>
      </c>
      <c r="S905">
        <v>0</v>
      </c>
    </row>
    <row r="906" spans="1:19" x14ac:dyDescent="0.3">
      <c r="A906">
        <v>905</v>
      </c>
      <c r="B906">
        <v>21.4</v>
      </c>
      <c r="C906" t="s">
        <v>11</v>
      </c>
      <c r="D906">
        <v>39954</v>
      </c>
      <c r="E906" t="s">
        <v>4</v>
      </c>
      <c r="F906">
        <v>3.81</v>
      </c>
      <c r="G906">
        <v>79.599999999999994</v>
      </c>
      <c r="H906">
        <v>4</v>
      </c>
      <c r="I906">
        <v>32.200000000000003</v>
      </c>
      <c r="J906" t="s">
        <v>3</v>
      </c>
      <c r="K906" t="s">
        <v>3</v>
      </c>
      <c r="L906">
        <v>10</v>
      </c>
      <c r="M906">
        <v>0.1</v>
      </c>
      <c r="N906">
        <v>0</v>
      </c>
      <c r="O906">
        <v>7.0000000000000007E-2</v>
      </c>
      <c r="P906" t="s">
        <v>12</v>
      </c>
      <c r="Q906" t="s">
        <v>8</v>
      </c>
      <c r="R906" t="s">
        <v>9</v>
      </c>
      <c r="S906">
        <v>0</v>
      </c>
    </row>
    <row r="907" spans="1:19" x14ac:dyDescent="0.3">
      <c r="A907">
        <v>906</v>
      </c>
      <c r="B907">
        <v>21.1</v>
      </c>
      <c r="C907" t="s">
        <v>11</v>
      </c>
      <c r="D907">
        <v>25000</v>
      </c>
      <c r="E907" t="s">
        <v>4</v>
      </c>
      <c r="F907">
        <v>4.83</v>
      </c>
      <c r="G907">
        <v>81.2</v>
      </c>
      <c r="H907">
        <v>2</v>
      </c>
      <c r="I907">
        <v>29.4</v>
      </c>
      <c r="J907" t="s">
        <v>3</v>
      </c>
      <c r="K907" t="s">
        <v>3</v>
      </c>
      <c r="L907">
        <v>2.2000000000000002</v>
      </c>
      <c r="M907">
        <v>4</v>
      </c>
      <c r="N907">
        <v>4</v>
      </c>
      <c r="O907">
        <v>3.95</v>
      </c>
      <c r="P907" t="s">
        <v>10</v>
      </c>
      <c r="Q907" t="s">
        <v>1</v>
      </c>
      <c r="R907" t="s">
        <v>9</v>
      </c>
      <c r="S907">
        <v>0</v>
      </c>
    </row>
    <row r="908" spans="1:19" x14ac:dyDescent="0.3">
      <c r="A908">
        <v>907</v>
      </c>
      <c r="B908">
        <v>18</v>
      </c>
      <c r="C908" t="s">
        <v>11</v>
      </c>
      <c r="D908">
        <v>25000</v>
      </c>
      <c r="E908" t="s">
        <v>4</v>
      </c>
      <c r="F908">
        <v>4.1399999999999997</v>
      </c>
      <c r="G908">
        <v>91.4</v>
      </c>
      <c r="H908">
        <v>0</v>
      </c>
      <c r="I908">
        <v>55.8</v>
      </c>
      <c r="J908" t="s">
        <v>4</v>
      </c>
      <c r="K908" t="s">
        <v>3</v>
      </c>
      <c r="L908">
        <v>8.4</v>
      </c>
      <c r="M908">
        <v>4</v>
      </c>
      <c r="N908">
        <v>4</v>
      </c>
      <c r="O908">
        <v>4</v>
      </c>
      <c r="P908" t="s">
        <v>2</v>
      </c>
      <c r="Q908" t="s">
        <v>6</v>
      </c>
      <c r="R908" t="s">
        <v>9</v>
      </c>
      <c r="S908">
        <v>0</v>
      </c>
    </row>
    <row r="909" spans="1:19" x14ac:dyDescent="0.3">
      <c r="A909">
        <v>908</v>
      </c>
      <c r="B909">
        <v>22.6</v>
      </c>
      <c r="C909" t="s">
        <v>11</v>
      </c>
      <c r="D909">
        <v>25000</v>
      </c>
      <c r="E909" t="s">
        <v>4</v>
      </c>
      <c r="F909">
        <v>3.89</v>
      </c>
      <c r="G909">
        <v>100</v>
      </c>
      <c r="H909">
        <v>2</v>
      </c>
      <c r="I909">
        <v>50.3</v>
      </c>
      <c r="J909" t="s">
        <v>3</v>
      </c>
      <c r="K909" t="s">
        <v>3</v>
      </c>
      <c r="L909">
        <v>7.6</v>
      </c>
      <c r="M909">
        <v>0.89</v>
      </c>
      <c r="N909">
        <v>0.62</v>
      </c>
      <c r="O909">
        <v>0.62</v>
      </c>
      <c r="P909" t="s">
        <v>2</v>
      </c>
      <c r="Q909" t="s">
        <v>13</v>
      </c>
      <c r="R909" t="s">
        <v>0</v>
      </c>
      <c r="S909">
        <v>0</v>
      </c>
    </row>
    <row r="910" spans="1:19" x14ac:dyDescent="0.3">
      <c r="A910">
        <v>909</v>
      </c>
      <c r="B910">
        <v>22.4</v>
      </c>
      <c r="C910" t="s">
        <v>5</v>
      </c>
      <c r="D910">
        <v>42570</v>
      </c>
      <c r="E910" t="s">
        <v>4</v>
      </c>
      <c r="F910">
        <v>5.35</v>
      </c>
      <c r="G910">
        <v>68.5</v>
      </c>
      <c r="H910">
        <v>1</v>
      </c>
      <c r="I910">
        <v>10.3</v>
      </c>
      <c r="J910" t="s">
        <v>3</v>
      </c>
      <c r="K910" t="s">
        <v>4</v>
      </c>
      <c r="L910">
        <v>4.4000000000000004</v>
      </c>
      <c r="M910">
        <v>1.97</v>
      </c>
      <c r="N910">
        <v>1.71</v>
      </c>
      <c r="O910">
        <v>1.67</v>
      </c>
      <c r="P910" t="s">
        <v>12</v>
      </c>
      <c r="Q910" t="s">
        <v>8</v>
      </c>
      <c r="R910" t="s">
        <v>17</v>
      </c>
      <c r="S910">
        <v>0</v>
      </c>
    </row>
    <row r="911" spans="1:19" x14ac:dyDescent="0.3">
      <c r="A911">
        <v>910</v>
      </c>
      <c r="B911">
        <v>25.8</v>
      </c>
      <c r="C911" t="s">
        <v>5</v>
      </c>
      <c r="D911">
        <v>64829</v>
      </c>
      <c r="E911" t="s">
        <v>3</v>
      </c>
      <c r="F911">
        <v>5.09</v>
      </c>
      <c r="G911">
        <v>77.900000000000006</v>
      </c>
      <c r="H911">
        <v>0</v>
      </c>
      <c r="I911">
        <v>35.799999999999997</v>
      </c>
      <c r="J911" t="s">
        <v>3</v>
      </c>
      <c r="K911" t="s">
        <v>3</v>
      </c>
      <c r="L911">
        <v>8.9</v>
      </c>
      <c r="M911">
        <v>1.65</v>
      </c>
      <c r="N911">
        <v>1.67</v>
      </c>
      <c r="O911">
        <v>1.65</v>
      </c>
      <c r="P911" t="s">
        <v>10</v>
      </c>
      <c r="Q911" t="s">
        <v>6</v>
      </c>
      <c r="R911" t="s">
        <v>9</v>
      </c>
      <c r="S911">
        <v>0</v>
      </c>
    </row>
    <row r="912" spans="1:19" x14ac:dyDescent="0.3">
      <c r="A912">
        <v>911</v>
      </c>
      <c r="B912">
        <v>20.3</v>
      </c>
      <c r="C912" t="s">
        <v>11</v>
      </c>
      <c r="D912">
        <v>25000</v>
      </c>
      <c r="E912" t="s">
        <v>4</v>
      </c>
      <c r="F912">
        <v>4.5</v>
      </c>
      <c r="G912">
        <v>78.8</v>
      </c>
      <c r="H912">
        <v>0</v>
      </c>
      <c r="I912">
        <v>29.9</v>
      </c>
      <c r="J912" t="s">
        <v>3</v>
      </c>
      <c r="K912" t="s">
        <v>3</v>
      </c>
      <c r="L912">
        <v>6.3</v>
      </c>
      <c r="M912">
        <v>2.56</v>
      </c>
      <c r="N912">
        <v>2.69</v>
      </c>
      <c r="O912">
        <v>2.76</v>
      </c>
      <c r="P912" t="s">
        <v>7</v>
      </c>
      <c r="Q912" t="s">
        <v>13</v>
      </c>
      <c r="R912" t="s">
        <v>9</v>
      </c>
      <c r="S912">
        <v>0</v>
      </c>
    </row>
    <row r="913" spans="1:19" x14ac:dyDescent="0.3">
      <c r="A913">
        <v>912</v>
      </c>
      <c r="B913">
        <v>21.5</v>
      </c>
      <c r="C913" t="s">
        <v>11</v>
      </c>
      <c r="D913">
        <v>25000</v>
      </c>
      <c r="E913" t="s">
        <v>4</v>
      </c>
      <c r="F913">
        <v>4.59</v>
      </c>
      <c r="G913">
        <v>90.3</v>
      </c>
      <c r="H913">
        <v>2</v>
      </c>
      <c r="I913">
        <v>40</v>
      </c>
      <c r="J913" t="s">
        <v>3</v>
      </c>
      <c r="K913" t="s">
        <v>4</v>
      </c>
      <c r="L913">
        <v>5.0999999999999996</v>
      </c>
      <c r="M913">
        <v>1.4</v>
      </c>
      <c r="N913">
        <v>1.48</v>
      </c>
      <c r="O913">
        <v>1.48</v>
      </c>
      <c r="P913" t="s">
        <v>2</v>
      </c>
      <c r="Q913" t="s">
        <v>13</v>
      </c>
      <c r="R913" t="s">
        <v>9</v>
      </c>
      <c r="S913">
        <v>1</v>
      </c>
    </row>
    <row r="914" spans="1:19" x14ac:dyDescent="0.3">
      <c r="A914">
        <v>913</v>
      </c>
      <c r="B914">
        <v>21.5</v>
      </c>
      <c r="C914" t="s">
        <v>5</v>
      </c>
      <c r="D914">
        <v>48146</v>
      </c>
      <c r="E914" t="s">
        <v>4</v>
      </c>
      <c r="F914">
        <v>3.44</v>
      </c>
      <c r="G914">
        <v>84.8</v>
      </c>
      <c r="H914">
        <v>0</v>
      </c>
      <c r="I914">
        <v>32.6</v>
      </c>
      <c r="J914" t="s">
        <v>3</v>
      </c>
      <c r="K914" t="s">
        <v>4</v>
      </c>
      <c r="L914">
        <v>2.2999999999999998</v>
      </c>
      <c r="M914">
        <v>2.5499999999999998</v>
      </c>
      <c r="N914">
        <v>3.14</v>
      </c>
      <c r="O914">
        <v>3.19</v>
      </c>
      <c r="P914" t="s">
        <v>10</v>
      </c>
      <c r="Q914" t="s">
        <v>14</v>
      </c>
      <c r="R914" t="s">
        <v>9</v>
      </c>
      <c r="S914">
        <v>0</v>
      </c>
    </row>
    <row r="915" spans="1:19" x14ac:dyDescent="0.3">
      <c r="A915">
        <v>914</v>
      </c>
      <c r="B915">
        <v>24.5</v>
      </c>
      <c r="C915" t="s">
        <v>5</v>
      </c>
      <c r="D915">
        <v>25000</v>
      </c>
      <c r="E915" t="s">
        <v>4</v>
      </c>
      <c r="F915">
        <v>4.72</v>
      </c>
      <c r="G915">
        <v>77.900000000000006</v>
      </c>
      <c r="H915">
        <v>3</v>
      </c>
      <c r="I915">
        <v>20.2</v>
      </c>
      <c r="J915" t="s">
        <v>4</v>
      </c>
      <c r="K915" t="s">
        <v>3</v>
      </c>
      <c r="L915">
        <v>5.7</v>
      </c>
      <c r="M915">
        <v>2.19</v>
      </c>
      <c r="N915">
        <v>1.71</v>
      </c>
      <c r="O915">
        <v>1.71</v>
      </c>
      <c r="P915" t="s">
        <v>2</v>
      </c>
      <c r="Q915" t="s">
        <v>13</v>
      </c>
      <c r="R915" t="s">
        <v>0</v>
      </c>
      <c r="S915">
        <v>0</v>
      </c>
    </row>
    <row r="916" spans="1:19" x14ac:dyDescent="0.3">
      <c r="A916">
        <v>915</v>
      </c>
      <c r="B916">
        <v>20.8</v>
      </c>
      <c r="C916" t="s">
        <v>5</v>
      </c>
      <c r="D916">
        <v>61804</v>
      </c>
      <c r="E916" t="s">
        <v>4</v>
      </c>
      <c r="F916">
        <v>6.02</v>
      </c>
      <c r="G916">
        <v>70.7</v>
      </c>
      <c r="H916">
        <v>1</v>
      </c>
      <c r="I916">
        <v>17.600000000000001</v>
      </c>
      <c r="J916" t="s">
        <v>3</v>
      </c>
      <c r="K916" t="s">
        <v>3</v>
      </c>
      <c r="L916">
        <v>5.6</v>
      </c>
      <c r="M916">
        <v>2.4500000000000002</v>
      </c>
      <c r="N916">
        <v>1.72</v>
      </c>
      <c r="O916">
        <v>1.69</v>
      </c>
      <c r="P916" t="s">
        <v>10</v>
      </c>
      <c r="Q916" t="s">
        <v>6</v>
      </c>
      <c r="R916" t="s">
        <v>16</v>
      </c>
      <c r="S916">
        <v>0</v>
      </c>
    </row>
    <row r="917" spans="1:19" x14ac:dyDescent="0.3">
      <c r="A917">
        <v>916</v>
      </c>
      <c r="B917">
        <v>21.6</v>
      </c>
      <c r="C917" t="s">
        <v>11</v>
      </c>
      <c r="D917">
        <v>25000</v>
      </c>
      <c r="E917" t="s">
        <v>4</v>
      </c>
      <c r="F917">
        <v>5.33</v>
      </c>
      <c r="G917">
        <v>90.1</v>
      </c>
      <c r="H917">
        <v>1</v>
      </c>
      <c r="I917">
        <v>25.2</v>
      </c>
      <c r="J917" t="s">
        <v>4</v>
      </c>
      <c r="K917" t="s">
        <v>4</v>
      </c>
      <c r="L917">
        <v>9.5</v>
      </c>
      <c r="M917">
        <v>2.08</v>
      </c>
      <c r="N917">
        <v>2</v>
      </c>
      <c r="O917">
        <v>2.09</v>
      </c>
      <c r="P917" t="s">
        <v>12</v>
      </c>
      <c r="Q917" t="s">
        <v>1</v>
      </c>
      <c r="R917" t="s">
        <v>9</v>
      </c>
      <c r="S917">
        <v>0</v>
      </c>
    </row>
    <row r="918" spans="1:19" x14ac:dyDescent="0.3">
      <c r="A918">
        <v>917</v>
      </c>
      <c r="B918">
        <v>22.3</v>
      </c>
      <c r="C918" t="s">
        <v>5</v>
      </c>
      <c r="D918">
        <v>25000</v>
      </c>
      <c r="E918" t="s">
        <v>3</v>
      </c>
      <c r="F918">
        <v>1.57</v>
      </c>
      <c r="G918">
        <v>80.400000000000006</v>
      </c>
      <c r="H918">
        <v>0</v>
      </c>
      <c r="I918">
        <v>28.6</v>
      </c>
      <c r="J918" t="s">
        <v>3</v>
      </c>
      <c r="K918" t="s">
        <v>4</v>
      </c>
      <c r="L918">
        <v>3.8</v>
      </c>
      <c r="M918">
        <v>3.43</v>
      </c>
      <c r="N918">
        <v>3.37</v>
      </c>
      <c r="O918">
        <v>3.37</v>
      </c>
      <c r="P918" t="s">
        <v>2</v>
      </c>
      <c r="Q918" t="s">
        <v>8</v>
      </c>
      <c r="R918" t="s">
        <v>15</v>
      </c>
      <c r="S918">
        <v>0</v>
      </c>
    </row>
    <row r="919" spans="1:19" x14ac:dyDescent="0.3">
      <c r="A919">
        <v>918</v>
      </c>
      <c r="B919">
        <v>21.4</v>
      </c>
      <c r="C919" t="s">
        <v>5</v>
      </c>
      <c r="D919">
        <v>34513</v>
      </c>
      <c r="E919" t="s">
        <v>4</v>
      </c>
      <c r="F919">
        <v>4.59</v>
      </c>
      <c r="G919">
        <v>72.7</v>
      </c>
      <c r="H919">
        <v>0</v>
      </c>
      <c r="I919">
        <v>32.299999999999997</v>
      </c>
      <c r="J919" t="s">
        <v>3</v>
      </c>
      <c r="K919" t="s">
        <v>3</v>
      </c>
      <c r="L919">
        <v>3.9</v>
      </c>
      <c r="M919">
        <v>2.2999999999999998</v>
      </c>
      <c r="N919">
        <v>2.74</v>
      </c>
      <c r="O919">
        <v>2.72</v>
      </c>
      <c r="P919" t="s">
        <v>7</v>
      </c>
      <c r="Q919" t="s">
        <v>13</v>
      </c>
      <c r="R919" t="s">
        <v>9</v>
      </c>
      <c r="S919">
        <v>0</v>
      </c>
    </row>
    <row r="920" spans="1:19" x14ac:dyDescent="0.3">
      <c r="A920">
        <v>919</v>
      </c>
      <c r="B920">
        <v>20</v>
      </c>
      <c r="C920" t="s">
        <v>11</v>
      </c>
      <c r="D920">
        <v>25000</v>
      </c>
      <c r="E920" t="s">
        <v>4</v>
      </c>
      <c r="F920">
        <v>4.6900000000000004</v>
      </c>
      <c r="G920">
        <v>76.5</v>
      </c>
      <c r="H920">
        <v>3</v>
      </c>
      <c r="I920">
        <v>23.2</v>
      </c>
      <c r="J920" t="s">
        <v>4</v>
      </c>
      <c r="K920" t="s">
        <v>4</v>
      </c>
      <c r="L920">
        <v>4.5999999999999996</v>
      </c>
      <c r="M920">
        <v>2.74</v>
      </c>
      <c r="N920">
        <v>2.67</v>
      </c>
      <c r="O920">
        <v>2.74</v>
      </c>
      <c r="P920" t="s">
        <v>7</v>
      </c>
      <c r="Q920" t="s">
        <v>1</v>
      </c>
      <c r="R920" t="s">
        <v>16</v>
      </c>
      <c r="S920">
        <v>0</v>
      </c>
    </row>
    <row r="921" spans="1:19" x14ac:dyDescent="0.3">
      <c r="A921">
        <v>920</v>
      </c>
      <c r="B921">
        <v>21.4</v>
      </c>
      <c r="C921" t="s">
        <v>5</v>
      </c>
      <c r="D921">
        <v>25000</v>
      </c>
      <c r="E921" t="s">
        <v>4</v>
      </c>
      <c r="F921">
        <v>5.47</v>
      </c>
      <c r="G921">
        <v>78.599999999999994</v>
      </c>
      <c r="H921">
        <v>2</v>
      </c>
      <c r="I921">
        <v>50.5</v>
      </c>
      <c r="J921" t="s">
        <v>3</v>
      </c>
      <c r="K921" t="s">
        <v>4</v>
      </c>
      <c r="L921">
        <v>10</v>
      </c>
      <c r="M921">
        <v>1.31</v>
      </c>
      <c r="N921">
        <v>0.82</v>
      </c>
      <c r="O921">
        <v>0.78</v>
      </c>
      <c r="P921" t="s">
        <v>12</v>
      </c>
      <c r="Q921" t="s">
        <v>6</v>
      </c>
      <c r="R921" t="s">
        <v>15</v>
      </c>
      <c r="S921">
        <v>0</v>
      </c>
    </row>
    <row r="922" spans="1:19" x14ac:dyDescent="0.3">
      <c r="A922">
        <v>921</v>
      </c>
      <c r="B922">
        <v>23.4</v>
      </c>
      <c r="C922" t="s">
        <v>5</v>
      </c>
      <c r="D922">
        <v>36768</v>
      </c>
      <c r="E922" t="s">
        <v>4</v>
      </c>
      <c r="F922">
        <v>5.61</v>
      </c>
      <c r="G922">
        <v>79.599999999999994</v>
      </c>
      <c r="H922">
        <v>1</v>
      </c>
      <c r="I922">
        <v>36.4</v>
      </c>
      <c r="J922" t="s">
        <v>4</v>
      </c>
      <c r="K922" t="s">
        <v>3</v>
      </c>
      <c r="L922">
        <v>3.4</v>
      </c>
      <c r="M922">
        <v>4</v>
      </c>
      <c r="N922">
        <v>4</v>
      </c>
      <c r="O922">
        <v>3.97</v>
      </c>
      <c r="P922" t="s">
        <v>7</v>
      </c>
      <c r="Q922" t="s">
        <v>14</v>
      </c>
      <c r="R922" t="s">
        <v>15</v>
      </c>
      <c r="S922">
        <v>0</v>
      </c>
    </row>
    <row r="923" spans="1:19" x14ac:dyDescent="0.3">
      <c r="A923">
        <v>922</v>
      </c>
      <c r="B923">
        <v>18.7</v>
      </c>
      <c r="C923" t="s">
        <v>5</v>
      </c>
      <c r="D923">
        <v>25000</v>
      </c>
      <c r="E923" t="s">
        <v>4</v>
      </c>
      <c r="F923">
        <v>4.6399999999999997</v>
      </c>
      <c r="G923">
        <v>73.599999999999994</v>
      </c>
      <c r="H923">
        <v>2</v>
      </c>
      <c r="I923">
        <v>40.5</v>
      </c>
      <c r="J923" t="s">
        <v>3</v>
      </c>
      <c r="K923" t="s">
        <v>3</v>
      </c>
      <c r="L923">
        <v>7.9</v>
      </c>
      <c r="M923">
        <v>1.23</v>
      </c>
      <c r="N923">
        <v>1.26</v>
      </c>
      <c r="O923">
        <v>1.24</v>
      </c>
      <c r="P923" t="s">
        <v>7</v>
      </c>
      <c r="Q923" t="s">
        <v>13</v>
      </c>
      <c r="R923" t="s">
        <v>9</v>
      </c>
      <c r="S923">
        <v>0</v>
      </c>
    </row>
    <row r="924" spans="1:19" x14ac:dyDescent="0.3">
      <c r="A924">
        <v>923</v>
      </c>
      <c r="B924">
        <v>21.3</v>
      </c>
      <c r="C924" t="s">
        <v>5</v>
      </c>
      <c r="D924">
        <v>79654</v>
      </c>
      <c r="E924" t="s">
        <v>4</v>
      </c>
      <c r="F924">
        <v>2.39</v>
      </c>
      <c r="G924">
        <v>73.7</v>
      </c>
      <c r="H924">
        <v>4</v>
      </c>
      <c r="I924">
        <v>28.3</v>
      </c>
      <c r="J924" t="s">
        <v>4</v>
      </c>
      <c r="K924" t="s">
        <v>3</v>
      </c>
      <c r="L924">
        <v>2.7</v>
      </c>
      <c r="M924">
        <v>3.29</v>
      </c>
      <c r="N924">
        <v>3.58</v>
      </c>
      <c r="O924">
        <v>3.66</v>
      </c>
      <c r="P924" t="s">
        <v>7</v>
      </c>
      <c r="Q924" t="s">
        <v>13</v>
      </c>
      <c r="R924" t="s">
        <v>9</v>
      </c>
      <c r="S924">
        <v>0</v>
      </c>
    </row>
    <row r="925" spans="1:19" x14ac:dyDescent="0.3">
      <c r="A925">
        <v>924</v>
      </c>
      <c r="B925">
        <v>19.5</v>
      </c>
      <c r="C925" t="s">
        <v>5</v>
      </c>
      <c r="D925">
        <v>30521</v>
      </c>
      <c r="E925" t="s">
        <v>4</v>
      </c>
      <c r="F925">
        <v>3.85</v>
      </c>
      <c r="G925">
        <v>100</v>
      </c>
      <c r="H925">
        <v>1</v>
      </c>
      <c r="I925">
        <v>17.5</v>
      </c>
      <c r="J925" t="s">
        <v>4</v>
      </c>
      <c r="K925" t="s">
        <v>4</v>
      </c>
      <c r="L925">
        <v>6.3</v>
      </c>
      <c r="M925">
        <v>3.36</v>
      </c>
      <c r="N925">
        <v>3.96</v>
      </c>
      <c r="O925">
        <v>3.94</v>
      </c>
      <c r="P925" t="s">
        <v>12</v>
      </c>
      <c r="Q925" t="s">
        <v>13</v>
      </c>
      <c r="R925" t="s">
        <v>15</v>
      </c>
      <c r="S925">
        <v>0</v>
      </c>
    </row>
    <row r="926" spans="1:19" x14ac:dyDescent="0.3">
      <c r="A926">
        <v>925</v>
      </c>
      <c r="B926">
        <v>23.6</v>
      </c>
      <c r="C926" t="s">
        <v>11</v>
      </c>
      <c r="D926">
        <v>25000</v>
      </c>
      <c r="E926" t="s">
        <v>4</v>
      </c>
      <c r="F926">
        <v>2.97</v>
      </c>
      <c r="G926">
        <v>84.6</v>
      </c>
      <c r="H926">
        <v>0</v>
      </c>
      <c r="I926">
        <v>40.6</v>
      </c>
      <c r="J926" t="s">
        <v>4</v>
      </c>
      <c r="K926" t="s">
        <v>3</v>
      </c>
      <c r="L926">
        <v>5.7</v>
      </c>
      <c r="M926">
        <v>2.7</v>
      </c>
      <c r="N926">
        <v>2.62</v>
      </c>
      <c r="O926">
        <v>2.5099999999999998</v>
      </c>
      <c r="P926" t="s">
        <v>10</v>
      </c>
      <c r="Q926" t="s">
        <v>8</v>
      </c>
      <c r="R926" t="s">
        <v>9</v>
      </c>
      <c r="S926">
        <v>0</v>
      </c>
    </row>
    <row r="927" spans="1:19" x14ac:dyDescent="0.3">
      <c r="A927">
        <v>926</v>
      </c>
      <c r="B927">
        <v>17.600000000000001</v>
      </c>
      <c r="C927" t="s">
        <v>11</v>
      </c>
      <c r="D927">
        <v>25000</v>
      </c>
      <c r="E927" t="s">
        <v>3</v>
      </c>
      <c r="F927">
        <v>2.48</v>
      </c>
      <c r="G927">
        <v>78.7</v>
      </c>
      <c r="H927">
        <v>0</v>
      </c>
      <c r="I927">
        <v>18.100000000000001</v>
      </c>
      <c r="J927" t="s">
        <v>4</v>
      </c>
      <c r="K927" t="s">
        <v>4</v>
      </c>
      <c r="L927">
        <v>4.2</v>
      </c>
      <c r="M927">
        <v>2.64</v>
      </c>
      <c r="N927">
        <v>2.72</v>
      </c>
      <c r="O927">
        <v>2.72</v>
      </c>
      <c r="P927" t="s">
        <v>2</v>
      </c>
      <c r="Q927" t="s">
        <v>14</v>
      </c>
      <c r="R927" t="s">
        <v>15</v>
      </c>
      <c r="S927">
        <v>0</v>
      </c>
    </row>
    <row r="928" spans="1:19" x14ac:dyDescent="0.3">
      <c r="A928">
        <v>927</v>
      </c>
      <c r="B928">
        <v>19.8</v>
      </c>
      <c r="C928" t="s">
        <v>5</v>
      </c>
      <c r="D928">
        <v>53906</v>
      </c>
      <c r="E928" t="s">
        <v>4</v>
      </c>
      <c r="F928">
        <v>5.82</v>
      </c>
      <c r="G928">
        <v>85</v>
      </c>
      <c r="H928">
        <v>4</v>
      </c>
      <c r="I928">
        <v>5.7</v>
      </c>
      <c r="J928" t="s">
        <v>4</v>
      </c>
      <c r="K928" t="s">
        <v>4</v>
      </c>
      <c r="L928">
        <v>6.8</v>
      </c>
      <c r="M928">
        <v>2.81</v>
      </c>
      <c r="N928">
        <v>2.98</v>
      </c>
      <c r="O928">
        <v>3.01</v>
      </c>
      <c r="P928" t="s">
        <v>10</v>
      </c>
      <c r="Q928" t="s">
        <v>8</v>
      </c>
      <c r="R928" t="s">
        <v>15</v>
      </c>
      <c r="S928">
        <v>0</v>
      </c>
    </row>
    <row r="929" spans="1:19" x14ac:dyDescent="0.3">
      <c r="A929">
        <v>928</v>
      </c>
      <c r="B929">
        <v>21.8</v>
      </c>
      <c r="C929" t="s">
        <v>5</v>
      </c>
      <c r="D929">
        <v>42644</v>
      </c>
      <c r="E929" t="s">
        <v>4</v>
      </c>
      <c r="F929">
        <v>3.4</v>
      </c>
      <c r="G929">
        <v>83.3</v>
      </c>
      <c r="H929">
        <v>2</v>
      </c>
      <c r="I929">
        <v>36.799999999999997</v>
      </c>
      <c r="J929" t="s">
        <v>3</v>
      </c>
      <c r="K929" t="s">
        <v>4</v>
      </c>
      <c r="L929">
        <v>4.0999999999999996</v>
      </c>
      <c r="M929">
        <v>2.82</v>
      </c>
      <c r="N929">
        <v>3.06</v>
      </c>
      <c r="O929">
        <v>3.12</v>
      </c>
      <c r="P929" t="s">
        <v>10</v>
      </c>
      <c r="Q929" t="s">
        <v>14</v>
      </c>
      <c r="R929" t="s">
        <v>15</v>
      </c>
      <c r="S929">
        <v>0</v>
      </c>
    </row>
    <row r="930" spans="1:19" x14ac:dyDescent="0.3">
      <c r="A930">
        <v>929</v>
      </c>
      <c r="B930">
        <v>24.4</v>
      </c>
      <c r="C930" t="s">
        <v>11</v>
      </c>
      <c r="D930">
        <v>68328</v>
      </c>
      <c r="E930" t="s">
        <v>4</v>
      </c>
      <c r="F930">
        <v>6.59</v>
      </c>
      <c r="G930">
        <v>74.7</v>
      </c>
      <c r="H930">
        <v>2</v>
      </c>
      <c r="I930">
        <v>20.9</v>
      </c>
      <c r="J930" t="s">
        <v>4</v>
      </c>
      <c r="K930" t="s">
        <v>3</v>
      </c>
      <c r="L930">
        <v>2.6</v>
      </c>
      <c r="M930">
        <v>2.83</v>
      </c>
      <c r="N930">
        <v>2.57</v>
      </c>
      <c r="O930">
        <v>2.65</v>
      </c>
      <c r="P930" t="s">
        <v>10</v>
      </c>
      <c r="Q930" t="s">
        <v>6</v>
      </c>
      <c r="R930" t="s">
        <v>15</v>
      </c>
      <c r="S930">
        <v>0</v>
      </c>
    </row>
    <row r="931" spans="1:19" x14ac:dyDescent="0.3">
      <c r="A931">
        <v>930</v>
      </c>
      <c r="B931">
        <v>20.9</v>
      </c>
      <c r="C931" t="s">
        <v>5</v>
      </c>
      <c r="D931">
        <v>25000</v>
      </c>
      <c r="E931" t="s">
        <v>4</v>
      </c>
      <c r="F931">
        <v>3.5</v>
      </c>
      <c r="G931">
        <v>66.7</v>
      </c>
      <c r="H931">
        <v>1</v>
      </c>
      <c r="I931">
        <v>26</v>
      </c>
      <c r="J931" t="s">
        <v>4</v>
      </c>
      <c r="K931" t="s">
        <v>3</v>
      </c>
      <c r="L931">
        <v>4.9000000000000004</v>
      </c>
      <c r="M931">
        <v>0.14000000000000001</v>
      </c>
      <c r="N931">
        <v>0.19</v>
      </c>
      <c r="O931">
        <v>0.16</v>
      </c>
      <c r="P931" t="s">
        <v>7</v>
      </c>
      <c r="Q931" t="s">
        <v>13</v>
      </c>
      <c r="R931" t="s">
        <v>16</v>
      </c>
      <c r="S931">
        <v>1</v>
      </c>
    </row>
    <row r="932" spans="1:19" x14ac:dyDescent="0.3">
      <c r="A932">
        <v>931</v>
      </c>
      <c r="B932">
        <v>19.8</v>
      </c>
      <c r="C932" t="s">
        <v>5</v>
      </c>
      <c r="D932">
        <v>35524</v>
      </c>
      <c r="E932" t="s">
        <v>4</v>
      </c>
      <c r="F932">
        <v>3.07</v>
      </c>
      <c r="G932">
        <v>77.8</v>
      </c>
      <c r="H932">
        <v>0</v>
      </c>
      <c r="I932">
        <v>38.299999999999997</v>
      </c>
      <c r="J932" t="s">
        <v>3</v>
      </c>
      <c r="K932" t="s">
        <v>3</v>
      </c>
      <c r="L932">
        <v>3.8</v>
      </c>
      <c r="M932">
        <v>1.01</v>
      </c>
      <c r="N932">
        <v>0.87</v>
      </c>
      <c r="O932">
        <v>0.87</v>
      </c>
      <c r="P932" t="s">
        <v>2</v>
      </c>
      <c r="Q932" t="s">
        <v>6</v>
      </c>
      <c r="R932" t="s">
        <v>9</v>
      </c>
      <c r="S932">
        <v>0</v>
      </c>
    </row>
    <row r="933" spans="1:19" x14ac:dyDescent="0.3">
      <c r="A933">
        <v>932</v>
      </c>
      <c r="B933">
        <v>25.1</v>
      </c>
      <c r="C933" t="s">
        <v>11</v>
      </c>
      <c r="D933">
        <v>38405</v>
      </c>
      <c r="E933" t="s">
        <v>4</v>
      </c>
      <c r="F933">
        <v>4.78</v>
      </c>
      <c r="G933">
        <v>80.5</v>
      </c>
      <c r="H933">
        <v>1</v>
      </c>
      <c r="I933">
        <v>18.8</v>
      </c>
      <c r="J933" t="s">
        <v>3</v>
      </c>
      <c r="K933" t="s">
        <v>4</v>
      </c>
      <c r="L933">
        <v>6</v>
      </c>
      <c r="M933">
        <v>3.33</v>
      </c>
      <c r="N933">
        <v>3.22</v>
      </c>
      <c r="O933">
        <v>3.19</v>
      </c>
      <c r="P933" t="s">
        <v>10</v>
      </c>
      <c r="Q933" t="s">
        <v>14</v>
      </c>
      <c r="R933" t="s">
        <v>15</v>
      </c>
      <c r="S933">
        <v>0</v>
      </c>
    </row>
    <row r="934" spans="1:19" x14ac:dyDescent="0.3">
      <c r="A934">
        <v>933</v>
      </c>
      <c r="B934">
        <v>17.8</v>
      </c>
      <c r="C934" t="s">
        <v>5</v>
      </c>
      <c r="D934">
        <v>45124</v>
      </c>
      <c r="E934" t="s">
        <v>4</v>
      </c>
      <c r="F934">
        <v>3.9</v>
      </c>
      <c r="G934">
        <v>81.099999999999994</v>
      </c>
      <c r="H934">
        <v>2</v>
      </c>
      <c r="I934">
        <v>10.8</v>
      </c>
      <c r="J934" t="s">
        <v>3</v>
      </c>
      <c r="K934" t="s">
        <v>3</v>
      </c>
      <c r="L934">
        <v>5</v>
      </c>
      <c r="M934">
        <v>3.2</v>
      </c>
      <c r="N934">
        <v>3.14</v>
      </c>
      <c r="O934">
        <v>3.14</v>
      </c>
      <c r="P934" t="s">
        <v>2</v>
      </c>
      <c r="Q934" t="s">
        <v>8</v>
      </c>
      <c r="R934" t="s">
        <v>15</v>
      </c>
      <c r="S934">
        <v>0</v>
      </c>
    </row>
    <row r="935" spans="1:19" x14ac:dyDescent="0.3">
      <c r="A935">
        <v>934</v>
      </c>
      <c r="B935">
        <v>17</v>
      </c>
      <c r="C935" t="s">
        <v>5</v>
      </c>
      <c r="D935">
        <v>58476</v>
      </c>
      <c r="E935" t="s">
        <v>3</v>
      </c>
      <c r="F935">
        <v>4.3600000000000003</v>
      </c>
      <c r="G935">
        <v>67.3</v>
      </c>
      <c r="H935">
        <v>1</v>
      </c>
      <c r="I935">
        <v>44.6</v>
      </c>
      <c r="J935" t="s">
        <v>4</v>
      </c>
      <c r="K935" t="s">
        <v>3</v>
      </c>
      <c r="L935">
        <v>8.3000000000000007</v>
      </c>
      <c r="M935">
        <v>1.58</v>
      </c>
      <c r="N935">
        <v>2.5</v>
      </c>
      <c r="O935">
        <v>2.42</v>
      </c>
      <c r="P935" t="s">
        <v>12</v>
      </c>
      <c r="Q935" t="s">
        <v>6</v>
      </c>
      <c r="R935" t="s">
        <v>16</v>
      </c>
      <c r="S935">
        <v>0</v>
      </c>
    </row>
    <row r="936" spans="1:19" x14ac:dyDescent="0.3">
      <c r="A936">
        <v>935</v>
      </c>
      <c r="B936">
        <v>22</v>
      </c>
      <c r="C936" t="s">
        <v>5</v>
      </c>
      <c r="D936">
        <v>25000</v>
      </c>
      <c r="E936" t="s">
        <v>4</v>
      </c>
      <c r="F936">
        <v>3.3</v>
      </c>
      <c r="G936">
        <v>100</v>
      </c>
      <c r="H936">
        <v>3</v>
      </c>
      <c r="I936">
        <v>29.3</v>
      </c>
      <c r="J936" t="s">
        <v>3</v>
      </c>
      <c r="K936" t="s">
        <v>4</v>
      </c>
      <c r="L936">
        <v>4.9000000000000004</v>
      </c>
      <c r="M936">
        <v>2.62</v>
      </c>
      <c r="N936">
        <v>2.06</v>
      </c>
      <c r="O936">
        <v>2.0699999999999998</v>
      </c>
      <c r="P936" t="s">
        <v>12</v>
      </c>
      <c r="Q936" t="s">
        <v>1</v>
      </c>
      <c r="R936" t="s">
        <v>9</v>
      </c>
      <c r="S936">
        <v>0</v>
      </c>
    </row>
    <row r="937" spans="1:19" x14ac:dyDescent="0.3">
      <c r="A937">
        <v>936</v>
      </c>
      <c r="B937">
        <v>19.899999999999999</v>
      </c>
      <c r="C937" t="s">
        <v>5</v>
      </c>
      <c r="D937">
        <v>27764</v>
      </c>
      <c r="E937" t="s">
        <v>4</v>
      </c>
      <c r="F937">
        <v>3.3</v>
      </c>
      <c r="G937">
        <v>100</v>
      </c>
      <c r="H937">
        <v>2</v>
      </c>
      <c r="I937">
        <v>45.1</v>
      </c>
      <c r="J937" t="s">
        <v>4</v>
      </c>
      <c r="K937" t="s">
        <v>4</v>
      </c>
      <c r="L937">
        <v>6</v>
      </c>
      <c r="M937">
        <v>3.46</v>
      </c>
      <c r="N937">
        <v>3.61</v>
      </c>
      <c r="O937">
        <v>3.63</v>
      </c>
      <c r="P937" t="s">
        <v>12</v>
      </c>
      <c r="Q937" t="s">
        <v>6</v>
      </c>
      <c r="R937" t="s">
        <v>9</v>
      </c>
      <c r="S937">
        <v>0</v>
      </c>
    </row>
    <row r="938" spans="1:19" x14ac:dyDescent="0.3">
      <c r="A938">
        <v>937</v>
      </c>
      <c r="B938">
        <v>18.8</v>
      </c>
      <c r="C938" t="s">
        <v>5</v>
      </c>
      <c r="D938">
        <v>25000</v>
      </c>
      <c r="E938" t="s">
        <v>3</v>
      </c>
      <c r="F938">
        <v>3.36</v>
      </c>
      <c r="G938">
        <v>85.6</v>
      </c>
      <c r="H938">
        <v>2</v>
      </c>
      <c r="I938">
        <v>37.5</v>
      </c>
      <c r="J938" t="s">
        <v>3</v>
      </c>
      <c r="K938" t="s">
        <v>3</v>
      </c>
      <c r="L938">
        <v>3.4</v>
      </c>
      <c r="M938">
        <v>2.09</v>
      </c>
      <c r="N938">
        <v>1.94</v>
      </c>
      <c r="O938">
        <v>1.96</v>
      </c>
      <c r="P938" t="s">
        <v>7</v>
      </c>
      <c r="Q938" t="s">
        <v>8</v>
      </c>
      <c r="R938" t="s">
        <v>9</v>
      </c>
      <c r="S938">
        <v>0</v>
      </c>
    </row>
    <row r="939" spans="1:19" x14ac:dyDescent="0.3">
      <c r="A939">
        <v>938</v>
      </c>
      <c r="B939">
        <v>22.6</v>
      </c>
      <c r="C939" t="s">
        <v>5</v>
      </c>
      <c r="D939">
        <v>28809</v>
      </c>
      <c r="E939" t="s">
        <v>4</v>
      </c>
      <c r="F939">
        <v>2.65</v>
      </c>
      <c r="G939">
        <v>82.2</v>
      </c>
      <c r="H939">
        <v>4</v>
      </c>
      <c r="I939">
        <v>37.9</v>
      </c>
      <c r="J939" t="s">
        <v>3</v>
      </c>
      <c r="K939" t="s">
        <v>3</v>
      </c>
      <c r="L939">
        <v>4.7</v>
      </c>
      <c r="M939">
        <v>2.0699999999999998</v>
      </c>
      <c r="N939">
        <v>2.4500000000000002</v>
      </c>
      <c r="O939">
        <v>2.4</v>
      </c>
      <c r="P939" t="s">
        <v>12</v>
      </c>
      <c r="Q939" t="s">
        <v>13</v>
      </c>
      <c r="R939" t="s">
        <v>17</v>
      </c>
      <c r="S939">
        <v>1</v>
      </c>
    </row>
    <row r="940" spans="1:19" x14ac:dyDescent="0.3">
      <c r="A940">
        <v>939</v>
      </c>
      <c r="B940">
        <v>21.5</v>
      </c>
      <c r="C940" t="s">
        <v>5</v>
      </c>
      <c r="D940">
        <v>45209</v>
      </c>
      <c r="E940" t="s">
        <v>4</v>
      </c>
      <c r="F940">
        <v>5.26</v>
      </c>
      <c r="G940">
        <v>77.5</v>
      </c>
      <c r="H940">
        <v>2</v>
      </c>
      <c r="I940">
        <v>32</v>
      </c>
      <c r="J940" t="s">
        <v>3</v>
      </c>
      <c r="K940" t="s">
        <v>3</v>
      </c>
      <c r="L940">
        <v>3.9</v>
      </c>
      <c r="M940">
        <v>4</v>
      </c>
      <c r="N940">
        <v>3.98</v>
      </c>
      <c r="O940">
        <v>3.91</v>
      </c>
      <c r="P940" t="s">
        <v>7</v>
      </c>
      <c r="Q940" t="s">
        <v>8</v>
      </c>
      <c r="R940" t="s">
        <v>15</v>
      </c>
      <c r="S940">
        <v>0</v>
      </c>
    </row>
    <row r="941" spans="1:19" x14ac:dyDescent="0.3">
      <c r="A941">
        <v>940</v>
      </c>
      <c r="B941">
        <v>19.8</v>
      </c>
      <c r="C941" t="s">
        <v>11</v>
      </c>
      <c r="D941">
        <v>25000</v>
      </c>
      <c r="E941" t="s">
        <v>3</v>
      </c>
      <c r="F941">
        <v>4.2699999999999996</v>
      </c>
      <c r="G941">
        <v>86.6</v>
      </c>
      <c r="H941">
        <v>2</v>
      </c>
      <c r="I941">
        <v>32</v>
      </c>
      <c r="J941" t="s">
        <v>4</v>
      </c>
      <c r="K941" t="s">
        <v>3</v>
      </c>
      <c r="L941">
        <v>7.6</v>
      </c>
      <c r="M941">
        <v>1.63</v>
      </c>
      <c r="N941">
        <v>1.59</v>
      </c>
      <c r="O941">
        <v>1.57</v>
      </c>
      <c r="P941" t="s">
        <v>10</v>
      </c>
      <c r="Q941" t="s">
        <v>14</v>
      </c>
      <c r="R941" t="s">
        <v>0</v>
      </c>
      <c r="S941">
        <v>0</v>
      </c>
    </row>
    <row r="942" spans="1:19" x14ac:dyDescent="0.3">
      <c r="A942">
        <v>941</v>
      </c>
      <c r="B942">
        <v>18.2</v>
      </c>
      <c r="C942" t="s">
        <v>5</v>
      </c>
      <c r="D942">
        <v>57851</v>
      </c>
      <c r="E942" t="s">
        <v>4</v>
      </c>
      <c r="F942">
        <v>4.2</v>
      </c>
      <c r="G942">
        <v>81.099999999999994</v>
      </c>
      <c r="H942">
        <v>4</v>
      </c>
      <c r="I942">
        <v>43.6</v>
      </c>
      <c r="J942" t="s">
        <v>4</v>
      </c>
      <c r="K942" t="s">
        <v>3</v>
      </c>
      <c r="L942">
        <v>4.0999999999999996</v>
      </c>
      <c r="M942">
        <v>2.4300000000000002</v>
      </c>
      <c r="N942">
        <v>2.59</v>
      </c>
      <c r="O942">
        <v>2.59</v>
      </c>
      <c r="P942" t="s">
        <v>10</v>
      </c>
      <c r="Q942" t="s">
        <v>8</v>
      </c>
      <c r="R942" t="s">
        <v>15</v>
      </c>
      <c r="S942">
        <v>0</v>
      </c>
    </row>
    <row r="943" spans="1:19" x14ac:dyDescent="0.3">
      <c r="A943">
        <v>942</v>
      </c>
      <c r="B943">
        <v>22.9</v>
      </c>
      <c r="C943" t="s">
        <v>5</v>
      </c>
      <c r="D943">
        <v>25000</v>
      </c>
      <c r="E943" t="s">
        <v>4</v>
      </c>
      <c r="F943">
        <v>4.87</v>
      </c>
      <c r="G943">
        <v>92</v>
      </c>
      <c r="H943">
        <v>1</v>
      </c>
      <c r="I943">
        <v>39.799999999999997</v>
      </c>
      <c r="J943" t="s">
        <v>3</v>
      </c>
      <c r="K943" t="s">
        <v>3</v>
      </c>
      <c r="L943">
        <v>4.3</v>
      </c>
      <c r="M943">
        <v>2.15</v>
      </c>
      <c r="N943">
        <v>2.06</v>
      </c>
      <c r="O943">
        <v>2.08</v>
      </c>
      <c r="P943" t="s">
        <v>10</v>
      </c>
      <c r="Q943" t="s">
        <v>6</v>
      </c>
      <c r="R943" t="s">
        <v>0</v>
      </c>
      <c r="S943">
        <v>1</v>
      </c>
    </row>
    <row r="944" spans="1:19" x14ac:dyDescent="0.3">
      <c r="A944">
        <v>943</v>
      </c>
      <c r="B944">
        <v>22.4</v>
      </c>
      <c r="C944" t="s">
        <v>11</v>
      </c>
      <c r="D944">
        <v>25000</v>
      </c>
      <c r="E944" t="s">
        <v>4</v>
      </c>
      <c r="F944">
        <v>4.46</v>
      </c>
      <c r="G944">
        <v>89.3</v>
      </c>
      <c r="H944">
        <v>1</v>
      </c>
      <c r="I944">
        <v>22.9</v>
      </c>
      <c r="J944" t="s">
        <v>3</v>
      </c>
      <c r="K944" t="s">
        <v>3</v>
      </c>
      <c r="L944">
        <v>6</v>
      </c>
      <c r="M944">
        <v>1.32</v>
      </c>
      <c r="N944">
        <v>0.98</v>
      </c>
      <c r="O944">
        <v>0.98</v>
      </c>
      <c r="P944" t="s">
        <v>2</v>
      </c>
      <c r="Q944" t="s">
        <v>8</v>
      </c>
      <c r="R944" t="s">
        <v>15</v>
      </c>
      <c r="S944">
        <v>0</v>
      </c>
    </row>
    <row r="945" spans="1:19" x14ac:dyDescent="0.3">
      <c r="A945">
        <v>944</v>
      </c>
      <c r="B945">
        <v>20.8</v>
      </c>
      <c r="C945" t="s">
        <v>11</v>
      </c>
      <c r="D945">
        <v>62716</v>
      </c>
      <c r="E945" t="s">
        <v>4</v>
      </c>
      <c r="F945">
        <v>6.94</v>
      </c>
      <c r="G945">
        <v>75.2</v>
      </c>
      <c r="H945">
        <v>3</v>
      </c>
      <c r="I945">
        <v>35.9</v>
      </c>
      <c r="J945" t="s">
        <v>4</v>
      </c>
      <c r="K945" t="s">
        <v>4</v>
      </c>
      <c r="L945">
        <v>4.2</v>
      </c>
      <c r="M945">
        <v>3.03</v>
      </c>
      <c r="N945">
        <v>2.91</v>
      </c>
      <c r="O945">
        <v>2.91</v>
      </c>
      <c r="P945" t="s">
        <v>12</v>
      </c>
      <c r="Q945" t="s">
        <v>8</v>
      </c>
      <c r="R945" t="s">
        <v>0</v>
      </c>
      <c r="S945">
        <v>0</v>
      </c>
    </row>
    <row r="946" spans="1:19" x14ac:dyDescent="0.3">
      <c r="A946">
        <v>945</v>
      </c>
      <c r="B946">
        <v>25.1</v>
      </c>
      <c r="C946" t="s">
        <v>5</v>
      </c>
      <c r="D946">
        <v>36200</v>
      </c>
      <c r="E946" t="s">
        <v>3</v>
      </c>
      <c r="F946">
        <v>4.55</v>
      </c>
      <c r="G946">
        <v>76.5</v>
      </c>
      <c r="H946">
        <v>2</v>
      </c>
      <c r="I946">
        <v>22.6</v>
      </c>
      <c r="J946" t="s">
        <v>4</v>
      </c>
      <c r="K946" t="s">
        <v>3</v>
      </c>
      <c r="L946">
        <v>8</v>
      </c>
      <c r="M946">
        <v>1.69</v>
      </c>
      <c r="N946">
        <v>2.0699999999999998</v>
      </c>
      <c r="O946">
        <v>2.0699999999999998</v>
      </c>
      <c r="P946" t="s">
        <v>2</v>
      </c>
      <c r="Q946" t="s">
        <v>13</v>
      </c>
      <c r="R946" t="s">
        <v>15</v>
      </c>
      <c r="S946">
        <v>1</v>
      </c>
    </row>
    <row r="947" spans="1:19" x14ac:dyDescent="0.3">
      <c r="A947">
        <v>946</v>
      </c>
      <c r="B947">
        <v>18.600000000000001</v>
      </c>
      <c r="C947" t="s">
        <v>5</v>
      </c>
      <c r="D947">
        <v>36451</v>
      </c>
      <c r="E947" t="s">
        <v>4</v>
      </c>
      <c r="F947">
        <v>1.33</v>
      </c>
      <c r="G947">
        <v>89.8</v>
      </c>
      <c r="H947">
        <v>0</v>
      </c>
      <c r="I947">
        <v>26.2</v>
      </c>
      <c r="J947" t="s">
        <v>3</v>
      </c>
      <c r="K947" t="s">
        <v>4</v>
      </c>
      <c r="L947">
        <v>9</v>
      </c>
      <c r="M947">
        <v>0</v>
      </c>
      <c r="N947">
        <v>0</v>
      </c>
      <c r="O947">
        <v>0</v>
      </c>
      <c r="P947" t="s">
        <v>12</v>
      </c>
      <c r="Q947" t="s">
        <v>6</v>
      </c>
      <c r="R947" t="s">
        <v>9</v>
      </c>
      <c r="S947">
        <v>1</v>
      </c>
    </row>
    <row r="948" spans="1:19" x14ac:dyDescent="0.3">
      <c r="A948">
        <v>947</v>
      </c>
      <c r="B948">
        <v>17.600000000000001</v>
      </c>
      <c r="C948" t="s">
        <v>5</v>
      </c>
      <c r="D948">
        <v>25000</v>
      </c>
      <c r="E948" t="s">
        <v>4</v>
      </c>
      <c r="F948">
        <v>3.36</v>
      </c>
      <c r="G948">
        <v>87.6</v>
      </c>
      <c r="H948">
        <v>0</v>
      </c>
      <c r="I948">
        <v>36.799999999999997</v>
      </c>
      <c r="J948" t="s">
        <v>3</v>
      </c>
      <c r="K948" t="s">
        <v>3</v>
      </c>
      <c r="L948">
        <v>3.9</v>
      </c>
      <c r="M948">
        <v>3.48</v>
      </c>
      <c r="N948">
        <v>3.24</v>
      </c>
      <c r="O948">
        <v>3.18</v>
      </c>
      <c r="P948" t="s">
        <v>12</v>
      </c>
      <c r="Q948" t="s">
        <v>1</v>
      </c>
      <c r="R948" t="s">
        <v>15</v>
      </c>
      <c r="S948">
        <v>0</v>
      </c>
    </row>
    <row r="949" spans="1:19" x14ac:dyDescent="0.3">
      <c r="A949">
        <v>948</v>
      </c>
      <c r="B949">
        <v>19.5</v>
      </c>
      <c r="C949" t="s">
        <v>11</v>
      </c>
      <c r="D949">
        <v>25000</v>
      </c>
      <c r="E949" t="s">
        <v>3</v>
      </c>
      <c r="F949">
        <v>2.79</v>
      </c>
      <c r="G949">
        <v>73.099999999999994</v>
      </c>
      <c r="H949">
        <v>1</v>
      </c>
      <c r="I949">
        <v>22.4</v>
      </c>
      <c r="J949" t="s">
        <v>3</v>
      </c>
      <c r="K949" t="s">
        <v>4</v>
      </c>
      <c r="L949">
        <v>7</v>
      </c>
      <c r="M949">
        <v>1.3</v>
      </c>
      <c r="N949">
        <v>0.99</v>
      </c>
      <c r="O949">
        <v>0.91</v>
      </c>
      <c r="P949" t="s">
        <v>10</v>
      </c>
      <c r="Q949" t="s">
        <v>14</v>
      </c>
      <c r="R949" t="s">
        <v>17</v>
      </c>
      <c r="S949">
        <v>0</v>
      </c>
    </row>
    <row r="950" spans="1:19" x14ac:dyDescent="0.3">
      <c r="A950">
        <v>949</v>
      </c>
      <c r="B950">
        <v>20.9</v>
      </c>
      <c r="C950" t="s">
        <v>5</v>
      </c>
      <c r="D950">
        <v>52300</v>
      </c>
      <c r="E950" t="s">
        <v>4</v>
      </c>
      <c r="F950">
        <v>4.6100000000000003</v>
      </c>
      <c r="G950">
        <v>78.3</v>
      </c>
      <c r="H950">
        <v>0</v>
      </c>
      <c r="I950">
        <v>31.8</v>
      </c>
      <c r="J950" t="s">
        <v>4</v>
      </c>
      <c r="K950" t="s">
        <v>3</v>
      </c>
      <c r="L950">
        <v>4</v>
      </c>
      <c r="M950">
        <v>0</v>
      </c>
      <c r="N950">
        <v>0</v>
      </c>
      <c r="O950">
        <v>0.02</v>
      </c>
      <c r="P950" t="s">
        <v>12</v>
      </c>
      <c r="Q950" t="s">
        <v>8</v>
      </c>
      <c r="R950" t="s">
        <v>0</v>
      </c>
      <c r="S950">
        <v>1</v>
      </c>
    </row>
    <row r="951" spans="1:19" x14ac:dyDescent="0.3">
      <c r="A951">
        <v>950</v>
      </c>
      <c r="B951">
        <v>21.5</v>
      </c>
      <c r="C951" t="s">
        <v>5</v>
      </c>
      <c r="D951">
        <v>25000</v>
      </c>
      <c r="E951" t="s">
        <v>4</v>
      </c>
      <c r="F951">
        <v>3.46</v>
      </c>
      <c r="G951">
        <v>80.8</v>
      </c>
      <c r="H951">
        <v>1</v>
      </c>
      <c r="I951">
        <v>34.6</v>
      </c>
      <c r="J951" t="s">
        <v>3</v>
      </c>
      <c r="K951" t="s">
        <v>4</v>
      </c>
      <c r="L951">
        <v>4.9000000000000004</v>
      </c>
      <c r="M951">
        <v>1.73</v>
      </c>
      <c r="N951">
        <v>1.76</v>
      </c>
      <c r="O951">
        <v>1.76</v>
      </c>
      <c r="P951" t="s">
        <v>7</v>
      </c>
      <c r="Q951" t="s">
        <v>8</v>
      </c>
      <c r="R951" t="s">
        <v>9</v>
      </c>
      <c r="S951">
        <v>0</v>
      </c>
    </row>
    <row r="952" spans="1:19" x14ac:dyDescent="0.3">
      <c r="A952">
        <v>951</v>
      </c>
      <c r="B952">
        <v>20.5</v>
      </c>
      <c r="C952" t="s">
        <v>5</v>
      </c>
      <c r="D952">
        <v>25000</v>
      </c>
      <c r="E952" t="s">
        <v>3</v>
      </c>
      <c r="F952">
        <v>4.6500000000000004</v>
      </c>
      <c r="G952">
        <v>81.7</v>
      </c>
      <c r="H952">
        <v>1</v>
      </c>
      <c r="I952">
        <v>25.9</v>
      </c>
      <c r="J952" t="s">
        <v>4</v>
      </c>
      <c r="K952" t="s">
        <v>3</v>
      </c>
      <c r="L952">
        <v>6.7</v>
      </c>
      <c r="M952">
        <v>1.93</v>
      </c>
      <c r="N952">
        <v>2.06</v>
      </c>
      <c r="O952">
        <v>1.99</v>
      </c>
      <c r="P952" t="s">
        <v>7</v>
      </c>
      <c r="Q952" t="s">
        <v>8</v>
      </c>
      <c r="R952" t="s">
        <v>9</v>
      </c>
      <c r="S952">
        <v>0</v>
      </c>
    </row>
    <row r="953" spans="1:19" x14ac:dyDescent="0.3">
      <c r="A953">
        <v>952</v>
      </c>
      <c r="B953">
        <v>21.8</v>
      </c>
      <c r="C953" t="s">
        <v>5</v>
      </c>
      <c r="D953">
        <v>53017</v>
      </c>
      <c r="E953" t="s">
        <v>4</v>
      </c>
      <c r="F953">
        <v>3.11</v>
      </c>
      <c r="G953">
        <v>81.400000000000006</v>
      </c>
      <c r="H953">
        <v>2</v>
      </c>
      <c r="I953">
        <v>38.6</v>
      </c>
      <c r="J953" t="s">
        <v>3</v>
      </c>
      <c r="K953" t="s">
        <v>3</v>
      </c>
      <c r="L953">
        <v>5.8</v>
      </c>
      <c r="M953">
        <v>2.91</v>
      </c>
      <c r="N953">
        <v>2.8</v>
      </c>
      <c r="O953">
        <v>2.86</v>
      </c>
      <c r="P953" t="s">
        <v>7</v>
      </c>
      <c r="Q953" t="s">
        <v>8</v>
      </c>
      <c r="R953" t="s">
        <v>15</v>
      </c>
      <c r="S953">
        <v>0</v>
      </c>
    </row>
    <row r="954" spans="1:19" x14ac:dyDescent="0.3">
      <c r="A954">
        <v>953</v>
      </c>
      <c r="B954">
        <v>18.2</v>
      </c>
      <c r="C954" t="s">
        <v>5</v>
      </c>
      <c r="E954" t="s">
        <v>4</v>
      </c>
      <c r="G954">
        <v>74.2</v>
      </c>
      <c r="H954">
        <v>3</v>
      </c>
      <c r="I954">
        <v>24.7</v>
      </c>
      <c r="J954" t="s">
        <v>4</v>
      </c>
      <c r="K954" t="s">
        <v>3</v>
      </c>
      <c r="M954">
        <v>3.73</v>
      </c>
      <c r="N954">
        <v>3.68</v>
      </c>
      <c r="O954">
        <v>3.68</v>
      </c>
      <c r="P954" t="s">
        <v>2</v>
      </c>
      <c r="Q954" t="s">
        <v>8</v>
      </c>
      <c r="R954" t="s">
        <v>9</v>
      </c>
      <c r="S954">
        <v>0</v>
      </c>
    </row>
    <row r="955" spans="1:19" x14ac:dyDescent="0.3">
      <c r="A955">
        <v>954</v>
      </c>
      <c r="B955">
        <v>24.2</v>
      </c>
      <c r="C955" t="s">
        <v>5</v>
      </c>
      <c r="D955">
        <v>34945</v>
      </c>
      <c r="E955" t="s">
        <v>4</v>
      </c>
      <c r="F955">
        <v>3.31</v>
      </c>
      <c r="G955">
        <v>83.2</v>
      </c>
      <c r="H955">
        <v>2</v>
      </c>
      <c r="I955">
        <v>41.3</v>
      </c>
      <c r="J955" t="s">
        <v>3</v>
      </c>
      <c r="K955" t="s">
        <v>4</v>
      </c>
      <c r="L955">
        <v>7.5</v>
      </c>
      <c r="M955">
        <v>1.1100000000000001</v>
      </c>
      <c r="N955">
        <v>1.1499999999999999</v>
      </c>
      <c r="O955">
        <v>1.1399999999999999</v>
      </c>
      <c r="P955" t="s">
        <v>7</v>
      </c>
      <c r="Q955" t="s">
        <v>13</v>
      </c>
      <c r="R955" t="s">
        <v>15</v>
      </c>
      <c r="S955">
        <v>1</v>
      </c>
    </row>
    <row r="956" spans="1:19" x14ac:dyDescent="0.3">
      <c r="A956">
        <v>955</v>
      </c>
      <c r="B956">
        <v>20.8</v>
      </c>
      <c r="C956" t="s">
        <v>11</v>
      </c>
      <c r="D956">
        <v>30508</v>
      </c>
      <c r="E956" t="s">
        <v>4</v>
      </c>
      <c r="F956">
        <v>3.56</v>
      </c>
      <c r="G956">
        <v>82.6</v>
      </c>
      <c r="H956">
        <v>1</v>
      </c>
      <c r="I956">
        <v>31.6</v>
      </c>
      <c r="J956" t="s">
        <v>4</v>
      </c>
      <c r="K956" t="s">
        <v>3</v>
      </c>
      <c r="L956">
        <v>7.5</v>
      </c>
      <c r="M956">
        <v>2.86</v>
      </c>
      <c r="N956">
        <v>2.31</v>
      </c>
      <c r="O956">
        <v>2.31</v>
      </c>
      <c r="P956" t="s">
        <v>2</v>
      </c>
      <c r="Q956" t="s">
        <v>13</v>
      </c>
      <c r="R956" t="s">
        <v>15</v>
      </c>
      <c r="S956">
        <v>0</v>
      </c>
    </row>
    <row r="957" spans="1:19" x14ac:dyDescent="0.3">
      <c r="A957">
        <v>956</v>
      </c>
      <c r="B957">
        <v>23.5</v>
      </c>
      <c r="C957" t="s">
        <v>11</v>
      </c>
      <c r="D957">
        <v>29685</v>
      </c>
      <c r="E957" t="s">
        <v>4</v>
      </c>
      <c r="F957">
        <v>4.29</v>
      </c>
      <c r="G957">
        <v>75.900000000000006</v>
      </c>
      <c r="H957">
        <v>4</v>
      </c>
      <c r="I957">
        <v>32.1</v>
      </c>
      <c r="J957" t="s">
        <v>4</v>
      </c>
      <c r="K957" t="s">
        <v>3</v>
      </c>
      <c r="L957">
        <v>5.6</v>
      </c>
      <c r="M957">
        <v>2.5099999999999998</v>
      </c>
      <c r="N957">
        <v>3</v>
      </c>
      <c r="O957">
        <v>3.01</v>
      </c>
      <c r="P957" t="s">
        <v>10</v>
      </c>
      <c r="Q957" t="s">
        <v>6</v>
      </c>
      <c r="R957" t="s">
        <v>15</v>
      </c>
      <c r="S957">
        <v>0</v>
      </c>
    </row>
    <row r="958" spans="1:19" x14ac:dyDescent="0.3">
      <c r="A958">
        <v>957</v>
      </c>
      <c r="B958">
        <v>21.8</v>
      </c>
      <c r="C958" t="s">
        <v>5</v>
      </c>
      <c r="D958">
        <v>25000</v>
      </c>
      <c r="E958" t="s">
        <v>4</v>
      </c>
      <c r="F958">
        <v>4.59</v>
      </c>
      <c r="G958">
        <v>83.3</v>
      </c>
      <c r="H958">
        <v>0</v>
      </c>
      <c r="I958">
        <v>19.2</v>
      </c>
      <c r="J958" t="s">
        <v>3</v>
      </c>
      <c r="K958" t="s">
        <v>4</v>
      </c>
      <c r="L958">
        <v>4.4000000000000004</v>
      </c>
      <c r="M958">
        <v>1.74</v>
      </c>
      <c r="N958">
        <v>1.42</v>
      </c>
      <c r="O958">
        <v>1.42</v>
      </c>
      <c r="P958" t="s">
        <v>12</v>
      </c>
      <c r="Q958" t="s">
        <v>13</v>
      </c>
      <c r="R958" t="s">
        <v>9</v>
      </c>
      <c r="S958">
        <v>0</v>
      </c>
    </row>
    <row r="959" spans="1:19" x14ac:dyDescent="0.3">
      <c r="A959">
        <v>958</v>
      </c>
      <c r="B959">
        <v>22</v>
      </c>
      <c r="C959" t="s">
        <v>5</v>
      </c>
      <c r="D959">
        <v>25000</v>
      </c>
      <c r="E959" t="s">
        <v>4</v>
      </c>
      <c r="F959">
        <v>5.86</v>
      </c>
      <c r="G959">
        <v>81.8</v>
      </c>
      <c r="H959">
        <v>2</v>
      </c>
      <c r="I959">
        <v>27.2</v>
      </c>
      <c r="J959" t="s">
        <v>3</v>
      </c>
      <c r="K959" t="s">
        <v>4</v>
      </c>
      <c r="L959">
        <v>5.5</v>
      </c>
      <c r="M959">
        <v>0.78</v>
      </c>
      <c r="N959">
        <v>0.08</v>
      </c>
      <c r="O959">
        <v>0.13</v>
      </c>
      <c r="P959" t="s">
        <v>7</v>
      </c>
      <c r="Q959" t="s">
        <v>1</v>
      </c>
      <c r="R959" t="s">
        <v>0</v>
      </c>
      <c r="S959">
        <v>0</v>
      </c>
    </row>
    <row r="960" spans="1:19" x14ac:dyDescent="0.3">
      <c r="A960">
        <v>959</v>
      </c>
      <c r="B960">
        <v>22.3</v>
      </c>
      <c r="C960" t="s">
        <v>5</v>
      </c>
      <c r="E960" t="s">
        <v>4</v>
      </c>
      <c r="G960">
        <v>78.2</v>
      </c>
      <c r="H960">
        <v>1</v>
      </c>
      <c r="I960">
        <v>32.299999999999997</v>
      </c>
      <c r="J960" t="s">
        <v>4</v>
      </c>
      <c r="K960" t="s">
        <v>3</v>
      </c>
      <c r="M960">
        <v>3.13</v>
      </c>
      <c r="N960">
        <v>3.49</v>
      </c>
      <c r="O960">
        <v>3.51</v>
      </c>
      <c r="P960" t="s">
        <v>7</v>
      </c>
      <c r="Q960" t="s">
        <v>13</v>
      </c>
      <c r="R960" t="s">
        <v>17</v>
      </c>
      <c r="S960">
        <v>0</v>
      </c>
    </row>
    <row r="961" spans="1:19" x14ac:dyDescent="0.3">
      <c r="A961">
        <v>960</v>
      </c>
      <c r="B961">
        <v>22</v>
      </c>
      <c r="C961" t="s">
        <v>5</v>
      </c>
      <c r="D961">
        <v>39720</v>
      </c>
      <c r="E961" t="s">
        <v>4</v>
      </c>
      <c r="F961">
        <v>5.23</v>
      </c>
      <c r="G961">
        <v>72.8</v>
      </c>
      <c r="H961">
        <v>3</v>
      </c>
      <c r="I961">
        <v>42.3</v>
      </c>
      <c r="J961" t="s">
        <v>3</v>
      </c>
      <c r="K961" t="s">
        <v>3</v>
      </c>
      <c r="L961">
        <v>6.9</v>
      </c>
      <c r="M961">
        <v>2.2200000000000002</v>
      </c>
      <c r="N961">
        <v>2.2200000000000002</v>
      </c>
      <c r="O961">
        <v>2.27</v>
      </c>
      <c r="P961" t="s">
        <v>12</v>
      </c>
      <c r="Q961" t="s">
        <v>1</v>
      </c>
      <c r="R961" t="s">
        <v>0</v>
      </c>
      <c r="S961">
        <v>0</v>
      </c>
    </row>
    <row r="962" spans="1:19" x14ac:dyDescent="0.3">
      <c r="A962">
        <v>961</v>
      </c>
      <c r="B962">
        <v>22.4</v>
      </c>
      <c r="C962" t="s">
        <v>11</v>
      </c>
      <c r="D962">
        <v>25000</v>
      </c>
      <c r="E962" t="s">
        <v>4</v>
      </c>
      <c r="F962">
        <v>4.5599999999999996</v>
      </c>
      <c r="G962">
        <v>92.2</v>
      </c>
      <c r="H962">
        <v>3</v>
      </c>
      <c r="I962">
        <v>26.1</v>
      </c>
      <c r="J962" t="s">
        <v>3</v>
      </c>
      <c r="K962" t="s">
        <v>4</v>
      </c>
      <c r="L962">
        <v>5.2</v>
      </c>
      <c r="M962">
        <v>2.13</v>
      </c>
      <c r="N962">
        <v>1.55</v>
      </c>
      <c r="O962">
        <v>1.54</v>
      </c>
      <c r="P962" t="s">
        <v>10</v>
      </c>
      <c r="Q962" t="s">
        <v>6</v>
      </c>
      <c r="R962" t="s">
        <v>9</v>
      </c>
      <c r="S962">
        <v>0</v>
      </c>
    </row>
    <row r="963" spans="1:19" x14ac:dyDescent="0.3">
      <c r="A963">
        <v>962</v>
      </c>
      <c r="B963">
        <v>23.9</v>
      </c>
      <c r="C963" t="s">
        <v>11</v>
      </c>
      <c r="D963">
        <v>53170</v>
      </c>
      <c r="E963" t="s">
        <v>4</v>
      </c>
      <c r="F963">
        <v>3.37</v>
      </c>
      <c r="G963">
        <v>96.2</v>
      </c>
      <c r="H963">
        <v>1</v>
      </c>
      <c r="I963">
        <v>42.2</v>
      </c>
      <c r="J963" t="s">
        <v>3</v>
      </c>
      <c r="K963" t="s">
        <v>3</v>
      </c>
      <c r="L963">
        <v>3.5</v>
      </c>
      <c r="M963">
        <v>1.85</v>
      </c>
      <c r="N963">
        <v>1.53</v>
      </c>
      <c r="O963">
        <v>1.52</v>
      </c>
      <c r="P963" t="s">
        <v>12</v>
      </c>
      <c r="Q963" t="s">
        <v>6</v>
      </c>
      <c r="R963" t="s">
        <v>15</v>
      </c>
      <c r="S963">
        <v>0</v>
      </c>
    </row>
    <row r="964" spans="1:19" x14ac:dyDescent="0.3">
      <c r="A964">
        <v>963</v>
      </c>
      <c r="B964">
        <v>21.4</v>
      </c>
      <c r="C964" t="s">
        <v>5</v>
      </c>
      <c r="D964">
        <v>25985</v>
      </c>
      <c r="E964" t="s">
        <v>3</v>
      </c>
      <c r="F964">
        <v>4.8099999999999996</v>
      </c>
      <c r="G964">
        <v>84</v>
      </c>
      <c r="H964">
        <v>4</v>
      </c>
      <c r="I964">
        <v>20.9</v>
      </c>
      <c r="J964" t="s">
        <v>3</v>
      </c>
      <c r="K964" t="s">
        <v>3</v>
      </c>
      <c r="L964">
        <v>7.9</v>
      </c>
      <c r="M964">
        <v>1.44</v>
      </c>
      <c r="N964">
        <v>1.86</v>
      </c>
      <c r="O964">
        <v>1.92</v>
      </c>
      <c r="P964" t="s">
        <v>7</v>
      </c>
      <c r="Q964" t="s">
        <v>6</v>
      </c>
      <c r="R964" t="s">
        <v>9</v>
      </c>
      <c r="S964">
        <v>1</v>
      </c>
    </row>
    <row r="965" spans="1:19" x14ac:dyDescent="0.3">
      <c r="A965">
        <v>964</v>
      </c>
      <c r="B965">
        <v>22.6</v>
      </c>
      <c r="C965" t="s">
        <v>5</v>
      </c>
      <c r="D965">
        <v>25000</v>
      </c>
      <c r="E965" t="s">
        <v>4</v>
      </c>
      <c r="F965">
        <v>5.55</v>
      </c>
      <c r="G965">
        <v>93.5</v>
      </c>
      <c r="H965">
        <v>1</v>
      </c>
      <c r="I965">
        <v>34</v>
      </c>
      <c r="J965" t="s">
        <v>4</v>
      </c>
      <c r="K965" t="s">
        <v>3</v>
      </c>
      <c r="L965">
        <v>5.5</v>
      </c>
      <c r="M965">
        <v>3.3</v>
      </c>
      <c r="N965">
        <v>2.99</v>
      </c>
      <c r="O965">
        <v>3</v>
      </c>
      <c r="P965" t="s">
        <v>7</v>
      </c>
      <c r="Q965" t="s">
        <v>8</v>
      </c>
      <c r="R965" t="s">
        <v>9</v>
      </c>
      <c r="S965">
        <v>0</v>
      </c>
    </row>
    <row r="966" spans="1:19" x14ac:dyDescent="0.3">
      <c r="A966">
        <v>965</v>
      </c>
      <c r="B966">
        <v>20.8</v>
      </c>
      <c r="C966" t="s">
        <v>5</v>
      </c>
      <c r="D966">
        <v>25779</v>
      </c>
      <c r="E966" t="s">
        <v>4</v>
      </c>
      <c r="F966">
        <v>5.55</v>
      </c>
      <c r="G966">
        <v>83.8</v>
      </c>
      <c r="H966">
        <v>3</v>
      </c>
      <c r="I966">
        <v>23.9</v>
      </c>
      <c r="J966" t="s">
        <v>3</v>
      </c>
      <c r="K966" t="s">
        <v>4</v>
      </c>
      <c r="L966">
        <v>4.2</v>
      </c>
      <c r="M966">
        <v>1.9</v>
      </c>
      <c r="N966">
        <v>2.31</v>
      </c>
      <c r="O966">
        <v>2.31</v>
      </c>
      <c r="P966" t="s">
        <v>7</v>
      </c>
      <c r="Q966" t="s">
        <v>8</v>
      </c>
      <c r="R966" t="s">
        <v>9</v>
      </c>
      <c r="S966">
        <v>0</v>
      </c>
    </row>
    <row r="967" spans="1:19" x14ac:dyDescent="0.3">
      <c r="A967">
        <v>966</v>
      </c>
      <c r="B967">
        <v>24.2</v>
      </c>
      <c r="C967" t="s">
        <v>11</v>
      </c>
      <c r="D967">
        <v>25000</v>
      </c>
      <c r="E967" t="s">
        <v>4</v>
      </c>
      <c r="F967">
        <v>4.0199999999999996</v>
      </c>
      <c r="G967">
        <v>70.900000000000006</v>
      </c>
      <c r="H967">
        <v>2</v>
      </c>
      <c r="I967">
        <v>48.5</v>
      </c>
      <c r="J967" t="s">
        <v>3</v>
      </c>
      <c r="K967" t="s">
        <v>4</v>
      </c>
      <c r="L967">
        <v>7.6</v>
      </c>
      <c r="M967">
        <v>0.83</v>
      </c>
      <c r="N967">
        <v>1.17</v>
      </c>
      <c r="O967">
        <v>1.1299999999999999</v>
      </c>
      <c r="P967" t="s">
        <v>10</v>
      </c>
      <c r="Q967" t="s">
        <v>6</v>
      </c>
      <c r="R967" t="s">
        <v>16</v>
      </c>
      <c r="S967">
        <v>0</v>
      </c>
    </row>
    <row r="968" spans="1:19" x14ac:dyDescent="0.3">
      <c r="A968">
        <v>967</v>
      </c>
      <c r="B968">
        <v>19.5</v>
      </c>
      <c r="C968" t="s">
        <v>11</v>
      </c>
      <c r="D968">
        <v>54473</v>
      </c>
      <c r="E968" t="s">
        <v>4</v>
      </c>
      <c r="F968">
        <v>3.55</v>
      </c>
      <c r="G968">
        <v>84.4</v>
      </c>
      <c r="H968">
        <v>2</v>
      </c>
      <c r="I968">
        <v>46.4</v>
      </c>
      <c r="J968" t="s">
        <v>3</v>
      </c>
      <c r="K968" t="s">
        <v>4</v>
      </c>
      <c r="L968">
        <v>7.8</v>
      </c>
      <c r="M968">
        <v>1.58</v>
      </c>
      <c r="N968">
        <v>1.68</v>
      </c>
      <c r="O968">
        <v>1.66</v>
      </c>
      <c r="P968" t="s">
        <v>10</v>
      </c>
      <c r="Q968" t="s">
        <v>14</v>
      </c>
      <c r="R968" t="s">
        <v>15</v>
      </c>
      <c r="S968">
        <v>0</v>
      </c>
    </row>
    <row r="969" spans="1:19" x14ac:dyDescent="0.3">
      <c r="A969">
        <v>968</v>
      </c>
      <c r="B969">
        <v>25</v>
      </c>
      <c r="C969" t="s">
        <v>11</v>
      </c>
      <c r="D969">
        <v>25000</v>
      </c>
      <c r="E969" t="s">
        <v>4</v>
      </c>
      <c r="F969">
        <v>5.03</v>
      </c>
      <c r="G969">
        <v>79.3</v>
      </c>
      <c r="H969">
        <v>1</v>
      </c>
      <c r="I969">
        <v>33.4</v>
      </c>
      <c r="J969" t="s">
        <v>3</v>
      </c>
      <c r="K969" t="s">
        <v>3</v>
      </c>
      <c r="L969">
        <v>2.1</v>
      </c>
      <c r="M969">
        <v>4</v>
      </c>
      <c r="N969">
        <v>4</v>
      </c>
      <c r="O969">
        <v>4</v>
      </c>
      <c r="P969" t="s">
        <v>10</v>
      </c>
      <c r="Q969" t="s">
        <v>13</v>
      </c>
      <c r="R969" t="s">
        <v>9</v>
      </c>
      <c r="S969">
        <v>0</v>
      </c>
    </row>
    <row r="970" spans="1:19" x14ac:dyDescent="0.3">
      <c r="A970">
        <v>969</v>
      </c>
      <c r="B970">
        <v>20.9</v>
      </c>
      <c r="C970" t="s">
        <v>11</v>
      </c>
      <c r="D970">
        <v>25192</v>
      </c>
      <c r="E970" t="s">
        <v>4</v>
      </c>
      <c r="F970">
        <v>0.83</v>
      </c>
      <c r="G970">
        <v>85.8</v>
      </c>
      <c r="H970">
        <v>1</v>
      </c>
      <c r="I970">
        <v>23.6</v>
      </c>
      <c r="J970" t="s">
        <v>3</v>
      </c>
      <c r="K970" t="s">
        <v>3</v>
      </c>
      <c r="L970">
        <v>7.5</v>
      </c>
      <c r="M970">
        <v>0.89</v>
      </c>
      <c r="N970">
        <v>0.75</v>
      </c>
      <c r="O970">
        <v>0.77</v>
      </c>
      <c r="P970" t="s">
        <v>7</v>
      </c>
      <c r="Q970" t="s">
        <v>14</v>
      </c>
      <c r="R970" t="s">
        <v>17</v>
      </c>
      <c r="S970">
        <v>0</v>
      </c>
    </row>
    <row r="971" spans="1:19" x14ac:dyDescent="0.3">
      <c r="A971">
        <v>970</v>
      </c>
      <c r="B971">
        <v>17.899999999999999</v>
      </c>
      <c r="C971" t="s">
        <v>5</v>
      </c>
      <c r="D971">
        <v>69350</v>
      </c>
      <c r="E971" t="s">
        <v>4</v>
      </c>
      <c r="F971">
        <v>6.08</v>
      </c>
      <c r="G971">
        <v>94.6</v>
      </c>
      <c r="H971">
        <v>2</v>
      </c>
      <c r="I971">
        <v>11.8</v>
      </c>
      <c r="J971" t="s">
        <v>4</v>
      </c>
      <c r="K971" t="s">
        <v>4</v>
      </c>
      <c r="L971">
        <v>5.8</v>
      </c>
      <c r="M971">
        <v>3.3</v>
      </c>
      <c r="N971">
        <v>3.35</v>
      </c>
      <c r="O971">
        <v>3.3</v>
      </c>
      <c r="P971" t="s">
        <v>7</v>
      </c>
      <c r="Q971" t="s">
        <v>8</v>
      </c>
      <c r="R971" t="s">
        <v>16</v>
      </c>
      <c r="S971">
        <v>0</v>
      </c>
    </row>
    <row r="972" spans="1:19" x14ac:dyDescent="0.3">
      <c r="A972">
        <v>971</v>
      </c>
      <c r="B972">
        <v>21.3</v>
      </c>
      <c r="C972" t="s">
        <v>11</v>
      </c>
      <c r="E972" t="s">
        <v>4</v>
      </c>
      <c r="G972">
        <v>77.900000000000006</v>
      </c>
      <c r="H972">
        <v>0</v>
      </c>
      <c r="I972">
        <v>34.5</v>
      </c>
      <c r="J972" t="s">
        <v>3</v>
      </c>
      <c r="K972" t="s">
        <v>3</v>
      </c>
      <c r="M972">
        <v>2.57</v>
      </c>
      <c r="N972">
        <v>2.35</v>
      </c>
      <c r="O972">
        <v>2.37</v>
      </c>
      <c r="P972" t="s">
        <v>12</v>
      </c>
      <c r="Q972" t="s">
        <v>8</v>
      </c>
      <c r="R972" t="s">
        <v>9</v>
      </c>
      <c r="S972">
        <v>0</v>
      </c>
    </row>
    <row r="973" spans="1:19" x14ac:dyDescent="0.3">
      <c r="A973">
        <v>972</v>
      </c>
      <c r="B973">
        <v>19.5</v>
      </c>
      <c r="C973" t="s">
        <v>11</v>
      </c>
      <c r="E973" t="s">
        <v>4</v>
      </c>
      <c r="G973">
        <v>70.099999999999994</v>
      </c>
      <c r="H973">
        <v>0</v>
      </c>
      <c r="I973">
        <v>32.5</v>
      </c>
      <c r="J973" t="s">
        <v>3</v>
      </c>
      <c r="K973" t="s">
        <v>3</v>
      </c>
      <c r="M973">
        <v>2.15</v>
      </c>
      <c r="N973">
        <v>1.54</v>
      </c>
      <c r="O973">
        <v>1.5</v>
      </c>
      <c r="P973" t="s">
        <v>10</v>
      </c>
      <c r="Q973" t="s">
        <v>13</v>
      </c>
      <c r="R973" t="s">
        <v>0</v>
      </c>
      <c r="S973">
        <v>1</v>
      </c>
    </row>
    <row r="974" spans="1:19" x14ac:dyDescent="0.3">
      <c r="A974">
        <v>973</v>
      </c>
      <c r="B974">
        <v>22.8</v>
      </c>
      <c r="C974" t="s">
        <v>11</v>
      </c>
      <c r="D974">
        <v>63286</v>
      </c>
      <c r="E974" t="s">
        <v>4</v>
      </c>
      <c r="F974">
        <v>3.57</v>
      </c>
      <c r="G974">
        <v>88.9</v>
      </c>
      <c r="H974">
        <v>1</v>
      </c>
      <c r="I974">
        <v>40.299999999999997</v>
      </c>
      <c r="J974" t="s">
        <v>4</v>
      </c>
      <c r="K974" t="s">
        <v>4</v>
      </c>
      <c r="L974">
        <v>6.2</v>
      </c>
      <c r="M974">
        <v>0</v>
      </c>
      <c r="N974">
        <v>0</v>
      </c>
      <c r="O974">
        <v>0</v>
      </c>
      <c r="P974" t="s">
        <v>10</v>
      </c>
      <c r="Q974" t="s">
        <v>6</v>
      </c>
      <c r="R974" t="s">
        <v>15</v>
      </c>
      <c r="S974">
        <v>1</v>
      </c>
    </row>
    <row r="975" spans="1:19" x14ac:dyDescent="0.3">
      <c r="A975">
        <v>974</v>
      </c>
      <c r="B975">
        <v>19.600000000000001</v>
      </c>
      <c r="C975" t="s">
        <v>5</v>
      </c>
      <c r="D975">
        <v>25000</v>
      </c>
      <c r="E975" t="s">
        <v>4</v>
      </c>
      <c r="F975">
        <v>6.7</v>
      </c>
      <c r="G975">
        <v>92.8</v>
      </c>
      <c r="H975">
        <v>2</v>
      </c>
      <c r="I975">
        <v>12.4</v>
      </c>
      <c r="J975" t="s">
        <v>3</v>
      </c>
      <c r="K975" t="s">
        <v>3</v>
      </c>
      <c r="L975">
        <v>5</v>
      </c>
      <c r="M975">
        <v>3.83</v>
      </c>
      <c r="N975">
        <v>3.74</v>
      </c>
      <c r="O975">
        <v>3.69</v>
      </c>
      <c r="P975" t="s">
        <v>7</v>
      </c>
      <c r="Q975" t="s">
        <v>1</v>
      </c>
      <c r="R975" t="s">
        <v>9</v>
      </c>
      <c r="S975">
        <v>0</v>
      </c>
    </row>
    <row r="976" spans="1:19" x14ac:dyDescent="0.3">
      <c r="A976">
        <v>975</v>
      </c>
      <c r="B976">
        <v>20</v>
      </c>
      <c r="C976" t="s">
        <v>11</v>
      </c>
      <c r="D976">
        <v>53851</v>
      </c>
      <c r="E976" t="s">
        <v>3</v>
      </c>
      <c r="F976">
        <v>2.66</v>
      </c>
      <c r="G976">
        <v>89.9</v>
      </c>
      <c r="H976">
        <v>2</v>
      </c>
      <c r="I976">
        <v>31.7</v>
      </c>
      <c r="J976" t="s">
        <v>4</v>
      </c>
      <c r="K976" t="s">
        <v>4</v>
      </c>
      <c r="L976">
        <v>7.3</v>
      </c>
      <c r="M976">
        <v>4</v>
      </c>
      <c r="N976">
        <v>3.99</v>
      </c>
      <c r="O976">
        <v>4</v>
      </c>
      <c r="P976" t="s">
        <v>10</v>
      </c>
      <c r="Q976" t="s">
        <v>14</v>
      </c>
      <c r="R976" t="s">
        <v>9</v>
      </c>
      <c r="S976">
        <v>0</v>
      </c>
    </row>
    <row r="977" spans="1:19" x14ac:dyDescent="0.3">
      <c r="A977">
        <v>976</v>
      </c>
      <c r="B977">
        <v>17</v>
      </c>
      <c r="C977" t="s">
        <v>11</v>
      </c>
      <c r="D977">
        <v>74249</v>
      </c>
      <c r="E977" t="s">
        <v>4</v>
      </c>
      <c r="F977">
        <v>3.66</v>
      </c>
      <c r="G977">
        <v>73.099999999999994</v>
      </c>
      <c r="H977">
        <v>1</v>
      </c>
      <c r="I977">
        <v>35.1</v>
      </c>
      <c r="J977" t="s">
        <v>4</v>
      </c>
      <c r="K977" t="s">
        <v>3</v>
      </c>
      <c r="L977">
        <v>4.3</v>
      </c>
      <c r="M977">
        <v>2.71</v>
      </c>
      <c r="N977">
        <v>2.71</v>
      </c>
      <c r="O977">
        <v>2.71</v>
      </c>
      <c r="P977" t="s">
        <v>2</v>
      </c>
      <c r="Q977" t="s">
        <v>8</v>
      </c>
      <c r="R977" t="s">
        <v>9</v>
      </c>
      <c r="S977">
        <v>0</v>
      </c>
    </row>
    <row r="978" spans="1:19" x14ac:dyDescent="0.3">
      <c r="A978">
        <v>977</v>
      </c>
      <c r="B978">
        <v>20</v>
      </c>
      <c r="C978" t="s">
        <v>11</v>
      </c>
      <c r="D978">
        <v>74584</v>
      </c>
      <c r="E978" t="s">
        <v>3</v>
      </c>
      <c r="F978">
        <v>6.28</v>
      </c>
      <c r="G978">
        <v>73.099999999999994</v>
      </c>
      <c r="H978">
        <v>4</v>
      </c>
      <c r="I978">
        <v>19.2</v>
      </c>
      <c r="J978" t="s">
        <v>4</v>
      </c>
      <c r="K978" t="s">
        <v>3</v>
      </c>
      <c r="L978">
        <v>7.3</v>
      </c>
      <c r="M978">
        <v>1.1200000000000001</v>
      </c>
      <c r="N978">
        <v>1.27</v>
      </c>
      <c r="O978">
        <v>1.31</v>
      </c>
      <c r="P978" t="s">
        <v>10</v>
      </c>
      <c r="Q978" t="s">
        <v>14</v>
      </c>
      <c r="R978" t="s">
        <v>15</v>
      </c>
      <c r="S978">
        <v>1</v>
      </c>
    </row>
    <row r="979" spans="1:19" x14ac:dyDescent="0.3">
      <c r="A979">
        <v>978</v>
      </c>
      <c r="B979">
        <v>17</v>
      </c>
      <c r="C979" t="s">
        <v>11</v>
      </c>
      <c r="D979">
        <v>53791</v>
      </c>
      <c r="E979" t="s">
        <v>4</v>
      </c>
      <c r="F979">
        <v>2.6</v>
      </c>
      <c r="G979">
        <v>88.1</v>
      </c>
      <c r="H979">
        <v>0</v>
      </c>
      <c r="I979">
        <v>31.4</v>
      </c>
      <c r="J979" t="s">
        <v>4</v>
      </c>
      <c r="K979" t="s">
        <v>3</v>
      </c>
      <c r="L979">
        <v>5.8</v>
      </c>
      <c r="M979">
        <v>2.68</v>
      </c>
      <c r="N979">
        <v>2.73</v>
      </c>
      <c r="O979">
        <v>2.73</v>
      </c>
      <c r="P979" t="s">
        <v>2</v>
      </c>
      <c r="Q979" t="s">
        <v>6</v>
      </c>
      <c r="R979" t="s">
        <v>15</v>
      </c>
      <c r="S979">
        <v>1</v>
      </c>
    </row>
    <row r="980" spans="1:19" x14ac:dyDescent="0.3">
      <c r="A980">
        <v>979</v>
      </c>
      <c r="B980">
        <v>17.5</v>
      </c>
      <c r="C980" t="s">
        <v>11</v>
      </c>
      <c r="D980">
        <v>53131</v>
      </c>
      <c r="E980" t="s">
        <v>4</v>
      </c>
      <c r="F980">
        <v>4.21</v>
      </c>
      <c r="G980">
        <v>78.900000000000006</v>
      </c>
      <c r="H980">
        <v>2</v>
      </c>
      <c r="I980">
        <v>21.3</v>
      </c>
      <c r="J980" t="s">
        <v>3</v>
      </c>
      <c r="K980" t="s">
        <v>4</v>
      </c>
      <c r="L980">
        <v>6.9</v>
      </c>
      <c r="M980">
        <v>1.24</v>
      </c>
      <c r="N980">
        <v>0.76</v>
      </c>
      <c r="O980">
        <v>0.7</v>
      </c>
      <c r="P980" t="s">
        <v>7</v>
      </c>
      <c r="Q980" t="s">
        <v>14</v>
      </c>
      <c r="R980" t="s">
        <v>9</v>
      </c>
      <c r="S980">
        <v>0</v>
      </c>
    </row>
    <row r="981" spans="1:19" x14ac:dyDescent="0.3">
      <c r="A981">
        <v>980</v>
      </c>
      <c r="B981">
        <v>22.7</v>
      </c>
      <c r="C981" t="s">
        <v>11</v>
      </c>
      <c r="D981">
        <v>25000</v>
      </c>
      <c r="E981" t="s">
        <v>4</v>
      </c>
      <c r="F981">
        <v>3.69</v>
      </c>
      <c r="G981">
        <v>74.099999999999994</v>
      </c>
      <c r="H981">
        <v>5</v>
      </c>
      <c r="I981">
        <v>20.100000000000001</v>
      </c>
      <c r="J981" t="s">
        <v>3</v>
      </c>
      <c r="K981" t="s">
        <v>4</v>
      </c>
      <c r="L981">
        <v>3.7</v>
      </c>
      <c r="M981">
        <v>4</v>
      </c>
      <c r="N981">
        <v>3.78</v>
      </c>
      <c r="O981">
        <v>3.79</v>
      </c>
      <c r="P981" t="s">
        <v>7</v>
      </c>
      <c r="Q981" t="s">
        <v>14</v>
      </c>
      <c r="R981" t="s">
        <v>15</v>
      </c>
      <c r="S981">
        <v>0</v>
      </c>
    </row>
    <row r="982" spans="1:19" x14ac:dyDescent="0.3">
      <c r="A982">
        <v>981</v>
      </c>
      <c r="B982">
        <v>22.7</v>
      </c>
      <c r="C982" t="s">
        <v>11</v>
      </c>
      <c r="D982">
        <v>25000</v>
      </c>
      <c r="E982" t="s">
        <v>4</v>
      </c>
      <c r="F982">
        <v>6.68</v>
      </c>
      <c r="G982">
        <v>91.5</v>
      </c>
      <c r="H982">
        <v>0</v>
      </c>
      <c r="I982">
        <v>23.6</v>
      </c>
      <c r="J982" t="s">
        <v>4</v>
      </c>
      <c r="K982" t="s">
        <v>4</v>
      </c>
      <c r="L982">
        <v>6.3</v>
      </c>
      <c r="M982">
        <v>3.34</v>
      </c>
      <c r="N982">
        <v>4</v>
      </c>
      <c r="O982">
        <v>4</v>
      </c>
      <c r="P982" t="s">
        <v>12</v>
      </c>
      <c r="Q982" t="s">
        <v>13</v>
      </c>
      <c r="R982" t="s">
        <v>15</v>
      </c>
      <c r="S982">
        <v>0</v>
      </c>
    </row>
    <row r="983" spans="1:19" x14ac:dyDescent="0.3">
      <c r="A983">
        <v>982</v>
      </c>
      <c r="B983">
        <v>21.9</v>
      </c>
      <c r="C983" t="s">
        <v>11</v>
      </c>
      <c r="D983">
        <v>25000</v>
      </c>
      <c r="E983" t="s">
        <v>4</v>
      </c>
      <c r="F983">
        <v>3.29</v>
      </c>
      <c r="G983">
        <v>79</v>
      </c>
      <c r="H983">
        <v>1</v>
      </c>
      <c r="I983">
        <v>26.8</v>
      </c>
      <c r="J983" t="s">
        <v>3</v>
      </c>
      <c r="K983" t="s">
        <v>4</v>
      </c>
      <c r="L983">
        <v>6.5</v>
      </c>
      <c r="M983">
        <v>1.25</v>
      </c>
      <c r="N983">
        <v>1.52</v>
      </c>
      <c r="O983">
        <v>1.54</v>
      </c>
      <c r="P983" t="s">
        <v>7</v>
      </c>
      <c r="Q983" t="s">
        <v>13</v>
      </c>
      <c r="R983" t="s">
        <v>9</v>
      </c>
      <c r="S983">
        <v>1</v>
      </c>
    </row>
    <row r="984" spans="1:19" x14ac:dyDescent="0.3">
      <c r="A984">
        <v>983</v>
      </c>
      <c r="B984">
        <v>18.899999999999999</v>
      </c>
      <c r="C984" t="s">
        <v>5</v>
      </c>
      <c r="D984">
        <v>25000</v>
      </c>
      <c r="E984" t="s">
        <v>4</v>
      </c>
      <c r="F984">
        <v>2.2400000000000002</v>
      </c>
      <c r="G984">
        <v>95</v>
      </c>
      <c r="H984">
        <v>2</v>
      </c>
      <c r="I984">
        <v>44.9</v>
      </c>
      <c r="J984" t="s">
        <v>4</v>
      </c>
      <c r="K984" t="s">
        <v>3</v>
      </c>
      <c r="L984">
        <v>8.8000000000000007</v>
      </c>
      <c r="M984">
        <v>2.84</v>
      </c>
      <c r="N984">
        <v>2.88</v>
      </c>
      <c r="O984">
        <v>2.88</v>
      </c>
      <c r="P984" t="s">
        <v>2</v>
      </c>
      <c r="Q984" t="s">
        <v>8</v>
      </c>
      <c r="R984" t="s">
        <v>9</v>
      </c>
      <c r="S984">
        <v>0</v>
      </c>
    </row>
    <row r="985" spans="1:19" x14ac:dyDescent="0.3">
      <c r="A985">
        <v>984</v>
      </c>
      <c r="B985">
        <v>20.9</v>
      </c>
      <c r="C985" t="s">
        <v>5</v>
      </c>
      <c r="D985">
        <v>66548</v>
      </c>
      <c r="E985" t="s">
        <v>4</v>
      </c>
      <c r="F985">
        <v>4.3099999999999996</v>
      </c>
      <c r="G985">
        <v>78.5</v>
      </c>
      <c r="H985">
        <v>0</v>
      </c>
      <c r="I985">
        <v>26.1</v>
      </c>
      <c r="J985" t="s">
        <v>3</v>
      </c>
      <c r="K985" t="s">
        <v>3</v>
      </c>
      <c r="L985">
        <v>6.8</v>
      </c>
      <c r="M985">
        <v>2.39</v>
      </c>
      <c r="N985">
        <v>2.58</v>
      </c>
      <c r="O985">
        <v>2.52</v>
      </c>
      <c r="P985" t="s">
        <v>10</v>
      </c>
      <c r="Q985" t="s">
        <v>14</v>
      </c>
      <c r="R985" t="s">
        <v>0</v>
      </c>
      <c r="S985">
        <v>0</v>
      </c>
    </row>
    <row r="986" spans="1:19" x14ac:dyDescent="0.3">
      <c r="A986">
        <v>985</v>
      </c>
      <c r="B986">
        <v>21</v>
      </c>
      <c r="C986" t="s">
        <v>5</v>
      </c>
      <c r="D986">
        <v>25085</v>
      </c>
      <c r="E986" t="s">
        <v>4</v>
      </c>
      <c r="F986">
        <v>3.29</v>
      </c>
      <c r="G986">
        <v>76</v>
      </c>
      <c r="H986">
        <v>3</v>
      </c>
      <c r="I986">
        <v>19.8</v>
      </c>
      <c r="J986" t="s">
        <v>4</v>
      </c>
      <c r="K986" t="s">
        <v>3</v>
      </c>
      <c r="L986">
        <v>4.4000000000000004</v>
      </c>
      <c r="M986">
        <v>2.6</v>
      </c>
      <c r="N986">
        <v>2.34</v>
      </c>
      <c r="O986">
        <v>2.33</v>
      </c>
      <c r="P986" t="s">
        <v>12</v>
      </c>
      <c r="Q986" t="s">
        <v>8</v>
      </c>
      <c r="R986" t="s">
        <v>9</v>
      </c>
      <c r="S986">
        <v>0</v>
      </c>
    </row>
    <row r="987" spans="1:19" x14ac:dyDescent="0.3">
      <c r="A987">
        <v>986</v>
      </c>
      <c r="B987">
        <v>18.5</v>
      </c>
      <c r="C987" t="s">
        <v>11</v>
      </c>
      <c r="D987">
        <v>64524</v>
      </c>
      <c r="E987" t="s">
        <v>4</v>
      </c>
      <c r="F987">
        <v>4.78</v>
      </c>
      <c r="G987">
        <v>81.5</v>
      </c>
      <c r="H987">
        <v>1</v>
      </c>
      <c r="I987">
        <v>39.799999999999997</v>
      </c>
      <c r="J987" t="s">
        <v>3</v>
      </c>
      <c r="K987" t="s">
        <v>4</v>
      </c>
      <c r="L987">
        <v>4.4000000000000004</v>
      </c>
      <c r="M987">
        <v>4</v>
      </c>
      <c r="N987">
        <v>4</v>
      </c>
      <c r="O987">
        <v>4</v>
      </c>
      <c r="P987" t="s">
        <v>12</v>
      </c>
      <c r="Q987" t="s">
        <v>6</v>
      </c>
      <c r="R987" t="s">
        <v>15</v>
      </c>
      <c r="S987">
        <v>0</v>
      </c>
    </row>
    <row r="988" spans="1:19" x14ac:dyDescent="0.3">
      <c r="A988">
        <v>987</v>
      </c>
      <c r="B988">
        <v>24.3</v>
      </c>
      <c r="C988" t="s">
        <v>11</v>
      </c>
      <c r="D988">
        <v>25000</v>
      </c>
      <c r="E988" t="s">
        <v>3</v>
      </c>
      <c r="F988">
        <v>4.5599999999999996</v>
      </c>
      <c r="G988">
        <v>88.1</v>
      </c>
      <c r="H988">
        <v>0</v>
      </c>
      <c r="I988">
        <v>42.3</v>
      </c>
      <c r="J988" t="s">
        <v>4</v>
      </c>
      <c r="K988" t="s">
        <v>3</v>
      </c>
      <c r="L988">
        <v>6.9</v>
      </c>
      <c r="M988">
        <v>1.1499999999999999</v>
      </c>
      <c r="N988">
        <v>1.23</v>
      </c>
      <c r="O988">
        <v>1.28</v>
      </c>
      <c r="P988" t="s">
        <v>7</v>
      </c>
      <c r="Q988" t="s">
        <v>1</v>
      </c>
      <c r="R988" t="s">
        <v>15</v>
      </c>
      <c r="S988">
        <v>1</v>
      </c>
    </row>
    <row r="989" spans="1:19" x14ac:dyDescent="0.3">
      <c r="A989">
        <v>988</v>
      </c>
      <c r="B989">
        <v>22.9</v>
      </c>
      <c r="C989" t="s">
        <v>11</v>
      </c>
      <c r="D989">
        <v>56930</v>
      </c>
      <c r="E989" t="s">
        <v>4</v>
      </c>
      <c r="F989">
        <v>2.48</v>
      </c>
      <c r="G989">
        <v>84.3</v>
      </c>
      <c r="H989">
        <v>2</v>
      </c>
      <c r="I989">
        <v>39.799999999999997</v>
      </c>
      <c r="J989" t="s">
        <v>3</v>
      </c>
      <c r="K989" t="s">
        <v>4</v>
      </c>
      <c r="L989">
        <v>4.5</v>
      </c>
      <c r="M989">
        <v>3.76</v>
      </c>
      <c r="N989">
        <v>3.87</v>
      </c>
      <c r="O989">
        <v>3.83</v>
      </c>
      <c r="P989" t="s">
        <v>7</v>
      </c>
      <c r="Q989" t="s">
        <v>13</v>
      </c>
      <c r="R989" t="s">
        <v>9</v>
      </c>
      <c r="S989">
        <v>0</v>
      </c>
    </row>
    <row r="990" spans="1:19" x14ac:dyDescent="0.3">
      <c r="A990">
        <v>989</v>
      </c>
      <c r="B990">
        <v>20.5</v>
      </c>
      <c r="C990" t="s">
        <v>5</v>
      </c>
      <c r="D990">
        <v>25000</v>
      </c>
      <c r="E990" t="s">
        <v>4</v>
      </c>
      <c r="F990">
        <v>6.39</v>
      </c>
      <c r="G990">
        <v>97.1</v>
      </c>
      <c r="H990">
        <v>2</v>
      </c>
      <c r="I990">
        <v>46.4</v>
      </c>
      <c r="J990" t="s">
        <v>3</v>
      </c>
      <c r="K990" t="s">
        <v>3</v>
      </c>
      <c r="L990">
        <v>4.5999999999999996</v>
      </c>
      <c r="M990">
        <v>2.4700000000000002</v>
      </c>
      <c r="N990">
        <v>2.29</v>
      </c>
      <c r="O990">
        <v>2.31</v>
      </c>
      <c r="P990" t="s">
        <v>7</v>
      </c>
      <c r="Q990" t="s">
        <v>1</v>
      </c>
      <c r="R990" t="s">
        <v>15</v>
      </c>
      <c r="S990">
        <v>0</v>
      </c>
    </row>
    <row r="991" spans="1:19" x14ac:dyDescent="0.3">
      <c r="A991">
        <v>990</v>
      </c>
      <c r="B991">
        <v>21.1</v>
      </c>
      <c r="C991" t="s">
        <v>5</v>
      </c>
      <c r="D991">
        <v>25000</v>
      </c>
      <c r="E991" t="s">
        <v>4</v>
      </c>
      <c r="F991">
        <v>3.21</v>
      </c>
      <c r="G991">
        <v>83.4</v>
      </c>
      <c r="H991">
        <v>1</v>
      </c>
      <c r="I991">
        <v>32.299999999999997</v>
      </c>
      <c r="J991" t="s">
        <v>3</v>
      </c>
      <c r="K991" t="s">
        <v>4</v>
      </c>
      <c r="L991">
        <v>4</v>
      </c>
      <c r="M991">
        <v>1.48</v>
      </c>
      <c r="N991">
        <v>1.41</v>
      </c>
      <c r="O991">
        <v>1.36</v>
      </c>
      <c r="P991" t="s">
        <v>12</v>
      </c>
      <c r="Q991" t="s">
        <v>1</v>
      </c>
      <c r="R991" t="s">
        <v>9</v>
      </c>
      <c r="S991">
        <v>1</v>
      </c>
    </row>
    <row r="992" spans="1:19" x14ac:dyDescent="0.3">
      <c r="A992">
        <v>991</v>
      </c>
      <c r="B992">
        <v>21.5</v>
      </c>
      <c r="C992" t="s">
        <v>5</v>
      </c>
      <c r="D992">
        <v>78926</v>
      </c>
      <c r="E992" t="s">
        <v>4</v>
      </c>
      <c r="F992">
        <v>3.34</v>
      </c>
      <c r="G992">
        <v>80.599999999999994</v>
      </c>
      <c r="H992">
        <v>0</v>
      </c>
      <c r="I992">
        <v>31.9</v>
      </c>
      <c r="J992" t="s">
        <v>4</v>
      </c>
      <c r="K992" t="s">
        <v>3</v>
      </c>
      <c r="L992">
        <v>5.7</v>
      </c>
      <c r="M992">
        <v>1.1499999999999999</v>
      </c>
      <c r="N992">
        <v>1.26</v>
      </c>
      <c r="O992">
        <v>1.23</v>
      </c>
      <c r="P992" t="s">
        <v>7</v>
      </c>
      <c r="Q992" t="s">
        <v>13</v>
      </c>
      <c r="R992" t="s">
        <v>9</v>
      </c>
      <c r="S992">
        <v>0</v>
      </c>
    </row>
    <row r="993" spans="1:19" x14ac:dyDescent="0.3">
      <c r="A993">
        <v>992</v>
      </c>
      <c r="B993">
        <v>17</v>
      </c>
      <c r="C993" t="s">
        <v>5</v>
      </c>
      <c r="D993">
        <v>57779</v>
      </c>
      <c r="E993" t="s">
        <v>4</v>
      </c>
      <c r="F993">
        <v>4.75</v>
      </c>
      <c r="G993">
        <v>94.1</v>
      </c>
      <c r="H993">
        <v>1</v>
      </c>
      <c r="I993">
        <v>21.6</v>
      </c>
      <c r="J993" t="s">
        <v>3</v>
      </c>
      <c r="K993" t="s">
        <v>4</v>
      </c>
      <c r="L993">
        <v>5.9</v>
      </c>
      <c r="M993">
        <v>2.8</v>
      </c>
      <c r="N993">
        <v>2.68</v>
      </c>
      <c r="O993">
        <v>2.68</v>
      </c>
      <c r="P993" t="s">
        <v>7</v>
      </c>
      <c r="Q993" t="s">
        <v>1</v>
      </c>
      <c r="R993" t="s">
        <v>9</v>
      </c>
      <c r="S993">
        <v>0</v>
      </c>
    </row>
    <row r="994" spans="1:19" x14ac:dyDescent="0.3">
      <c r="A994">
        <v>993</v>
      </c>
      <c r="B994">
        <v>20.5</v>
      </c>
      <c r="C994" t="s">
        <v>11</v>
      </c>
      <c r="D994">
        <v>33761</v>
      </c>
      <c r="E994" t="s">
        <v>3</v>
      </c>
      <c r="F994">
        <v>6.12</v>
      </c>
      <c r="G994">
        <v>86.8</v>
      </c>
      <c r="H994">
        <v>2</v>
      </c>
      <c r="I994">
        <v>46.8</v>
      </c>
      <c r="J994" t="s">
        <v>3</v>
      </c>
      <c r="K994" t="s">
        <v>4</v>
      </c>
      <c r="L994">
        <v>4.9000000000000004</v>
      </c>
      <c r="M994">
        <v>1.03</v>
      </c>
      <c r="N994">
        <v>1</v>
      </c>
      <c r="O994">
        <v>0.94</v>
      </c>
      <c r="P994" t="s">
        <v>10</v>
      </c>
      <c r="Q994" t="s">
        <v>6</v>
      </c>
      <c r="R994" t="s">
        <v>15</v>
      </c>
      <c r="S994">
        <v>0</v>
      </c>
    </row>
    <row r="995" spans="1:19" x14ac:dyDescent="0.3">
      <c r="A995">
        <v>994</v>
      </c>
      <c r="B995">
        <v>19.5</v>
      </c>
      <c r="C995" t="s">
        <v>5</v>
      </c>
      <c r="E995" t="s">
        <v>4</v>
      </c>
      <c r="G995">
        <v>78.7</v>
      </c>
      <c r="H995">
        <v>2</v>
      </c>
      <c r="I995">
        <v>28.9</v>
      </c>
      <c r="J995" t="s">
        <v>3</v>
      </c>
      <c r="K995" t="s">
        <v>3</v>
      </c>
      <c r="M995">
        <v>2.78</v>
      </c>
      <c r="N995">
        <v>2.8</v>
      </c>
      <c r="O995">
        <v>2.8</v>
      </c>
      <c r="P995" t="s">
        <v>12</v>
      </c>
      <c r="Q995" t="s">
        <v>14</v>
      </c>
      <c r="R995" t="s">
        <v>0</v>
      </c>
      <c r="S995">
        <v>0</v>
      </c>
    </row>
    <row r="996" spans="1:19" x14ac:dyDescent="0.3">
      <c r="A996">
        <v>995</v>
      </c>
      <c r="B996">
        <v>18.8</v>
      </c>
      <c r="C996" t="s">
        <v>11</v>
      </c>
      <c r="D996">
        <v>38704</v>
      </c>
      <c r="E996" t="s">
        <v>4</v>
      </c>
      <c r="F996">
        <v>3.4</v>
      </c>
      <c r="G996">
        <v>83.9</v>
      </c>
      <c r="H996">
        <v>0</v>
      </c>
      <c r="I996">
        <v>26.4</v>
      </c>
      <c r="J996" t="s">
        <v>3</v>
      </c>
      <c r="K996" t="s">
        <v>3</v>
      </c>
      <c r="L996">
        <v>6.5</v>
      </c>
      <c r="M996">
        <v>2.25</v>
      </c>
      <c r="N996">
        <v>2.83</v>
      </c>
      <c r="O996">
        <v>2.85</v>
      </c>
      <c r="P996" t="s">
        <v>7</v>
      </c>
      <c r="Q996" t="s">
        <v>13</v>
      </c>
      <c r="R996" t="s">
        <v>15</v>
      </c>
      <c r="S996">
        <v>1</v>
      </c>
    </row>
    <row r="997" spans="1:19" x14ac:dyDescent="0.3">
      <c r="A997">
        <v>996</v>
      </c>
      <c r="B997">
        <v>20.399999999999999</v>
      </c>
      <c r="C997" t="s">
        <v>11</v>
      </c>
      <c r="D997">
        <v>33416</v>
      </c>
      <c r="E997" t="s">
        <v>4</v>
      </c>
      <c r="F997">
        <v>5.24</v>
      </c>
      <c r="G997">
        <v>83.7</v>
      </c>
      <c r="H997">
        <v>2</v>
      </c>
      <c r="I997">
        <v>25.3</v>
      </c>
      <c r="J997" t="s">
        <v>4</v>
      </c>
      <c r="K997" t="s">
        <v>3</v>
      </c>
      <c r="L997">
        <v>8.6999999999999993</v>
      </c>
      <c r="M997">
        <v>2.42</v>
      </c>
      <c r="N997">
        <v>2.04</v>
      </c>
      <c r="O997">
        <v>2.02</v>
      </c>
      <c r="P997" t="s">
        <v>7</v>
      </c>
      <c r="Q997" t="s">
        <v>1</v>
      </c>
      <c r="R997" t="s">
        <v>15</v>
      </c>
      <c r="S997">
        <v>1</v>
      </c>
    </row>
    <row r="998" spans="1:19" x14ac:dyDescent="0.3">
      <c r="A998">
        <v>997</v>
      </c>
      <c r="B998">
        <v>25</v>
      </c>
      <c r="C998" t="s">
        <v>5</v>
      </c>
      <c r="D998">
        <v>25000</v>
      </c>
      <c r="E998" t="s">
        <v>4</v>
      </c>
      <c r="F998">
        <v>3.26</v>
      </c>
      <c r="G998">
        <v>80.400000000000006</v>
      </c>
      <c r="H998">
        <v>2</v>
      </c>
      <c r="I998">
        <v>37.6</v>
      </c>
      <c r="J998" t="s">
        <v>3</v>
      </c>
      <c r="K998" t="s">
        <v>4</v>
      </c>
      <c r="L998">
        <v>5.7</v>
      </c>
      <c r="M998">
        <v>0.98</v>
      </c>
      <c r="N998">
        <v>1.02</v>
      </c>
      <c r="O998">
        <v>1.02</v>
      </c>
      <c r="P998" t="s">
        <v>2</v>
      </c>
      <c r="Q998" t="s">
        <v>8</v>
      </c>
      <c r="R998" t="s">
        <v>9</v>
      </c>
      <c r="S998">
        <v>0</v>
      </c>
    </row>
    <row r="999" spans="1:19" x14ac:dyDescent="0.3">
      <c r="A999">
        <v>998</v>
      </c>
      <c r="B999">
        <v>22.4</v>
      </c>
      <c r="C999" t="s">
        <v>11</v>
      </c>
      <c r="D999">
        <v>25000</v>
      </c>
      <c r="E999" t="s">
        <v>4</v>
      </c>
      <c r="F999">
        <v>4.2</v>
      </c>
      <c r="G999">
        <v>83.5</v>
      </c>
      <c r="H999">
        <v>0</v>
      </c>
      <c r="I999">
        <v>31</v>
      </c>
      <c r="J999" t="s">
        <v>4</v>
      </c>
      <c r="K999" t="s">
        <v>3</v>
      </c>
      <c r="L999">
        <v>4.2</v>
      </c>
      <c r="M999">
        <v>2.73</v>
      </c>
      <c r="N999">
        <v>2.0699999999999998</v>
      </c>
      <c r="O999">
        <v>1.98</v>
      </c>
      <c r="P999" t="s">
        <v>12</v>
      </c>
      <c r="Q999" t="s">
        <v>1</v>
      </c>
      <c r="R999" t="s">
        <v>9</v>
      </c>
      <c r="S999">
        <v>0</v>
      </c>
    </row>
    <row r="1000" spans="1:19" x14ac:dyDescent="0.3">
      <c r="A1000">
        <v>999</v>
      </c>
      <c r="B1000">
        <v>19.7</v>
      </c>
      <c r="C1000" t="s">
        <v>5</v>
      </c>
      <c r="D1000">
        <v>96416</v>
      </c>
      <c r="E1000" t="s">
        <v>4</v>
      </c>
      <c r="F1000">
        <v>3.46</v>
      </c>
      <c r="G1000">
        <v>71.7</v>
      </c>
      <c r="H1000">
        <v>0</v>
      </c>
      <c r="I1000">
        <v>32.299999999999997</v>
      </c>
      <c r="J1000" t="s">
        <v>3</v>
      </c>
      <c r="K1000" t="s">
        <v>4</v>
      </c>
      <c r="L1000">
        <v>3.7</v>
      </c>
      <c r="M1000">
        <v>1.79</v>
      </c>
      <c r="N1000">
        <v>1.98</v>
      </c>
      <c r="O1000">
        <v>1.91</v>
      </c>
      <c r="P1000" t="s">
        <v>7</v>
      </c>
      <c r="Q1000" t="s">
        <v>13</v>
      </c>
      <c r="R1000" t="s">
        <v>15</v>
      </c>
      <c r="S1000">
        <v>0</v>
      </c>
    </row>
    <row r="1001" spans="1:19" x14ac:dyDescent="0.3">
      <c r="A1001">
        <v>1000</v>
      </c>
      <c r="B1001">
        <v>22.3</v>
      </c>
      <c r="C1001" t="s">
        <v>5</v>
      </c>
      <c r="D1001">
        <v>147753</v>
      </c>
      <c r="E1001" t="s">
        <v>4</v>
      </c>
      <c r="F1001">
        <v>4.6399999999999997</v>
      </c>
      <c r="G1001">
        <v>79.2</v>
      </c>
      <c r="H1001">
        <v>2</v>
      </c>
      <c r="I1001">
        <v>26.1</v>
      </c>
      <c r="J1001" t="s">
        <v>3</v>
      </c>
      <c r="K1001" t="s">
        <v>3</v>
      </c>
      <c r="L1001">
        <v>5.3</v>
      </c>
      <c r="M1001">
        <v>0</v>
      </c>
      <c r="N1001">
        <v>0</v>
      </c>
      <c r="O1001">
        <v>0</v>
      </c>
      <c r="P1001" t="s">
        <v>2</v>
      </c>
      <c r="Q1001" t="s">
        <v>1</v>
      </c>
      <c r="R1001" t="s">
        <v>15</v>
      </c>
      <c r="S1001">
        <v>1</v>
      </c>
    </row>
    <row r="1002" spans="1:19" x14ac:dyDescent="0.3">
      <c r="A1002">
        <v>1001</v>
      </c>
      <c r="B1002">
        <v>24.1</v>
      </c>
      <c r="C1002" t="s">
        <v>11</v>
      </c>
      <c r="D1002">
        <v>75933</v>
      </c>
      <c r="E1002" t="s">
        <v>3</v>
      </c>
      <c r="F1002">
        <v>2.38</v>
      </c>
      <c r="G1002">
        <v>85.5</v>
      </c>
      <c r="H1002">
        <v>3</v>
      </c>
      <c r="I1002">
        <v>27.6</v>
      </c>
      <c r="J1002" t="s">
        <v>3</v>
      </c>
      <c r="K1002" t="s">
        <v>4</v>
      </c>
      <c r="L1002">
        <v>6.9</v>
      </c>
      <c r="M1002">
        <v>3.51</v>
      </c>
      <c r="N1002">
        <v>3.62</v>
      </c>
      <c r="O1002">
        <v>3.58</v>
      </c>
      <c r="P1002" t="s">
        <v>7</v>
      </c>
      <c r="Q1002" t="s">
        <v>1</v>
      </c>
      <c r="R1002" t="s">
        <v>15</v>
      </c>
      <c r="S1002">
        <v>0</v>
      </c>
    </row>
    <row r="1003" spans="1:19" x14ac:dyDescent="0.3">
      <c r="A1003">
        <v>1002</v>
      </c>
      <c r="B1003">
        <v>23</v>
      </c>
      <c r="C1003" t="s">
        <v>11</v>
      </c>
      <c r="D1003">
        <v>39614</v>
      </c>
      <c r="E1003" t="s">
        <v>4</v>
      </c>
      <c r="F1003">
        <v>4.41</v>
      </c>
      <c r="G1003">
        <v>77.8</v>
      </c>
      <c r="H1003">
        <v>1</v>
      </c>
      <c r="I1003">
        <v>28.2</v>
      </c>
      <c r="J1003" t="s">
        <v>3</v>
      </c>
      <c r="K1003" t="s">
        <v>3</v>
      </c>
      <c r="L1003">
        <v>5</v>
      </c>
      <c r="M1003">
        <v>2.4900000000000002</v>
      </c>
      <c r="N1003">
        <v>2.81</v>
      </c>
      <c r="O1003">
        <v>2.78</v>
      </c>
      <c r="P1003" t="s">
        <v>12</v>
      </c>
      <c r="Q1003" t="s">
        <v>6</v>
      </c>
      <c r="R1003" t="s">
        <v>9</v>
      </c>
      <c r="S1003">
        <v>1</v>
      </c>
    </row>
    <row r="1004" spans="1:19" x14ac:dyDescent="0.3">
      <c r="A1004">
        <v>1003</v>
      </c>
      <c r="B1004">
        <v>21.1</v>
      </c>
      <c r="C1004" t="s">
        <v>5</v>
      </c>
      <c r="D1004">
        <v>25000</v>
      </c>
      <c r="E1004" t="s">
        <v>4</v>
      </c>
      <c r="F1004">
        <v>4.63</v>
      </c>
      <c r="G1004">
        <v>74.900000000000006</v>
      </c>
      <c r="H1004">
        <v>2</v>
      </c>
      <c r="I1004">
        <v>47.1</v>
      </c>
      <c r="J1004" t="s">
        <v>3</v>
      </c>
      <c r="K1004" t="s">
        <v>3</v>
      </c>
      <c r="L1004">
        <v>7</v>
      </c>
      <c r="M1004">
        <v>2.87</v>
      </c>
      <c r="N1004">
        <v>3.39</v>
      </c>
      <c r="O1004">
        <v>3.41</v>
      </c>
      <c r="P1004" t="s">
        <v>10</v>
      </c>
      <c r="Q1004" t="s">
        <v>6</v>
      </c>
      <c r="R1004" t="s">
        <v>9</v>
      </c>
      <c r="S1004">
        <v>0</v>
      </c>
    </row>
    <row r="1005" spans="1:19" x14ac:dyDescent="0.3">
      <c r="A1005">
        <v>1004</v>
      </c>
      <c r="B1005">
        <v>19.600000000000001</v>
      </c>
      <c r="C1005" t="s">
        <v>5</v>
      </c>
      <c r="D1005">
        <v>25000</v>
      </c>
      <c r="E1005" t="s">
        <v>4</v>
      </c>
      <c r="F1005">
        <v>4.8899999999999997</v>
      </c>
      <c r="G1005">
        <v>81.7</v>
      </c>
      <c r="H1005">
        <v>2</v>
      </c>
      <c r="I1005">
        <v>8.4</v>
      </c>
      <c r="J1005" t="s">
        <v>3</v>
      </c>
      <c r="K1005" t="s">
        <v>3</v>
      </c>
      <c r="L1005">
        <v>8</v>
      </c>
      <c r="M1005">
        <v>2.5499999999999998</v>
      </c>
      <c r="N1005">
        <v>2.42</v>
      </c>
      <c r="O1005">
        <v>2.42</v>
      </c>
      <c r="P1005" t="s">
        <v>12</v>
      </c>
      <c r="Q1005" t="s">
        <v>13</v>
      </c>
      <c r="R1005" t="s">
        <v>9</v>
      </c>
      <c r="S1005">
        <v>0</v>
      </c>
    </row>
    <row r="1006" spans="1:19" x14ac:dyDescent="0.3">
      <c r="A1006">
        <v>1005</v>
      </c>
      <c r="B1006">
        <v>22.5</v>
      </c>
      <c r="C1006" t="s">
        <v>5</v>
      </c>
      <c r="D1006">
        <v>25000</v>
      </c>
      <c r="E1006" t="s">
        <v>4</v>
      </c>
      <c r="F1006">
        <v>3.32</v>
      </c>
      <c r="G1006">
        <v>78.2</v>
      </c>
      <c r="H1006">
        <v>1</v>
      </c>
      <c r="I1006">
        <v>35.4</v>
      </c>
      <c r="J1006" t="s">
        <v>3</v>
      </c>
      <c r="K1006" t="s">
        <v>3</v>
      </c>
      <c r="L1006">
        <v>4</v>
      </c>
      <c r="M1006">
        <v>2.94</v>
      </c>
      <c r="N1006">
        <v>2.96</v>
      </c>
      <c r="O1006">
        <v>2.96</v>
      </c>
      <c r="P1006" t="s">
        <v>2</v>
      </c>
      <c r="Q1006" t="s">
        <v>6</v>
      </c>
      <c r="R1006" t="s">
        <v>15</v>
      </c>
      <c r="S1006">
        <v>0</v>
      </c>
    </row>
    <row r="1007" spans="1:19" x14ac:dyDescent="0.3">
      <c r="A1007">
        <v>1006</v>
      </c>
      <c r="B1007">
        <v>21.9</v>
      </c>
      <c r="C1007" t="s">
        <v>5</v>
      </c>
      <c r="D1007">
        <v>25000</v>
      </c>
      <c r="E1007" t="s">
        <v>4</v>
      </c>
      <c r="F1007">
        <v>5.88</v>
      </c>
      <c r="G1007">
        <v>71.400000000000006</v>
      </c>
      <c r="H1007">
        <v>2</v>
      </c>
      <c r="I1007">
        <v>43.1</v>
      </c>
      <c r="J1007" t="s">
        <v>4</v>
      </c>
      <c r="K1007" t="s">
        <v>3</v>
      </c>
      <c r="L1007">
        <v>3.5</v>
      </c>
      <c r="M1007">
        <v>1.1000000000000001</v>
      </c>
      <c r="N1007">
        <v>1.32</v>
      </c>
      <c r="O1007">
        <v>1.37</v>
      </c>
      <c r="P1007" t="s">
        <v>12</v>
      </c>
      <c r="Q1007" t="s">
        <v>8</v>
      </c>
      <c r="R1007" t="s">
        <v>15</v>
      </c>
      <c r="S1007">
        <v>0</v>
      </c>
    </row>
    <row r="1008" spans="1:19" x14ac:dyDescent="0.3">
      <c r="A1008">
        <v>1007</v>
      </c>
      <c r="B1008">
        <v>23</v>
      </c>
      <c r="C1008" t="s">
        <v>11</v>
      </c>
      <c r="D1008">
        <v>108088</v>
      </c>
      <c r="E1008" t="s">
        <v>4</v>
      </c>
      <c r="F1008">
        <v>1.27</v>
      </c>
      <c r="G1008">
        <v>71.599999999999994</v>
      </c>
      <c r="H1008">
        <v>2</v>
      </c>
      <c r="I1008">
        <v>7.9</v>
      </c>
      <c r="J1008" t="s">
        <v>3</v>
      </c>
      <c r="K1008" t="s">
        <v>4</v>
      </c>
      <c r="L1008">
        <v>7.2</v>
      </c>
      <c r="M1008">
        <v>2.41</v>
      </c>
      <c r="N1008">
        <v>2.19</v>
      </c>
      <c r="O1008">
        <v>2.19</v>
      </c>
      <c r="P1008" t="s">
        <v>2</v>
      </c>
      <c r="Q1008" t="s">
        <v>6</v>
      </c>
      <c r="R1008" t="s">
        <v>9</v>
      </c>
      <c r="S1008">
        <v>0</v>
      </c>
    </row>
    <row r="1009" spans="1:19" x14ac:dyDescent="0.3">
      <c r="A1009">
        <v>1008</v>
      </c>
      <c r="B1009">
        <v>22.4</v>
      </c>
      <c r="C1009" t="s">
        <v>11</v>
      </c>
      <c r="D1009">
        <v>87884</v>
      </c>
      <c r="E1009" t="s">
        <v>4</v>
      </c>
      <c r="F1009">
        <v>3.14</v>
      </c>
      <c r="G1009">
        <v>85.3</v>
      </c>
      <c r="H1009">
        <v>2</v>
      </c>
      <c r="I1009">
        <v>29.1</v>
      </c>
      <c r="J1009" t="s">
        <v>4</v>
      </c>
      <c r="K1009" t="s">
        <v>4</v>
      </c>
      <c r="L1009">
        <v>6</v>
      </c>
      <c r="M1009">
        <v>3.36</v>
      </c>
      <c r="N1009">
        <v>2.86</v>
      </c>
      <c r="O1009">
        <v>2.8</v>
      </c>
      <c r="P1009" t="s">
        <v>10</v>
      </c>
      <c r="Q1009" t="s">
        <v>13</v>
      </c>
      <c r="R1009" t="s">
        <v>9</v>
      </c>
      <c r="S1009">
        <v>0</v>
      </c>
    </row>
    <row r="1010" spans="1:19" x14ac:dyDescent="0.3">
      <c r="A1010">
        <v>1009</v>
      </c>
      <c r="B1010">
        <v>23.3</v>
      </c>
      <c r="C1010" t="s">
        <v>5</v>
      </c>
      <c r="D1010">
        <v>46526</v>
      </c>
      <c r="E1010" t="s">
        <v>4</v>
      </c>
      <c r="F1010">
        <v>7.18</v>
      </c>
      <c r="G1010">
        <v>82.7</v>
      </c>
      <c r="H1010">
        <v>2</v>
      </c>
      <c r="I1010">
        <v>41.8</v>
      </c>
      <c r="J1010" t="s">
        <v>4</v>
      </c>
      <c r="K1010" t="s">
        <v>4</v>
      </c>
      <c r="L1010">
        <v>6.1</v>
      </c>
      <c r="M1010">
        <v>1.02</v>
      </c>
      <c r="N1010">
        <v>0.55000000000000004</v>
      </c>
      <c r="O1010">
        <v>0.56999999999999995</v>
      </c>
      <c r="P1010" t="s">
        <v>12</v>
      </c>
      <c r="Q1010" t="s">
        <v>6</v>
      </c>
      <c r="R1010" t="s">
        <v>15</v>
      </c>
      <c r="S1010">
        <v>0</v>
      </c>
    </row>
    <row r="1011" spans="1:19" x14ac:dyDescent="0.3">
      <c r="A1011">
        <v>1010</v>
      </c>
      <c r="B1011">
        <v>19.8</v>
      </c>
      <c r="C1011" t="s">
        <v>11</v>
      </c>
      <c r="D1011">
        <v>25000</v>
      </c>
      <c r="E1011" t="s">
        <v>4</v>
      </c>
      <c r="F1011">
        <v>4.04</v>
      </c>
      <c r="G1011">
        <v>84.5</v>
      </c>
      <c r="H1011">
        <v>1</v>
      </c>
      <c r="I1011">
        <v>21</v>
      </c>
      <c r="J1011" t="s">
        <v>3</v>
      </c>
      <c r="K1011" t="s">
        <v>3</v>
      </c>
      <c r="L1011">
        <v>6.8</v>
      </c>
      <c r="M1011">
        <v>2.35</v>
      </c>
      <c r="N1011">
        <v>2.29</v>
      </c>
      <c r="O1011">
        <v>2.2999999999999998</v>
      </c>
      <c r="P1011" t="s">
        <v>10</v>
      </c>
      <c r="Q1011" t="s">
        <v>1</v>
      </c>
      <c r="R1011" t="s">
        <v>9</v>
      </c>
      <c r="S1011">
        <v>0</v>
      </c>
    </row>
    <row r="1012" spans="1:19" x14ac:dyDescent="0.3">
      <c r="A1012">
        <v>1011</v>
      </c>
      <c r="B1012">
        <v>23.9</v>
      </c>
      <c r="C1012" t="s">
        <v>5</v>
      </c>
      <c r="D1012">
        <v>50809</v>
      </c>
      <c r="E1012" t="s">
        <v>4</v>
      </c>
      <c r="F1012">
        <v>5.46</v>
      </c>
      <c r="G1012">
        <v>79.599999999999994</v>
      </c>
      <c r="H1012">
        <v>5</v>
      </c>
      <c r="I1012">
        <v>33.200000000000003</v>
      </c>
      <c r="J1012" t="s">
        <v>3</v>
      </c>
      <c r="K1012" t="s">
        <v>4</v>
      </c>
      <c r="L1012">
        <v>2.8</v>
      </c>
      <c r="M1012">
        <v>3.65</v>
      </c>
      <c r="N1012">
        <v>3.68</v>
      </c>
      <c r="O1012">
        <v>3.68</v>
      </c>
      <c r="P1012" t="s">
        <v>12</v>
      </c>
      <c r="Q1012" t="s">
        <v>14</v>
      </c>
      <c r="R1012" t="s">
        <v>15</v>
      </c>
      <c r="S1012">
        <v>0</v>
      </c>
    </row>
    <row r="1013" spans="1:19" x14ac:dyDescent="0.3">
      <c r="A1013">
        <v>1012</v>
      </c>
      <c r="B1013">
        <v>21.4</v>
      </c>
      <c r="C1013" t="s">
        <v>5</v>
      </c>
      <c r="D1013">
        <v>25766</v>
      </c>
      <c r="E1013" t="s">
        <v>3</v>
      </c>
      <c r="F1013">
        <v>4.25</v>
      </c>
      <c r="G1013">
        <v>69.900000000000006</v>
      </c>
      <c r="H1013">
        <v>1</v>
      </c>
      <c r="I1013">
        <v>18.8</v>
      </c>
      <c r="J1013" t="s">
        <v>3</v>
      </c>
      <c r="K1013" t="s">
        <v>3</v>
      </c>
      <c r="L1013">
        <v>6.3</v>
      </c>
      <c r="M1013">
        <v>2.74</v>
      </c>
      <c r="N1013">
        <v>2.4</v>
      </c>
      <c r="O1013">
        <v>2.4300000000000002</v>
      </c>
      <c r="P1013" t="s">
        <v>12</v>
      </c>
      <c r="Q1013" t="s">
        <v>8</v>
      </c>
      <c r="R1013" t="s">
        <v>15</v>
      </c>
      <c r="S1013">
        <v>0</v>
      </c>
    </row>
    <row r="1014" spans="1:19" x14ac:dyDescent="0.3">
      <c r="A1014">
        <v>1013</v>
      </c>
      <c r="B1014">
        <v>25.6</v>
      </c>
      <c r="C1014" t="s">
        <v>11</v>
      </c>
      <c r="D1014">
        <v>25000</v>
      </c>
      <c r="E1014" t="s">
        <v>4</v>
      </c>
      <c r="F1014">
        <v>6.26</v>
      </c>
      <c r="G1014">
        <v>75</v>
      </c>
      <c r="H1014">
        <v>2</v>
      </c>
      <c r="I1014">
        <v>30.4</v>
      </c>
      <c r="J1014" t="s">
        <v>3</v>
      </c>
      <c r="K1014" t="s">
        <v>4</v>
      </c>
      <c r="L1014">
        <v>5.8</v>
      </c>
      <c r="M1014">
        <v>1.38</v>
      </c>
      <c r="N1014">
        <v>1.51</v>
      </c>
      <c r="O1014">
        <v>1.51</v>
      </c>
      <c r="P1014" t="s">
        <v>2</v>
      </c>
      <c r="Q1014" t="s">
        <v>6</v>
      </c>
      <c r="R1014" t="s">
        <v>15</v>
      </c>
      <c r="S1014">
        <v>1</v>
      </c>
    </row>
    <row r="1015" spans="1:19" x14ac:dyDescent="0.3">
      <c r="A1015">
        <v>1014</v>
      </c>
      <c r="B1015">
        <v>19.5</v>
      </c>
      <c r="C1015" t="s">
        <v>11</v>
      </c>
      <c r="D1015">
        <v>35322</v>
      </c>
      <c r="E1015" t="s">
        <v>4</v>
      </c>
      <c r="F1015">
        <v>3.75</v>
      </c>
      <c r="G1015">
        <v>79.400000000000006</v>
      </c>
      <c r="H1015">
        <v>1</v>
      </c>
      <c r="I1015">
        <v>45.3</v>
      </c>
      <c r="J1015" t="s">
        <v>3</v>
      </c>
      <c r="K1015" t="s">
        <v>3</v>
      </c>
      <c r="L1015">
        <v>6.3</v>
      </c>
      <c r="M1015">
        <v>1.7</v>
      </c>
      <c r="N1015">
        <v>1.51</v>
      </c>
      <c r="O1015">
        <v>1.49</v>
      </c>
      <c r="P1015" t="s">
        <v>7</v>
      </c>
      <c r="Q1015" t="s">
        <v>13</v>
      </c>
      <c r="R1015" t="s">
        <v>15</v>
      </c>
      <c r="S1015">
        <v>1</v>
      </c>
    </row>
    <row r="1016" spans="1:19" x14ac:dyDescent="0.3">
      <c r="A1016">
        <v>1015</v>
      </c>
      <c r="B1016">
        <v>24.8</v>
      </c>
      <c r="C1016" t="s">
        <v>11</v>
      </c>
      <c r="D1016">
        <v>25000</v>
      </c>
      <c r="E1016" t="s">
        <v>4</v>
      </c>
      <c r="F1016">
        <v>4.29</v>
      </c>
      <c r="G1016">
        <v>85.5</v>
      </c>
      <c r="H1016">
        <v>5</v>
      </c>
      <c r="I1016">
        <v>50.3</v>
      </c>
      <c r="J1016" t="s">
        <v>4</v>
      </c>
      <c r="K1016" t="s">
        <v>3</v>
      </c>
      <c r="L1016">
        <v>3.8</v>
      </c>
      <c r="M1016">
        <v>3.33</v>
      </c>
      <c r="N1016">
        <v>3.43</v>
      </c>
      <c r="O1016">
        <v>3.43</v>
      </c>
      <c r="P1016" t="s">
        <v>12</v>
      </c>
      <c r="Q1016" t="s">
        <v>14</v>
      </c>
      <c r="R1016" t="s">
        <v>9</v>
      </c>
      <c r="S1016">
        <v>0</v>
      </c>
    </row>
    <row r="1017" spans="1:19" x14ac:dyDescent="0.3">
      <c r="A1017">
        <v>1016</v>
      </c>
      <c r="B1017">
        <v>21.4</v>
      </c>
      <c r="C1017" t="s">
        <v>11</v>
      </c>
      <c r="D1017">
        <v>25000</v>
      </c>
      <c r="E1017" t="s">
        <v>4</v>
      </c>
      <c r="F1017">
        <v>5.14</v>
      </c>
      <c r="G1017">
        <v>68</v>
      </c>
      <c r="H1017">
        <v>1</v>
      </c>
      <c r="I1017">
        <v>33.1</v>
      </c>
      <c r="J1017" t="s">
        <v>4</v>
      </c>
      <c r="K1017" t="s">
        <v>3</v>
      </c>
      <c r="L1017">
        <v>5.6</v>
      </c>
      <c r="M1017">
        <v>1.87</v>
      </c>
      <c r="N1017">
        <v>2.2999999999999998</v>
      </c>
      <c r="O1017">
        <v>2.31</v>
      </c>
      <c r="P1017" t="s">
        <v>10</v>
      </c>
      <c r="Q1017" t="s">
        <v>14</v>
      </c>
      <c r="R1017" t="s">
        <v>16</v>
      </c>
      <c r="S1017">
        <v>1</v>
      </c>
    </row>
    <row r="1018" spans="1:19" x14ac:dyDescent="0.3">
      <c r="A1018">
        <v>1017</v>
      </c>
      <c r="B1018">
        <v>19.600000000000001</v>
      </c>
      <c r="C1018" t="s">
        <v>11</v>
      </c>
      <c r="D1018">
        <v>25585</v>
      </c>
      <c r="E1018" t="s">
        <v>4</v>
      </c>
      <c r="F1018">
        <v>5.99</v>
      </c>
      <c r="G1018">
        <v>63.5</v>
      </c>
      <c r="H1018">
        <v>0</v>
      </c>
      <c r="I1018">
        <v>14.7</v>
      </c>
      <c r="J1018" t="s">
        <v>3</v>
      </c>
      <c r="K1018" t="s">
        <v>4</v>
      </c>
      <c r="L1018">
        <v>4.5999999999999996</v>
      </c>
      <c r="M1018">
        <v>0.52</v>
      </c>
      <c r="N1018">
        <v>0.53</v>
      </c>
      <c r="O1018">
        <v>0.56000000000000005</v>
      </c>
      <c r="P1018" t="s">
        <v>7</v>
      </c>
      <c r="Q1018" t="s">
        <v>8</v>
      </c>
      <c r="R1018" t="s">
        <v>16</v>
      </c>
      <c r="S1018">
        <v>1</v>
      </c>
    </row>
    <row r="1019" spans="1:19" x14ac:dyDescent="0.3">
      <c r="A1019">
        <v>1018</v>
      </c>
      <c r="B1019">
        <v>19.899999999999999</v>
      </c>
      <c r="C1019" t="s">
        <v>5</v>
      </c>
      <c r="D1019">
        <v>25000</v>
      </c>
      <c r="E1019" t="s">
        <v>3</v>
      </c>
      <c r="F1019">
        <v>1.6</v>
      </c>
      <c r="G1019">
        <v>93.6</v>
      </c>
      <c r="H1019">
        <v>2</v>
      </c>
      <c r="I1019">
        <v>26.3</v>
      </c>
      <c r="J1019" t="s">
        <v>3</v>
      </c>
      <c r="K1019" t="s">
        <v>3</v>
      </c>
      <c r="L1019">
        <v>7.4</v>
      </c>
      <c r="M1019">
        <v>2.02</v>
      </c>
      <c r="N1019">
        <v>2.0499999999999998</v>
      </c>
      <c r="O1019">
        <v>2.04</v>
      </c>
      <c r="P1019" t="s">
        <v>7</v>
      </c>
      <c r="Q1019" t="s">
        <v>1</v>
      </c>
      <c r="R1019" t="s">
        <v>0</v>
      </c>
      <c r="S1019">
        <v>1</v>
      </c>
    </row>
    <row r="1020" spans="1:19" x14ac:dyDescent="0.3">
      <c r="A1020">
        <v>1019</v>
      </c>
      <c r="B1020">
        <v>20.3</v>
      </c>
      <c r="C1020" t="s">
        <v>11</v>
      </c>
      <c r="D1020">
        <v>29128</v>
      </c>
      <c r="E1020" t="s">
        <v>4</v>
      </c>
      <c r="F1020">
        <v>4.67</v>
      </c>
      <c r="G1020">
        <v>86.8</v>
      </c>
      <c r="H1020">
        <v>3</v>
      </c>
      <c r="I1020">
        <v>8.1999999999999993</v>
      </c>
      <c r="J1020" t="s">
        <v>3</v>
      </c>
      <c r="K1020" t="s">
        <v>3</v>
      </c>
      <c r="L1020">
        <v>5.3</v>
      </c>
      <c r="M1020">
        <v>3.33</v>
      </c>
      <c r="N1020">
        <v>3.47</v>
      </c>
      <c r="O1020">
        <v>3.47</v>
      </c>
      <c r="P1020" t="s">
        <v>2</v>
      </c>
      <c r="Q1020" t="s">
        <v>14</v>
      </c>
      <c r="R1020" t="s">
        <v>9</v>
      </c>
      <c r="S1020">
        <v>0</v>
      </c>
    </row>
    <row r="1021" spans="1:19" x14ac:dyDescent="0.3">
      <c r="A1021">
        <v>1020</v>
      </c>
      <c r="B1021">
        <v>21.9</v>
      </c>
      <c r="C1021" t="s">
        <v>11</v>
      </c>
      <c r="D1021">
        <v>28300</v>
      </c>
      <c r="E1021" t="s">
        <v>4</v>
      </c>
      <c r="F1021">
        <v>2.89</v>
      </c>
      <c r="G1021">
        <v>75</v>
      </c>
      <c r="H1021">
        <v>2</v>
      </c>
      <c r="I1021">
        <v>26.5</v>
      </c>
      <c r="J1021" t="s">
        <v>4</v>
      </c>
      <c r="K1021" t="s">
        <v>4</v>
      </c>
      <c r="L1021">
        <v>4.4000000000000004</v>
      </c>
      <c r="M1021">
        <v>2.46</v>
      </c>
      <c r="N1021">
        <v>2.79</v>
      </c>
      <c r="O1021">
        <v>2.73</v>
      </c>
      <c r="P1021" t="s">
        <v>7</v>
      </c>
      <c r="Q1021" t="s">
        <v>14</v>
      </c>
      <c r="R1021" t="s">
        <v>15</v>
      </c>
      <c r="S1021">
        <v>0</v>
      </c>
    </row>
    <row r="1022" spans="1:19" x14ac:dyDescent="0.3">
      <c r="A1022">
        <v>1021</v>
      </c>
      <c r="B1022">
        <v>22.2</v>
      </c>
      <c r="C1022" t="s">
        <v>5</v>
      </c>
      <c r="D1022">
        <v>25000</v>
      </c>
      <c r="E1022" t="s">
        <v>4</v>
      </c>
      <c r="F1022">
        <v>3.93</v>
      </c>
      <c r="G1022">
        <v>80.099999999999994</v>
      </c>
      <c r="H1022">
        <v>1</v>
      </c>
      <c r="I1022">
        <v>41.6</v>
      </c>
      <c r="J1022" t="s">
        <v>3</v>
      </c>
      <c r="K1022" t="s">
        <v>3</v>
      </c>
      <c r="L1022">
        <v>3.7</v>
      </c>
      <c r="M1022">
        <v>4</v>
      </c>
      <c r="N1022">
        <v>3.77</v>
      </c>
      <c r="O1022">
        <v>3.66</v>
      </c>
      <c r="P1022" t="s">
        <v>12</v>
      </c>
      <c r="Q1022" t="s">
        <v>8</v>
      </c>
      <c r="R1022" t="s">
        <v>9</v>
      </c>
      <c r="S1022">
        <v>0</v>
      </c>
    </row>
    <row r="1023" spans="1:19" x14ac:dyDescent="0.3">
      <c r="A1023">
        <v>1022</v>
      </c>
      <c r="B1023">
        <v>19.7</v>
      </c>
      <c r="C1023" t="s">
        <v>11</v>
      </c>
      <c r="D1023">
        <v>74026</v>
      </c>
      <c r="E1023" t="s">
        <v>4</v>
      </c>
      <c r="F1023">
        <v>3.3</v>
      </c>
      <c r="G1023">
        <v>78.599999999999994</v>
      </c>
      <c r="H1023">
        <v>2</v>
      </c>
      <c r="I1023">
        <v>13.6</v>
      </c>
      <c r="J1023" t="s">
        <v>3</v>
      </c>
      <c r="K1023" t="s">
        <v>4</v>
      </c>
      <c r="L1023">
        <v>7.1</v>
      </c>
      <c r="M1023">
        <v>0</v>
      </c>
      <c r="N1023">
        <v>0</v>
      </c>
      <c r="O1023">
        <v>0.05</v>
      </c>
      <c r="P1023" t="s">
        <v>10</v>
      </c>
      <c r="Q1023" t="s">
        <v>8</v>
      </c>
      <c r="R1023" t="s">
        <v>9</v>
      </c>
      <c r="S1023">
        <v>0</v>
      </c>
    </row>
    <row r="1024" spans="1:19" x14ac:dyDescent="0.3">
      <c r="A1024">
        <v>1023</v>
      </c>
      <c r="B1024">
        <v>20.9</v>
      </c>
      <c r="C1024" t="s">
        <v>5</v>
      </c>
      <c r="D1024">
        <v>25000</v>
      </c>
      <c r="E1024" t="s">
        <v>4</v>
      </c>
      <c r="F1024">
        <v>1.0900000000000001</v>
      </c>
      <c r="G1024">
        <v>84.3</v>
      </c>
      <c r="H1024">
        <v>1</v>
      </c>
      <c r="I1024">
        <v>27.5</v>
      </c>
      <c r="J1024" t="s">
        <v>4</v>
      </c>
      <c r="K1024" t="s">
        <v>4</v>
      </c>
      <c r="L1024">
        <v>7.3</v>
      </c>
      <c r="M1024">
        <v>0.95</v>
      </c>
      <c r="N1024">
        <v>1.04</v>
      </c>
      <c r="O1024">
        <v>1.07</v>
      </c>
      <c r="P1024" t="s">
        <v>12</v>
      </c>
      <c r="Q1024" t="s">
        <v>6</v>
      </c>
      <c r="R1024" t="s">
        <v>17</v>
      </c>
      <c r="S1024">
        <v>0</v>
      </c>
    </row>
    <row r="1025" spans="1:19" x14ac:dyDescent="0.3">
      <c r="A1025">
        <v>1024</v>
      </c>
      <c r="B1025">
        <v>25.7</v>
      </c>
      <c r="C1025" t="s">
        <v>5</v>
      </c>
      <c r="D1025">
        <v>25000</v>
      </c>
      <c r="E1025" t="s">
        <v>4</v>
      </c>
      <c r="F1025">
        <v>5.38</v>
      </c>
      <c r="G1025">
        <v>77.900000000000006</v>
      </c>
      <c r="H1025">
        <v>2</v>
      </c>
      <c r="I1025">
        <v>20.2</v>
      </c>
      <c r="J1025" t="s">
        <v>4</v>
      </c>
      <c r="K1025" t="s">
        <v>3</v>
      </c>
      <c r="L1025">
        <v>9</v>
      </c>
      <c r="M1025">
        <v>1.47</v>
      </c>
      <c r="N1025">
        <v>1.62</v>
      </c>
      <c r="O1025">
        <v>1.69</v>
      </c>
      <c r="P1025" t="s">
        <v>10</v>
      </c>
      <c r="Q1025" t="s">
        <v>6</v>
      </c>
      <c r="R1025" t="s">
        <v>0</v>
      </c>
      <c r="S1025">
        <v>1</v>
      </c>
    </row>
    <row r="1026" spans="1:19" x14ac:dyDescent="0.3">
      <c r="A1026">
        <v>1025</v>
      </c>
      <c r="B1026">
        <v>24.8</v>
      </c>
      <c r="C1026" t="s">
        <v>11</v>
      </c>
      <c r="D1026">
        <v>25000</v>
      </c>
      <c r="E1026" t="s">
        <v>4</v>
      </c>
      <c r="F1026">
        <v>2.29</v>
      </c>
      <c r="G1026">
        <v>72.8</v>
      </c>
      <c r="H1026">
        <v>3</v>
      </c>
      <c r="I1026">
        <v>51.5</v>
      </c>
      <c r="J1026" t="s">
        <v>3</v>
      </c>
      <c r="K1026" t="s">
        <v>4</v>
      </c>
      <c r="L1026">
        <v>4.9000000000000004</v>
      </c>
      <c r="M1026">
        <v>1.18</v>
      </c>
      <c r="N1026">
        <v>0.8</v>
      </c>
      <c r="O1026">
        <v>0.75</v>
      </c>
      <c r="P1026" t="s">
        <v>10</v>
      </c>
      <c r="Q1026" t="s">
        <v>14</v>
      </c>
      <c r="R1026" t="s">
        <v>15</v>
      </c>
      <c r="S1026">
        <v>1</v>
      </c>
    </row>
    <row r="1027" spans="1:19" x14ac:dyDescent="0.3">
      <c r="A1027">
        <v>1026</v>
      </c>
      <c r="B1027">
        <v>22</v>
      </c>
      <c r="C1027" t="s">
        <v>5</v>
      </c>
      <c r="D1027">
        <v>27861</v>
      </c>
      <c r="E1027" t="s">
        <v>4</v>
      </c>
      <c r="F1027">
        <v>3.91</v>
      </c>
      <c r="G1027">
        <v>85.9</v>
      </c>
      <c r="H1027">
        <v>1</v>
      </c>
      <c r="I1027">
        <v>34.799999999999997</v>
      </c>
      <c r="J1027" t="s">
        <v>4</v>
      </c>
      <c r="K1027" t="s">
        <v>3</v>
      </c>
      <c r="L1027">
        <v>3.7</v>
      </c>
      <c r="M1027">
        <v>3.84</v>
      </c>
      <c r="N1027">
        <v>3.25</v>
      </c>
      <c r="O1027">
        <v>3.28</v>
      </c>
      <c r="P1027" t="s">
        <v>12</v>
      </c>
      <c r="Q1027" t="s">
        <v>1</v>
      </c>
      <c r="R1027" t="s">
        <v>9</v>
      </c>
      <c r="S1027">
        <v>0</v>
      </c>
    </row>
    <row r="1028" spans="1:19" x14ac:dyDescent="0.3">
      <c r="A1028">
        <v>1027</v>
      </c>
      <c r="B1028">
        <v>21.1</v>
      </c>
      <c r="C1028" t="s">
        <v>11</v>
      </c>
      <c r="E1028" t="s">
        <v>4</v>
      </c>
      <c r="G1028">
        <v>96.5</v>
      </c>
      <c r="H1028">
        <v>4</v>
      </c>
      <c r="I1028">
        <v>40.200000000000003</v>
      </c>
      <c r="J1028" t="s">
        <v>4</v>
      </c>
      <c r="K1028" t="s">
        <v>4</v>
      </c>
      <c r="M1028">
        <v>4</v>
      </c>
      <c r="N1028">
        <v>3.81</v>
      </c>
      <c r="O1028">
        <v>3.75</v>
      </c>
      <c r="P1028" t="s">
        <v>12</v>
      </c>
      <c r="Q1028" t="s">
        <v>13</v>
      </c>
      <c r="R1028" t="s">
        <v>9</v>
      </c>
      <c r="S1028">
        <v>0</v>
      </c>
    </row>
    <row r="1029" spans="1:19" x14ac:dyDescent="0.3">
      <c r="A1029">
        <v>1028</v>
      </c>
      <c r="B1029">
        <v>21.3</v>
      </c>
      <c r="C1029" t="s">
        <v>5</v>
      </c>
      <c r="D1029">
        <v>34949</v>
      </c>
      <c r="E1029" t="s">
        <v>4</v>
      </c>
      <c r="F1029">
        <v>2.97</v>
      </c>
      <c r="G1029">
        <v>86.2</v>
      </c>
      <c r="H1029">
        <v>1</v>
      </c>
      <c r="I1029">
        <v>33.5</v>
      </c>
      <c r="J1029" t="s">
        <v>3</v>
      </c>
      <c r="K1029" t="s">
        <v>3</v>
      </c>
      <c r="L1029">
        <v>4.2</v>
      </c>
      <c r="M1029">
        <v>3.89</v>
      </c>
      <c r="N1029">
        <v>4</v>
      </c>
      <c r="O1029">
        <v>3.98</v>
      </c>
      <c r="P1029" t="s">
        <v>10</v>
      </c>
      <c r="Q1029" t="s">
        <v>14</v>
      </c>
      <c r="R1029" t="s">
        <v>9</v>
      </c>
      <c r="S1029">
        <v>0</v>
      </c>
    </row>
    <row r="1030" spans="1:19" x14ac:dyDescent="0.3">
      <c r="A1030">
        <v>1029</v>
      </c>
      <c r="B1030">
        <v>22.3</v>
      </c>
      <c r="C1030" t="s">
        <v>11</v>
      </c>
      <c r="D1030">
        <v>41768</v>
      </c>
      <c r="E1030" t="s">
        <v>4</v>
      </c>
      <c r="F1030">
        <v>4.83</v>
      </c>
      <c r="G1030">
        <v>82.6</v>
      </c>
      <c r="H1030">
        <v>1</v>
      </c>
      <c r="I1030">
        <v>39.1</v>
      </c>
      <c r="J1030" t="s">
        <v>4</v>
      </c>
      <c r="K1030" t="s">
        <v>3</v>
      </c>
      <c r="L1030">
        <v>4.4000000000000004</v>
      </c>
      <c r="M1030">
        <v>2.73</v>
      </c>
      <c r="N1030">
        <v>2.83</v>
      </c>
      <c r="O1030">
        <v>2.91</v>
      </c>
      <c r="P1030" t="s">
        <v>12</v>
      </c>
      <c r="Q1030" t="s">
        <v>14</v>
      </c>
      <c r="R1030" t="s">
        <v>9</v>
      </c>
      <c r="S1030">
        <v>0</v>
      </c>
    </row>
    <row r="1031" spans="1:19" x14ac:dyDescent="0.3">
      <c r="A1031">
        <v>1030</v>
      </c>
      <c r="B1031">
        <v>18.7</v>
      </c>
      <c r="C1031" t="s">
        <v>5</v>
      </c>
      <c r="D1031">
        <v>35057</v>
      </c>
      <c r="E1031" t="s">
        <v>3</v>
      </c>
      <c r="F1031">
        <v>3.52</v>
      </c>
      <c r="G1031">
        <v>80.3</v>
      </c>
      <c r="H1031">
        <v>3</v>
      </c>
      <c r="I1031">
        <v>43</v>
      </c>
      <c r="J1031" t="s">
        <v>4</v>
      </c>
      <c r="K1031" t="s">
        <v>3</v>
      </c>
      <c r="L1031">
        <v>6.4</v>
      </c>
      <c r="M1031">
        <v>0.44</v>
      </c>
      <c r="N1031">
        <v>0.46</v>
      </c>
      <c r="O1031">
        <v>0.46</v>
      </c>
      <c r="P1031" t="s">
        <v>2</v>
      </c>
      <c r="Q1031" t="s">
        <v>1</v>
      </c>
      <c r="R1031" t="s">
        <v>15</v>
      </c>
      <c r="S1031">
        <v>1</v>
      </c>
    </row>
    <row r="1032" spans="1:19" x14ac:dyDescent="0.3">
      <c r="A1032">
        <v>1031</v>
      </c>
      <c r="B1032">
        <v>20.399999999999999</v>
      </c>
      <c r="C1032" t="s">
        <v>5</v>
      </c>
      <c r="D1032">
        <v>34162</v>
      </c>
      <c r="E1032" t="s">
        <v>3</v>
      </c>
      <c r="F1032">
        <v>3.07</v>
      </c>
      <c r="G1032">
        <v>75.7</v>
      </c>
      <c r="H1032">
        <v>1</v>
      </c>
      <c r="I1032">
        <v>30.5</v>
      </c>
      <c r="J1032" t="s">
        <v>4</v>
      </c>
      <c r="K1032" t="s">
        <v>4</v>
      </c>
      <c r="L1032">
        <v>7.5</v>
      </c>
      <c r="M1032">
        <v>1.1000000000000001</v>
      </c>
      <c r="N1032">
        <v>1.31</v>
      </c>
      <c r="O1032">
        <v>1.31</v>
      </c>
      <c r="P1032" t="s">
        <v>12</v>
      </c>
      <c r="Q1032" t="s">
        <v>8</v>
      </c>
      <c r="R1032" t="s">
        <v>9</v>
      </c>
      <c r="S1032">
        <v>1</v>
      </c>
    </row>
    <row r="1033" spans="1:19" x14ac:dyDescent="0.3">
      <c r="A1033">
        <v>1032</v>
      </c>
      <c r="B1033">
        <v>17.3</v>
      </c>
      <c r="C1033" t="s">
        <v>5</v>
      </c>
      <c r="D1033">
        <v>35805</v>
      </c>
      <c r="E1033" t="s">
        <v>4</v>
      </c>
      <c r="F1033">
        <v>2.11</v>
      </c>
      <c r="G1033">
        <v>78.7</v>
      </c>
      <c r="H1033">
        <v>0</v>
      </c>
      <c r="I1033">
        <v>23.6</v>
      </c>
      <c r="J1033" t="s">
        <v>4</v>
      </c>
      <c r="K1033" t="s">
        <v>3</v>
      </c>
      <c r="L1033">
        <v>6.2</v>
      </c>
      <c r="M1033">
        <v>1.71</v>
      </c>
      <c r="N1033">
        <v>1.43</v>
      </c>
      <c r="O1033">
        <v>1.43</v>
      </c>
      <c r="P1033" t="s">
        <v>2</v>
      </c>
      <c r="Q1033" t="s">
        <v>8</v>
      </c>
      <c r="R1033" t="s">
        <v>9</v>
      </c>
      <c r="S1033">
        <v>1</v>
      </c>
    </row>
    <row r="1034" spans="1:19" x14ac:dyDescent="0.3">
      <c r="A1034">
        <v>1033</v>
      </c>
      <c r="B1034">
        <v>21.9</v>
      </c>
      <c r="C1034" t="s">
        <v>11</v>
      </c>
      <c r="D1034">
        <v>25000</v>
      </c>
      <c r="E1034" t="s">
        <v>4</v>
      </c>
      <c r="F1034">
        <v>2.8</v>
      </c>
      <c r="G1034">
        <v>85.1</v>
      </c>
      <c r="H1034">
        <v>3</v>
      </c>
      <c r="I1034">
        <v>18.8</v>
      </c>
      <c r="J1034" t="s">
        <v>3</v>
      </c>
      <c r="K1034" t="s">
        <v>4</v>
      </c>
      <c r="L1034">
        <v>5.7</v>
      </c>
      <c r="M1034">
        <v>1.54</v>
      </c>
      <c r="N1034">
        <v>1.1399999999999999</v>
      </c>
      <c r="O1034">
        <v>1.17</v>
      </c>
      <c r="P1034" t="s">
        <v>10</v>
      </c>
      <c r="Q1034" t="s">
        <v>13</v>
      </c>
      <c r="R1034" t="s">
        <v>9</v>
      </c>
      <c r="S1034">
        <v>0</v>
      </c>
    </row>
    <row r="1035" spans="1:19" x14ac:dyDescent="0.3">
      <c r="A1035">
        <v>1034</v>
      </c>
      <c r="B1035">
        <v>22.4</v>
      </c>
      <c r="C1035" t="s">
        <v>11</v>
      </c>
      <c r="D1035">
        <v>25592</v>
      </c>
      <c r="E1035" t="s">
        <v>4</v>
      </c>
      <c r="F1035">
        <v>4.55</v>
      </c>
      <c r="G1035">
        <v>91.5</v>
      </c>
      <c r="H1035">
        <v>0</v>
      </c>
      <c r="I1035">
        <v>51.1</v>
      </c>
      <c r="J1035" t="s">
        <v>3</v>
      </c>
      <c r="K1035" t="s">
        <v>3</v>
      </c>
      <c r="L1035">
        <v>7</v>
      </c>
      <c r="M1035">
        <v>2.2200000000000002</v>
      </c>
      <c r="N1035">
        <v>2.78</v>
      </c>
      <c r="O1035">
        <v>2.78</v>
      </c>
      <c r="P1035" t="s">
        <v>2</v>
      </c>
      <c r="Q1035" t="s">
        <v>1</v>
      </c>
      <c r="R1035" t="s">
        <v>15</v>
      </c>
      <c r="S1035">
        <v>0</v>
      </c>
    </row>
    <row r="1036" spans="1:19" x14ac:dyDescent="0.3">
      <c r="A1036">
        <v>1035</v>
      </c>
      <c r="B1036">
        <v>19.899999999999999</v>
      </c>
      <c r="C1036" t="s">
        <v>11</v>
      </c>
      <c r="D1036">
        <v>59716</v>
      </c>
      <c r="E1036" t="s">
        <v>4</v>
      </c>
      <c r="F1036">
        <v>1.4</v>
      </c>
      <c r="G1036">
        <v>91.9</v>
      </c>
      <c r="H1036">
        <v>2</v>
      </c>
      <c r="I1036">
        <v>39.799999999999997</v>
      </c>
      <c r="J1036" t="s">
        <v>4</v>
      </c>
      <c r="K1036" t="s">
        <v>3</v>
      </c>
      <c r="L1036">
        <v>5.0999999999999996</v>
      </c>
      <c r="M1036">
        <v>2.12</v>
      </c>
      <c r="N1036">
        <v>2.11</v>
      </c>
      <c r="O1036">
        <v>2.06</v>
      </c>
      <c r="P1036" t="s">
        <v>10</v>
      </c>
      <c r="Q1036" t="s">
        <v>8</v>
      </c>
      <c r="R1036" t="s">
        <v>9</v>
      </c>
      <c r="S1036">
        <v>0</v>
      </c>
    </row>
    <row r="1037" spans="1:19" x14ac:dyDescent="0.3">
      <c r="A1037">
        <v>1036</v>
      </c>
      <c r="B1037">
        <v>24.5</v>
      </c>
      <c r="C1037" t="s">
        <v>5</v>
      </c>
      <c r="D1037">
        <v>316601</v>
      </c>
      <c r="E1037" t="s">
        <v>3</v>
      </c>
      <c r="F1037">
        <v>6.18</v>
      </c>
      <c r="G1037">
        <v>83.4</v>
      </c>
      <c r="H1037">
        <v>3</v>
      </c>
      <c r="I1037">
        <v>5</v>
      </c>
      <c r="J1037" t="s">
        <v>4</v>
      </c>
      <c r="K1037" t="s">
        <v>4</v>
      </c>
      <c r="L1037">
        <v>8.1</v>
      </c>
      <c r="M1037">
        <v>1.01</v>
      </c>
      <c r="N1037">
        <v>0.81</v>
      </c>
      <c r="O1037">
        <v>0.94</v>
      </c>
      <c r="P1037" t="s">
        <v>7</v>
      </c>
      <c r="Q1037" t="s">
        <v>8</v>
      </c>
      <c r="R1037" t="s">
        <v>9</v>
      </c>
      <c r="S1037">
        <v>1</v>
      </c>
    </row>
    <row r="1038" spans="1:19" x14ac:dyDescent="0.3">
      <c r="A1038">
        <v>1037</v>
      </c>
      <c r="B1038">
        <v>18.3</v>
      </c>
      <c r="C1038" t="s">
        <v>5</v>
      </c>
      <c r="D1038">
        <v>25000</v>
      </c>
      <c r="E1038" t="s">
        <v>4</v>
      </c>
      <c r="F1038">
        <v>3.8</v>
      </c>
      <c r="G1038">
        <v>83.5</v>
      </c>
      <c r="H1038">
        <v>3</v>
      </c>
      <c r="I1038">
        <v>27.1</v>
      </c>
      <c r="J1038" t="s">
        <v>4</v>
      </c>
      <c r="K1038" t="s">
        <v>4</v>
      </c>
      <c r="L1038">
        <v>10</v>
      </c>
      <c r="M1038">
        <v>1.75</v>
      </c>
      <c r="N1038">
        <v>1.71</v>
      </c>
      <c r="O1038">
        <v>1.77</v>
      </c>
      <c r="P1038" t="s">
        <v>12</v>
      </c>
      <c r="Q1038" t="s">
        <v>14</v>
      </c>
      <c r="R1038" t="s">
        <v>9</v>
      </c>
      <c r="S1038">
        <v>0</v>
      </c>
    </row>
    <row r="1039" spans="1:19" x14ac:dyDescent="0.3">
      <c r="A1039">
        <v>1038</v>
      </c>
      <c r="B1039">
        <v>17.8</v>
      </c>
      <c r="C1039" t="s">
        <v>5</v>
      </c>
      <c r="D1039">
        <v>38325</v>
      </c>
      <c r="E1039" t="s">
        <v>4</v>
      </c>
      <c r="F1039">
        <v>2.87</v>
      </c>
      <c r="G1039">
        <v>82.4</v>
      </c>
      <c r="H1039">
        <v>1</v>
      </c>
      <c r="I1039">
        <v>35</v>
      </c>
      <c r="J1039" t="s">
        <v>4</v>
      </c>
      <c r="K1039" t="s">
        <v>3</v>
      </c>
      <c r="L1039">
        <v>4.4000000000000004</v>
      </c>
      <c r="M1039">
        <v>1.1499999999999999</v>
      </c>
      <c r="N1039">
        <v>0.92</v>
      </c>
      <c r="O1039">
        <v>0.9</v>
      </c>
      <c r="P1039" t="s">
        <v>12</v>
      </c>
      <c r="Q1039" t="s">
        <v>8</v>
      </c>
      <c r="R1039" t="s">
        <v>9</v>
      </c>
      <c r="S1039">
        <v>1</v>
      </c>
    </row>
    <row r="1040" spans="1:19" x14ac:dyDescent="0.3">
      <c r="A1040">
        <v>1039</v>
      </c>
      <c r="B1040">
        <v>21.5</v>
      </c>
      <c r="C1040" t="s">
        <v>11</v>
      </c>
      <c r="D1040">
        <v>25000</v>
      </c>
      <c r="E1040" t="s">
        <v>4</v>
      </c>
      <c r="F1040">
        <v>4.7699999999999996</v>
      </c>
      <c r="G1040">
        <v>86.6</v>
      </c>
      <c r="H1040">
        <v>4</v>
      </c>
      <c r="I1040">
        <v>50.1</v>
      </c>
      <c r="J1040" t="s">
        <v>3</v>
      </c>
      <c r="K1040" t="s">
        <v>4</v>
      </c>
      <c r="L1040">
        <v>7.7</v>
      </c>
      <c r="M1040">
        <v>2.16</v>
      </c>
      <c r="N1040">
        <v>1.76</v>
      </c>
      <c r="O1040">
        <v>1.79</v>
      </c>
      <c r="P1040" t="s">
        <v>12</v>
      </c>
      <c r="Q1040" t="s">
        <v>1</v>
      </c>
      <c r="R1040" t="s">
        <v>15</v>
      </c>
      <c r="S1040">
        <v>0</v>
      </c>
    </row>
    <row r="1041" spans="1:19" x14ac:dyDescent="0.3">
      <c r="A1041">
        <v>1040</v>
      </c>
      <c r="B1041">
        <v>23.3</v>
      </c>
      <c r="C1041" t="s">
        <v>5</v>
      </c>
      <c r="D1041">
        <v>101579</v>
      </c>
      <c r="E1041" t="s">
        <v>3</v>
      </c>
      <c r="F1041">
        <v>3.46</v>
      </c>
      <c r="G1041">
        <v>82.4</v>
      </c>
      <c r="H1041">
        <v>2</v>
      </c>
      <c r="I1041">
        <v>16.8</v>
      </c>
      <c r="J1041" t="s">
        <v>4</v>
      </c>
      <c r="K1041" t="s">
        <v>4</v>
      </c>
      <c r="L1041">
        <v>7.7</v>
      </c>
      <c r="M1041">
        <v>0.36</v>
      </c>
      <c r="N1041">
        <v>0.56999999999999995</v>
      </c>
      <c r="O1041">
        <v>0.56999999999999995</v>
      </c>
      <c r="P1041" t="s">
        <v>2</v>
      </c>
      <c r="Q1041" t="s">
        <v>13</v>
      </c>
      <c r="R1041" t="s">
        <v>15</v>
      </c>
      <c r="S1041">
        <v>1</v>
      </c>
    </row>
    <row r="1042" spans="1:19" x14ac:dyDescent="0.3">
      <c r="A1042">
        <v>1041</v>
      </c>
      <c r="B1042">
        <v>24.7</v>
      </c>
      <c r="C1042" t="s">
        <v>11</v>
      </c>
      <c r="D1042">
        <v>25000</v>
      </c>
      <c r="E1042" t="s">
        <v>4</v>
      </c>
      <c r="F1042">
        <v>5.16</v>
      </c>
      <c r="G1042">
        <v>82.5</v>
      </c>
      <c r="H1042">
        <v>2</v>
      </c>
      <c r="I1042">
        <v>35.1</v>
      </c>
      <c r="J1042" t="s">
        <v>3</v>
      </c>
      <c r="K1042" t="s">
        <v>4</v>
      </c>
      <c r="L1042">
        <v>6.4</v>
      </c>
      <c r="M1042">
        <v>1.96</v>
      </c>
      <c r="N1042">
        <v>2.11</v>
      </c>
      <c r="O1042">
        <v>2.17</v>
      </c>
      <c r="P1042" t="s">
        <v>10</v>
      </c>
      <c r="Q1042" t="s">
        <v>13</v>
      </c>
      <c r="R1042" t="s">
        <v>17</v>
      </c>
      <c r="S1042">
        <v>0</v>
      </c>
    </row>
    <row r="1043" spans="1:19" x14ac:dyDescent="0.3">
      <c r="A1043">
        <v>1042</v>
      </c>
      <c r="B1043">
        <v>20</v>
      </c>
      <c r="C1043" t="s">
        <v>11</v>
      </c>
      <c r="D1043">
        <v>43259</v>
      </c>
      <c r="E1043" t="s">
        <v>4</v>
      </c>
      <c r="F1043">
        <v>2.62</v>
      </c>
      <c r="G1043">
        <v>75.099999999999994</v>
      </c>
      <c r="H1043">
        <v>1</v>
      </c>
      <c r="I1043">
        <v>25.2</v>
      </c>
      <c r="J1043" t="s">
        <v>3</v>
      </c>
      <c r="K1043" t="s">
        <v>3</v>
      </c>
      <c r="L1043">
        <v>7.8</v>
      </c>
      <c r="M1043">
        <v>2.4</v>
      </c>
      <c r="N1043">
        <v>2.58</v>
      </c>
      <c r="O1043">
        <v>2.65</v>
      </c>
      <c r="P1043" t="s">
        <v>7</v>
      </c>
      <c r="Q1043" t="s">
        <v>14</v>
      </c>
      <c r="R1043" t="s">
        <v>15</v>
      </c>
      <c r="S1043">
        <v>0</v>
      </c>
    </row>
    <row r="1044" spans="1:19" x14ac:dyDescent="0.3">
      <c r="A1044">
        <v>1043</v>
      </c>
      <c r="B1044">
        <v>23.4</v>
      </c>
      <c r="C1044" t="s">
        <v>5</v>
      </c>
      <c r="D1044">
        <v>25000</v>
      </c>
      <c r="E1044" t="s">
        <v>4</v>
      </c>
      <c r="F1044">
        <v>2.71</v>
      </c>
      <c r="G1044">
        <v>74.900000000000006</v>
      </c>
      <c r="H1044">
        <v>4</v>
      </c>
      <c r="I1044">
        <v>15.6</v>
      </c>
      <c r="J1044" t="s">
        <v>4</v>
      </c>
      <c r="K1044" t="s">
        <v>4</v>
      </c>
      <c r="L1044">
        <v>6.1</v>
      </c>
      <c r="M1044">
        <v>1.08</v>
      </c>
      <c r="N1044">
        <v>1.54</v>
      </c>
      <c r="O1044">
        <v>1.54</v>
      </c>
      <c r="P1044" t="s">
        <v>2</v>
      </c>
      <c r="Q1044" t="s">
        <v>6</v>
      </c>
      <c r="R1044" t="s">
        <v>15</v>
      </c>
      <c r="S1044">
        <v>0</v>
      </c>
    </row>
    <row r="1045" spans="1:19" x14ac:dyDescent="0.3">
      <c r="A1045">
        <v>1044</v>
      </c>
      <c r="B1045">
        <v>20.9</v>
      </c>
      <c r="C1045" t="s">
        <v>5</v>
      </c>
      <c r="D1045">
        <v>25000</v>
      </c>
      <c r="E1045" t="s">
        <v>4</v>
      </c>
      <c r="F1045">
        <v>4.7699999999999996</v>
      </c>
      <c r="G1045">
        <v>76.5</v>
      </c>
      <c r="H1045">
        <v>1</v>
      </c>
      <c r="I1045">
        <v>46.1</v>
      </c>
      <c r="J1045" t="s">
        <v>4</v>
      </c>
      <c r="K1045" t="s">
        <v>3</v>
      </c>
      <c r="L1045">
        <v>6.7</v>
      </c>
      <c r="M1045">
        <v>2.21</v>
      </c>
      <c r="N1045">
        <v>2.84</v>
      </c>
      <c r="O1045">
        <v>2.84</v>
      </c>
      <c r="P1045" t="s">
        <v>7</v>
      </c>
      <c r="Q1045" t="s">
        <v>1</v>
      </c>
      <c r="R1045" t="s">
        <v>15</v>
      </c>
      <c r="S1045">
        <v>1</v>
      </c>
    </row>
    <row r="1046" spans="1:19" x14ac:dyDescent="0.3">
      <c r="A1046">
        <v>1045</v>
      </c>
      <c r="B1046">
        <v>20.6</v>
      </c>
      <c r="C1046" t="s">
        <v>11</v>
      </c>
      <c r="D1046">
        <v>29127</v>
      </c>
      <c r="E1046" t="s">
        <v>3</v>
      </c>
      <c r="F1046">
        <v>5.56</v>
      </c>
      <c r="G1046">
        <v>83.9</v>
      </c>
      <c r="H1046">
        <v>1</v>
      </c>
      <c r="I1046">
        <v>18.399999999999999</v>
      </c>
      <c r="J1046" t="s">
        <v>3</v>
      </c>
      <c r="K1046" t="s">
        <v>3</v>
      </c>
      <c r="L1046">
        <v>5.6</v>
      </c>
      <c r="M1046">
        <v>2.61</v>
      </c>
      <c r="N1046">
        <v>3.21</v>
      </c>
      <c r="O1046">
        <v>3.22</v>
      </c>
      <c r="P1046" t="s">
        <v>12</v>
      </c>
      <c r="Q1046" t="s">
        <v>13</v>
      </c>
      <c r="R1046" t="s">
        <v>0</v>
      </c>
      <c r="S1046">
        <v>0</v>
      </c>
    </row>
    <row r="1047" spans="1:19" x14ac:dyDescent="0.3">
      <c r="A1047">
        <v>1046</v>
      </c>
      <c r="B1047">
        <v>22.9</v>
      </c>
      <c r="C1047" t="s">
        <v>5</v>
      </c>
      <c r="D1047">
        <v>56490</v>
      </c>
      <c r="E1047" t="s">
        <v>3</v>
      </c>
      <c r="F1047">
        <v>4.25</v>
      </c>
      <c r="G1047">
        <v>79.5</v>
      </c>
      <c r="H1047">
        <v>2</v>
      </c>
      <c r="I1047">
        <v>41.6</v>
      </c>
      <c r="J1047" t="s">
        <v>3</v>
      </c>
      <c r="K1047" t="s">
        <v>3</v>
      </c>
      <c r="L1047">
        <v>5.8</v>
      </c>
      <c r="M1047">
        <v>1.54</v>
      </c>
      <c r="N1047">
        <v>1.26</v>
      </c>
      <c r="O1047">
        <v>1.29</v>
      </c>
      <c r="P1047" t="s">
        <v>10</v>
      </c>
      <c r="Q1047" t="s">
        <v>14</v>
      </c>
      <c r="R1047" t="s">
        <v>15</v>
      </c>
      <c r="S1047">
        <v>1</v>
      </c>
    </row>
    <row r="1048" spans="1:19" x14ac:dyDescent="0.3">
      <c r="A1048">
        <v>1047</v>
      </c>
      <c r="B1048">
        <v>22.4</v>
      </c>
      <c r="C1048" t="s">
        <v>5</v>
      </c>
      <c r="D1048">
        <v>25000</v>
      </c>
      <c r="E1048" t="s">
        <v>4</v>
      </c>
      <c r="F1048">
        <v>4.3</v>
      </c>
      <c r="G1048">
        <v>100</v>
      </c>
      <c r="H1048">
        <v>3</v>
      </c>
      <c r="I1048">
        <v>10.9</v>
      </c>
      <c r="J1048" t="s">
        <v>3</v>
      </c>
      <c r="K1048" t="s">
        <v>3</v>
      </c>
      <c r="L1048">
        <v>6.6</v>
      </c>
      <c r="M1048">
        <v>1.61</v>
      </c>
      <c r="N1048">
        <v>1.19</v>
      </c>
      <c r="O1048">
        <v>1.1200000000000001</v>
      </c>
      <c r="P1048" t="s">
        <v>10</v>
      </c>
      <c r="Q1048" t="s">
        <v>1</v>
      </c>
      <c r="R1048" t="s">
        <v>0</v>
      </c>
      <c r="S1048">
        <v>0</v>
      </c>
    </row>
    <row r="1049" spans="1:19" x14ac:dyDescent="0.3">
      <c r="A1049">
        <v>1048</v>
      </c>
      <c r="B1049">
        <v>17.5</v>
      </c>
      <c r="C1049" t="s">
        <v>5</v>
      </c>
      <c r="D1049">
        <v>44269</v>
      </c>
      <c r="E1049" t="s">
        <v>4</v>
      </c>
      <c r="F1049">
        <v>2.92</v>
      </c>
      <c r="G1049">
        <v>85.1</v>
      </c>
      <c r="H1049">
        <v>1</v>
      </c>
      <c r="I1049">
        <v>24.1</v>
      </c>
      <c r="J1049" t="s">
        <v>3</v>
      </c>
      <c r="K1049" t="s">
        <v>3</v>
      </c>
      <c r="L1049">
        <v>6.3</v>
      </c>
      <c r="M1049">
        <v>3.07</v>
      </c>
      <c r="N1049">
        <v>3.4</v>
      </c>
      <c r="O1049">
        <v>3.42</v>
      </c>
      <c r="P1049" t="s">
        <v>10</v>
      </c>
      <c r="Q1049" t="s">
        <v>8</v>
      </c>
      <c r="R1049" t="s">
        <v>15</v>
      </c>
      <c r="S1049">
        <v>0</v>
      </c>
    </row>
    <row r="1050" spans="1:19" x14ac:dyDescent="0.3">
      <c r="A1050">
        <v>1049</v>
      </c>
      <c r="B1050">
        <v>24.2</v>
      </c>
      <c r="C1050" t="s">
        <v>11</v>
      </c>
      <c r="D1050">
        <v>30069</v>
      </c>
      <c r="E1050" t="s">
        <v>4</v>
      </c>
      <c r="F1050">
        <v>3.33</v>
      </c>
      <c r="G1050">
        <v>94.6</v>
      </c>
      <c r="H1050">
        <v>0</v>
      </c>
      <c r="I1050">
        <v>36.9</v>
      </c>
      <c r="J1050" t="s">
        <v>3</v>
      </c>
      <c r="K1050" t="s">
        <v>3</v>
      </c>
      <c r="L1050">
        <v>3.6</v>
      </c>
      <c r="M1050">
        <v>2.58</v>
      </c>
      <c r="N1050">
        <v>2.65</v>
      </c>
      <c r="O1050">
        <v>2.65</v>
      </c>
      <c r="P1050" t="s">
        <v>10</v>
      </c>
      <c r="Q1050" t="s">
        <v>8</v>
      </c>
      <c r="R1050" t="s">
        <v>9</v>
      </c>
      <c r="S1050">
        <v>0</v>
      </c>
    </row>
    <row r="1051" spans="1:19" x14ac:dyDescent="0.3">
      <c r="A1051">
        <v>1050</v>
      </c>
      <c r="B1051">
        <v>24</v>
      </c>
      <c r="C1051" t="s">
        <v>11</v>
      </c>
      <c r="D1051">
        <v>35020</v>
      </c>
      <c r="E1051" t="s">
        <v>4</v>
      </c>
      <c r="F1051">
        <v>3.15</v>
      </c>
      <c r="G1051">
        <v>93.9</v>
      </c>
      <c r="H1051">
        <v>2</v>
      </c>
      <c r="I1051">
        <v>38.6</v>
      </c>
      <c r="J1051" t="s">
        <v>3</v>
      </c>
      <c r="K1051" t="s">
        <v>4</v>
      </c>
      <c r="L1051">
        <v>6.4</v>
      </c>
      <c r="M1051">
        <v>3.1</v>
      </c>
      <c r="N1051">
        <v>3.59</v>
      </c>
      <c r="O1051">
        <v>3.59</v>
      </c>
      <c r="P1051" t="s">
        <v>2</v>
      </c>
      <c r="Q1051" t="s">
        <v>6</v>
      </c>
      <c r="R1051" t="s">
        <v>9</v>
      </c>
      <c r="S1051">
        <v>0</v>
      </c>
    </row>
    <row r="1052" spans="1:19" x14ac:dyDescent="0.3">
      <c r="A1052">
        <v>1051</v>
      </c>
      <c r="B1052">
        <v>19.600000000000001</v>
      </c>
      <c r="C1052" t="s">
        <v>5</v>
      </c>
      <c r="D1052">
        <v>52839</v>
      </c>
      <c r="E1052" t="s">
        <v>4</v>
      </c>
      <c r="F1052">
        <v>5.68</v>
      </c>
      <c r="G1052">
        <v>85.4</v>
      </c>
      <c r="H1052">
        <v>0</v>
      </c>
      <c r="I1052">
        <v>35.200000000000003</v>
      </c>
      <c r="J1052" t="s">
        <v>3</v>
      </c>
      <c r="K1052" t="s">
        <v>3</v>
      </c>
      <c r="L1052">
        <v>5.0999999999999996</v>
      </c>
      <c r="M1052">
        <v>3.38</v>
      </c>
      <c r="N1052">
        <v>3.42</v>
      </c>
      <c r="O1052">
        <v>3.46</v>
      </c>
      <c r="P1052" t="s">
        <v>10</v>
      </c>
      <c r="Q1052" t="s">
        <v>13</v>
      </c>
      <c r="R1052" t="s">
        <v>0</v>
      </c>
      <c r="S1052">
        <v>0</v>
      </c>
    </row>
    <row r="1053" spans="1:19" x14ac:dyDescent="0.3">
      <c r="A1053">
        <v>1052</v>
      </c>
      <c r="B1053">
        <v>21.9</v>
      </c>
      <c r="C1053" t="s">
        <v>5</v>
      </c>
      <c r="D1053">
        <v>25000</v>
      </c>
      <c r="E1053" t="s">
        <v>4</v>
      </c>
      <c r="F1053">
        <v>5.81</v>
      </c>
      <c r="G1053">
        <v>81.7</v>
      </c>
      <c r="H1053">
        <v>2</v>
      </c>
      <c r="I1053">
        <v>41.8</v>
      </c>
      <c r="J1053" t="s">
        <v>3</v>
      </c>
      <c r="K1053" t="s">
        <v>3</v>
      </c>
      <c r="L1053">
        <v>4.5</v>
      </c>
      <c r="M1053">
        <v>2.5</v>
      </c>
      <c r="N1053">
        <v>2.02</v>
      </c>
      <c r="O1053">
        <v>2.0499999999999998</v>
      </c>
      <c r="P1053" t="s">
        <v>10</v>
      </c>
      <c r="Q1053" t="s">
        <v>8</v>
      </c>
      <c r="R1053" t="s">
        <v>15</v>
      </c>
      <c r="S1053">
        <v>0</v>
      </c>
    </row>
    <row r="1054" spans="1:19" x14ac:dyDescent="0.3">
      <c r="A1054">
        <v>1053</v>
      </c>
      <c r="B1054">
        <v>22.1</v>
      </c>
      <c r="C1054" t="s">
        <v>5</v>
      </c>
      <c r="D1054">
        <v>48357</v>
      </c>
      <c r="E1054" t="s">
        <v>4</v>
      </c>
      <c r="F1054">
        <v>4.68</v>
      </c>
      <c r="G1054">
        <v>74.8</v>
      </c>
      <c r="H1054">
        <v>0</v>
      </c>
      <c r="I1054">
        <v>26.5</v>
      </c>
      <c r="J1054" t="s">
        <v>4</v>
      </c>
      <c r="K1054" t="s">
        <v>3</v>
      </c>
      <c r="L1054">
        <v>7.2</v>
      </c>
      <c r="M1054">
        <v>1.31</v>
      </c>
      <c r="N1054">
        <v>1.03</v>
      </c>
      <c r="O1054">
        <v>1.03</v>
      </c>
      <c r="P1054" t="s">
        <v>2</v>
      </c>
      <c r="Q1054" t="s">
        <v>1</v>
      </c>
      <c r="R1054" t="s">
        <v>16</v>
      </c>
      <c r="S1054">
        <v>1</v>
      </c>
    </row>
    <row r="1055" spans="1:19" x14ac:dyDescent="0.3">
      <c r="A1055">
        <v>1054</v>
      </c>
      <c r="B1055">
        <v>21.6</v>
      </c>
      <c r="C1055" t="s">
        <v>11</v>
      </c>
      <c r="D1055">
        <v>25000</v>
      </c>
      <c r="E1055" t="s">
        <v>4</v>
      </c>
      <c r="F1055">
        <v>6.61</v>
      </c>
      <c r="G1055">
        <v>77.2</v>
      </c>
      <c r="H1055">
        <v>2</v>
      </c>
      <c r="I1055">
        <v>46.7</v>
      </c>
      <c r="J1055" t="s">
        <v>3</v>
      </c>
      <c r="K1055" t="s">
        <v>4</v>
      </c>
      <c r="L1055">
        <v>3.8</v>
      </c>
      <c r="M1055">
        <v>3.65</v>
      </c>
      <c r="N1055">
        <v>3.43</v>
      </c>
      <c r="O1055">
        <v>3.43</v>
      </c>
      <c r="P1055" t="s">
        <v>2</v>
      </c>
      <c r="Q1055" t="s">
        <v>14</v>
      </c>
      <c r="R1055" t="s">
        <v>15</v>
      </c>
      <c r="S1055">
        <v>0</v>
      </c>
    </row>
    <row r="1056" spans="1:19" x14ac:dyDescent="0.3">
      <c r="A1056">
        <v>1055</v>
      </c>
      <c r="B1056">
        <v>19.8</v>
      </c>
      <c r="C1056" t="s">
        <v>5</v>
      </c>
      <c r="D1056">
        <v>57384</v>
      </c>
      <c r="E1056" t="s">
        <v>4</v>
      </c>
      <c r="F1056">
        <v>4.8</v>
      </c>
      <c r="G1056">
        <v>88.7</v>
      </c>
      <c r="H1056">
        <v>3</v>
      </c>
      <c r="I1056">
        <v>34.299999999999997</v>
      </c>
      <c r="J1056" t="s">
        <v>4</v>
      </c>
      <c r="K1056" t="s">
        <v>3</v>
      </c>
      <c r="L1056">
        <v>5</v>
      </c>
      <c r="M1056">
        <v>3.37</v>
      </c>
      <c r="N1056">
        <v>3.46</v>
      </c>
      <c r="O1056">
        <v>3.51</v>
      </c>
      <c r="P1056" t="s">
        <v>7</v>
      </c>
      <c r="Q1056" t="s">
        <v>8</v>
      </c>
      <c r="R1056" t="s">
        <v>16</v>
      </c>
      <c r="S1056">
        <v>0</v>
      </c>
    </row>
    <row r="1057" spans="1:19" x14ac:dyDescent="0.3">
      <c r="A1057">
        <v>1056</v>
      </c>
      <c r="B1057">
        <v>19.5</v>
      </c>
      <c r="C1057" t="s">
        <v>5</v>
      </c>
      <c r="D1057">
        <v>36342</v>
      </c>
      <c r="E1057" t="s">
        <v>4</v>
      </c>
      <c r="F1057">
        <v>5.54</v>
      </c>
      <c r="G1057">
        <v>84.2</v>
      </c>
      <c r="H1057">
        <v>1</v>
      </c>
      <c r="I1057">
        <v>38.799999999999997</v>
      </c>
      <c r="J1057" t="s">
        <v>4</v>
      </c>
      <c r="K1057" t="s">
        <v>3</v>
      </c>
      <c r="L1057">
        <v>3.6</v>
      </c>
      <c r="M1057">
        <v>3.29</v>
      </c>
      <c r="N1057">
        <v>3.44</v>
      </c>
      <c r="O1057">
        <v>3.44</v>
      </c>
      <c r="P1057" t="s">
        <v>2</v>
      </c>
      <c r="Q1057" t="s">
        <v>6</v>
      </c>
      <c r="R1057" t="s">
        <v>9</v>
      </c>
      <c r="S1057">
        <v>0</v>
      </c>
    </row>
    <row r="1058" spans="1:19" x14ac:dyDescent="0.3">
      <c r="A1058">
        <v>1057</v>
      </c>
      <c r="B1058">
        <v>20.9</v>
      </c>
      <c r="C1058" t="s">
        <v>11</v>
      </c>
      <c r="E1058" t="s">
        <v>3</v>
      </c>
      <c r="G1058">
        <v>61.9</v>
      </c>
      <c r="H1058">
        <v>5</v>
      </c>
      <c r="I1058">
        <v>34.4</v>
      </c>
      <c r="J1058" t="s">
        <v>4</v>
      </c>
      <c r="K1058" t="s">
        <v>4</v>
      </c>
      <c r="M1058">
        <v>1.48</v>
      </c>
      <c r="N1058">
        <v>2.0699999999999998</v>
      </c>
      <c r="O1058">
        <v>2.16</v>
      </c>
      <c r="P1058" t="s">
        <v>10</v>
      </c>
      <c r="Q1058" t="s">
        <v>14</v>
      </c>
      <c r="R1058" t="s">
        <v>0</v>
      </c>
      <c r="S1058">
        <v>1</v>
      </c>
    </row>
    <row r="1059" spans="1:19" x14ac:dyDescent="0.3">
      <c r="A1059">
        <v>1058</v>
      </c>
      <c r="B1059">
        <v>23.6</v>
      </c>
      <c r="C1059" t="s">
        <v>11</v>
      </c>
      <c r="D1059">
        <v>25000</v>
      </c>
      <c r="E1059" t="s">
        <v>4</v>
      </c>
      <c r="F1059">
        <v>3.8</v>
      </c>
      <c r="G1059">
        <v>80.3</v>
      </c>
      <c r="H1059">
        <v>1</v>
      </c>
      <c r="I1059">
        <v>35.9</v>
      </c>
      <c r="J1059" t="s">
        <v>4</v>
      </c>
      <c r="K1059" t="s">
        <v>3</v>
      </c>
      <c r="L1059">
        <v>9.8000000000000007</v>
      </c>
      <c r="M1059">
        <v>1.97</v>
      </c>
      <c r="N1059">
        <v>1.72</v>
      </c>
      <c r="O1059">
        <v>1.72</v>
      </c>
      <c r="P1059" t="s">
        <v>7</v>
      </c>
      <c r="Q1059" t="s">
        <v>13</v>
      </c>
      <c r="R1059" t="s">
        <v>17</v>
      </c>
      <c r="S1059">
        <v>0</v>
      </c>
    </row>
    <row r="1060" spans="1:19" x14ac:dyDescent="0.3">
      <c r="A1060">
        <v>1059</v>
      </c>
      <c r="B1060">
        <v>22.2</v>
      </c>
      <c r="C1060" t="s">
        <v>11</v>
      </c>
      <c r="D1060">
        <v>48726</v>
      </c>
      <c r="E1060" t="s">
        <v>4</v>
      </c>
      <c r="F1060">
        <v>3.8</v>
      </c>
      <c r="G1060">
        <v>84.6</v>
      </c>
      <c r="H1060">
        <v>2</v>
      </c>
      <c r="I1060">
        <v>18</v>
      </c>
      <c r="J1060" t="s">
        <v>3</v>
      </c>
      <c r="K1060" t="s">
        <v>4</v>
      </c>
      <c r="L1060">
        <v>4.0999999999999996</v>
      </c>
      <c r="M1060">
        <v>1.77</v>
      </c>
      <c r="N1060">
        <v>2.06</v>
      </c>
      <c r="O1060">
        <v>2.06</v>
      </c>
      <c r="P1060" t="s">
        <v>2</v>
      </c>
      <c r="Q1060" t="s">
        <v>1</v>
      </c>
      <c r="R1060" t="s">
        <v>17</v>
      </c>
      <c r="S1060">
        <v>0</v>
      </c>
    </row>
    <row r="1061" spans="1:19" x14ac:dyDescent="0.3">
      <c r="A1061">
        <v>1060</v>
      </c>
      <c r="B1061">
        <v>20.2</v>
      </c>
      <c r="C1061" t="s">
        <v>11</v>
      </c>
      <c r="D1061">
        <v>63359</v>
      </c>
      <c r="E1061" t="s">
        <v>4</v>
      </c>
      <c r="F1061">
        <v>2.78</v>
      </c>
      <c r="G1061">
        <v>82.2</v>
      </c>
      <c r="H1061">
        <v>1</v>
      </c>
      <c r="I1061">
        <v>18.7</v>
      </c>
      <c r="J1061" t="s">
        <v>3</v>
      </c>
      <c r="K1061" t="s">
        <v>3</v>
      </c>
      <c r="L1061">
        <v>5.2</v>
      </c>
      <c r="M1061">
        <v>3.44</v>
      </c>
      <c r="N1061">
        <v>3.6</v>
      </c>
      <c r="O1061">
        <v>3.6</v>
      </c>
      <c r="P1061" t="s">
        <v>2</v>
      </c>
      <c r="Q1061" t="s">
        <v>14</v>
      </c>
      <c r="R1061" t="s">
        <v>9</v>
      </c>
      <c r="S1061">
        <v>0</v>
      </c>
    </row>
    <row r="1062" spans="1:19" x14ac:dyDescent="0.3">
      <c r="A1062">
        <v>1061</v>
      </c>
      <c r="B1062">
        <v>22.7</v>
      </c>
      <c r="C1062" t="s">
        <v>5</v>
      </c>
      <c r="D1062">
        <v>25000</v>
      </c>
      <c r="E1062" t="s">
        <v>4</v>
      </c>
      <c r="F1062">
        <v>3.43</v>
      </c>
      <c r="G1062">
        <v>80.099999999999994</v>
      </c>
      <c r="H1062">
        <v>3</v>
      </c>
      <c r="I1062">
        <v>23.5</v>
      </c>
      <c r="J1062" t="s">
        <v>4</v>
      </c>
      <c r="K1062" t="s">
        <v>4</v>
      </c>
      <c r="L1062">
        <v>8</v>
      </c>
      <c r="M1062">
        <v>3.37</v>
      </c>
      <c r="N1062">
        <v>3.2</v>
      </c>
      <c r="O1062">
        <v>3.2</v>
      </c>
      <c r="P1062" t="s">
        <v>7</v>
      </c>
      <c r="Q1062" t="s">
        <v>8</v>
      </c>
      <c r="R1062" t="s">
        <v>0</v>
      </c>
      <c r="S1062">
        <v>0</v>
      </c>
    </row>
    <row r="1063" spans="1:19" x14ac:dyDescent="0.3">
      <c r="A1063">
        <v>1062</v>
      </c>
      <c r="B1063">
        <v>17</v>
      </c>
      <c r="C1063" t="s">
        <v>5</v>
      </c>
      <c r="D1063">
        <v>25000</v>
      </c>
      <c r="E1063" t="s">
        <v>4</v>
      </c>
      <c r="F1063">
        <v>4.43</v>
      </c>
      <c r="G1063">
        <v>81.599999999999994</v>
      </c>
      <c r="H1063">
        <v>0</v>
      </c>
      <c r="I1063">
        <v>36.200000000000003</v>
      </c>
      <c r="J1063" t="s">
        <v>3</v>
      </c>
      <c r="K1063" t="s">
        <v>4</v>
      </c>
      <c r="L1063">
        <v>6.3</v>
      </c>
      <c r="M1063">
        <v>3.57</v>
      </c>
      <c r="N1063">
        <v>3.49</v>
      </c>
      <c r="O1063">
        <v>3.52</v>
      </c>
      <c r="P1063" t="s">
        <v>12</v>
      </c>
      <c r="Q1063" t="s">
        <v>1</v>
      </c>
      <c r="R1063" t="s">
        <v>9</v>
      </c>
      <c r="S1063">
        <v>0</v>
      </c>
    </row>
    <row r="1064" spans="1:19" x14ac:dyDescent="0.3">
      <c r="A1064">
        <v>1063</v>
      </c>
      <c r="B1064">
        <v>23.5</v>
      </c>
      <c r="C1064" t="s">
        <v>5</v>
      </c>
      <c r="D1064">
        <v>45095</v>
      </c>
      <c r="E1064" t="s">
        <v>4</v>
      </c>
      <c r="F1064">
        <v>3.22</v>
      </c>
      <c r="G1064">
        <v>62.7</v>
      </c>
      <c r="H1064">
        <v>1</v>
      </c>
      <c r="I1064">
        <v>22.9</v>
      </c>
      <c r="J1064" t="s">
        <v>3</v>
      </c>
      <c r="K1064" t="s">
        <v>3</v>
      </c>
      <c r="L1064">
        <v>5.3</v>
      </c>
      <c r="M1064">
        <v>2.12</v>
      </c>
      <c r="N1064">
        <v>2.2999999999999998</v>
      </c>
      <c r="O1064">
        <v>2.33</v>
      </c>
      <c r="P1064" t="s">
        <v>7</v>
      </c>
      <c r="Q1064" t="s">
        <v>13</v>
      </c>
      <c r="R1064" t="s">
        <v>9</v>
      </c>
      <c r="S1064">
        <v>1</v>
      </c>
    </row>
    <row r="1065" spans="1:19" x14ac:dyDescent="0.3">
      <c r="A1065">
        <v>1064</v>
      </c>
      <c r="B1065">
        <v>17.2</v>
      </c>
      <c r="C1065" t="s">
        <v>5</v>
      </c>
      <c r="D1065">
        <v>25000</v>
      </c>
      <c r="E1065" t="s">
        <v>4</v>
      </c>
      <c r="F1065">
        <v>4.72</v>
      </c>
      <c r="G1065">
        <v>82.1</v>
      </c>
      <c r="H1065">
        <v>1</v>
      </c>
      <c r="I1065">
        <v>26.4</v>
      </c>
      <c r="J1065" t="s">
        <v>3</v>
      </c>
      <c r="K1065" t="s">
        <v>3</v>
      </c>
      <c r="L1065">
        <v>4.3</v>
      </c>
      <c r="M1065">
        <v>1.9</v>
      </c>
      <c r="N1065">
        <v>2.11</v>
      </c>
      <c r="O1065">
        <v>2.19</v>
      </c>
      <c r="P1065" t="s">
        <v>7</v>
      </c>
      <c r="Q1065" t="s">
        <v>1</v>
      </c>
      <c r="R1065" t="s">
        <v>9</v>
      </c>
      <c r="S1065">
        <v>0</v>
      </c>
    </row>
    <row r="1066" spans="1:19" x14ac:dyDescent="0.3">
      <c r="A1066">
        <v>1065</v>
      </c>
      <c r="B1066">
        <v>20.2</v>
      </c>
      <c r="C1066" t="s">
        <v>11</v>
      </c>
      <c r="D1066">
        <v>25000</v>
      </c>
      <c r="E1066" t="s">
        <v>3</v>
      </c>
      <c r="F1066">
        <v>3.04</v>
      </c>
      <c r="G1066">
        <v>73.5</v>
      </c>
      <c r="H1066">
        <v>1</v>
      </c>
      <c r="I1066">
        <v>29.1</v>
      </c>
      <c r="J1066" t="s">
        <v>4</v>
      </c>
      <c r="K1066" t="s">
        <v>4</v>
      </c>
      <c r="L1066">
        <v>6.7</v>
      </c>
      <c r="M1066">
        <v>1.89</v>
      </c>
      <c r="N1066">
        <v>1.79</v>
      </c>
      <c r="O1066">
        <v>1.79</v>
      </c>
      <c r="P1066" t="s">
        <v>2</v>
      </c>
      <c r="Q1066" t="s">
        <v>14</v>
      </c>
      <c r="R1066" t="s">
        <v>17</v>
      </c>
      <c r="S1066">
        <v>1</v>
      </c>
    </row>
    <row r="1067" spans="1:19" x14ac:dyDescent="0.3">
      <c r="A1067">
        <v>1066</v>
      </c>
      <c r="B1067">
        <v>18.5</v>
      </c>
      <c r="C1067" t="s">
        <v>11</v>
      </c>
      <c r="D1067">
        <v>25000</v>
      </c>
      <c r="E1067" t="s">
        <v>4</v>
      </c>
      <c r="F1067">
        <v>2.98</v>
      </c>
      <c r="G1067">
        <v>84.9</v>
      </c>
      <c r="H1067">
        <v>2</v>
      </c>
      <c r="I1067">
        <v>47</v>
      </c>
      <c r="J1067" t="s">
        <v>3</v>
      </c>
      <c r="K1067" t="s">
        <v>4</v>
      </c>
      <c r="L1067">
        <v>4.9000000000000004</v>
      </c>
      <c r="M1067">
        <v>2.76</v>
      </c>
      <c r="N1067">
        <v>2.6</v>
      </c>
      <c r="O1067">
        <v>2.6</v>
      </c>
      <c r="P1067" t="s">
        <v>2</v>
      </c>
      <c r="Q1067" t="s">
        <v>13</v>
      </c>
      <c r="R1067" t="s">
        <v>15</v>
      </c>
      <c r="S1067">
        <v>0</v>
      </c>
    </row>
    <row r="1068" spans="1:19" x14ac:dyDescent="0.3">
      <c r="A1068">
        <v>1067</v>
      </c>
      <c r="B1068">
        <v>18.2</v>
      </c>
      <c r="C1068" t="s">
        <v>11</v>
      </c>
      <c r="D1068">
        <v>25000</v>
      </c>
      <c r="E1068" t="s">
        <v>4</v>
      </c>
      <c r="F1068">
        <v>4.0199999999999996</v>
      </c>
      <c r="G1068">
        <v>83.1</v>
      </c>
      <c r="H1068">
        <v>3</v>
      </c>
      <c r="I1068">
        <v>37.200000000000003</v>
      </c>
      <c r="J1068" t="s">
        <v>3</v>
      </c>
      <c r="K1068" t="s">
        <v>3</v>
      </c>
      <c r="L1068">
        <v>9.4</v>
      </c>
      <c r="M1068">
        <v>1.79</v>
      </c>
      <c r="N1068">
        <v>1.6</v>
      </c>
      <c r="O1068">
        <v>1.65</v>
      </c>
      <c r="P1068" t="s">
        <v>12</v>
      </c>
      <c r="Q1068" t="s">
        <v>8</v>
      </c>
      <c r="R1068" t="s">
        <v>15</v>
      </c>
      <c r="S1068">
        <v>0</v>
      </c>
    </row>
    <row r="1069" spans="1:19" x14ac:dyDescent="0.3">
      <c r="A1069">
        <v>1068</v>
      </c>
      <c r="B1069">
        <v>23.6</v>
      </c>
      <c r="C1069" t="s">
        <v>5</v>
      </c>
      <c r="D1069">
        <v>25000</v>
      </c>
      <c r="E1069" t="s">
        <v>3</v>
      </c>
      <c r="F1069">
        <v>1.34</v>
      </c>
      <c r="G1069">
        <v>88</v>
      </c>
      <c r="H1069">
        <v>1</v>
      </c>
      <c r="I1069">
        <v>12.5</v>
      </c>
      <c r="J1069" t="s">
        <v>3</v>
      </c>
      <c r="K1069" t="s">
        <v>3</v>
      </c>
      <c r="L1069">
        <v>5</v>
      </c>
      <c r="M1069">
        <v>1.73</v>
      </c>
      <c r="N1069">
        <v>1.73</v>
      </c>
      <c r="O1069">
        <v>1.79</v>
      </c>
      <c r="P1069" t="s">
        <v>12</v>
      </c>
      <c r="Q1069" t="s">
        <v>1</v>
      </c>
      <c r="R1069" t="s">
        <v>0</v>
      </c>
      <c r="S1069">
        <v>0</v>
      </c>
    </row>
    <row r="1070" spans="1:19" x14ac:dyDescent="0.3">
      <c r="A1070">
        <v>1069</v>
      </c>
      <c r="B1070">
        <v>20</v>
      </c>
      <c r="C1070" t="s">
        <v>11</v>
      </c>
      <c r="E1070" t="s">
        <v>3</v>
      </c>
      <c r="G1070">
        <v>73.099999999999994</v>
      </c>
      <c r="H1070">
        <v>1</v>
      </c>
      <c r="I1070">
        <v>31.9</v>
      </c>
      <c r="J1070" t="s">
        <v>4</v>
      </c>
      <c r="K1070" t="s">
        <v>4</v>
      </c>
      <c r="M1070">
        <v>2.63</v>
      </c>
      <c r="N1070">
        <v>2.11</v>
      </c>
      <c r="O1070">
        <v>2.2200000000000002</v>
      </c>
      <c r="P1070" t="s">
        <v>10</v>
      </c>
      <c r="Q1070" t="s">
        <v>13</v>
      </c>
      <c r="R1070" t="s">
        <v>9</v>
      </c>
      <c r="S1070">
        <v>0</v>
      </c>
    </row>
    <row r="1071" spans="1:19" x14ac:dyDescent="0.3">
      <c r="A1071">
        <v>1070</v>
      </c>
      <c r="B1071">
        <v>21.8</v>
      </c>
      <c r="C1071" t="s">
        <v>11</v>
      </c>
      <c r="D1071">
        <v>25000</v>
      </c>
      <c r="E1071" t="s">
        <v>3</v>
      </c>
      <c r="F1071">
        <v>4.92</v>
      </c>
      <c r="G1071">
        <v>95.8</v>
      </c>
      <c r="H1071">
        <v>7</v>
      </c>
      <c r="I1071">
        <v>26.4</v>
      </c>
      <c r="J1071" t="s">
        <v>4</v>
      </c>
      <c r="K1071" t="s">
        <v>3</v>
      </c>
      <c r="L1071">
        <v>7.1</v>
      </c>
      <c r="M1071">
        <v>0.56999999999999995</v>
      </c>
      <c r="N1071">
        <v>0.46</v>
      </c>
      <c r="O1071">
        <v>0.46</v>
      </c>
      <c r="P1071" t="s">
        <v>2</v>
      </c>
      <c r="Q1071" t="s">
        <v>13</v>
      </c>
      <c r="R1071" t="s">
        <v>0</v>
      </c>
      <c r="S1071">
        <v>1</v>
      </c>
    </row>
    <row r="1072" spans="1:19" x14ac:dyDescent="0.3">
      <c r="A1072">
        <v>1071</v>
      </c>
      <c r="B1072">
        <v>20.9</v>
      </c>
      <c r="C1072" t="s">
        <v>5</v>
      </c>
      <c r="D1072">
        <v>43717</v>
      </c>
      <c r="E1072" t="s">
        <v>4</v>
      </c>
      <c r="F1072">
        <v>5.0599999999999996</v>
      </c>
      <c r="G1072">
        <v>66.099999999999994</v>
      </c>
      <c r="H1072">
        <v>4</v>
      </c>
      <c r="I1072">
        <v>27.3</v>
      </c>
      <c r="J1072" t="s">
        <v>4</v>
      </c>
      <c r="K1072" t="s">
        <v>3</v>
      </c>
      <c r="L1072">
        <v>7.1</v>
      </c>
      <c r="M1072">
        <v>1.48</v>
      </c>
      <c r="N1072">
        <v>1.84</v>
      </c>
      <c r="O1072">
        <v>1.77</v>
      </c>
      <c r="P1072" t="s">
        <v>10</v>
      </c>
      <c r="Q1072" t="s">
        <v>6</v>
      </c>
      <c r="R1072" t="s">
        <v>15</v>
      </c>
      <c r="S1072">
        <v>0</v>
      </c>
    </row>
    <row r="1073" spans="1:19" x14ac:dyDescent="0.3">
      <c r="A1073">
        <v>1072</v>
      </c>
      <c r="B1073">
        <v>22</v>
      </c>
      <c r="C1073" t="s">
        <v>11</v>
      </c>
      <c r="D1073">
        <v>25000</v>
      </c>
      <c r="E1073" t="s">
        <v>4</v>
      </c>
      <c r="F1073">
        <v>4.97</v>
      </c>
      <c r="G1073">
        <v>81</v>
      </c>
      <c r="H1073">
        <v>2</v>
      </c>
      <c r="I1073">
        <v>30</v>
      </c>
      <c r="J1073" t="s">
        <v>4</v>
      </c>
      <c r="K1073" t="s">
        <v>3</v>
      </c>
      <c r="L1073">
        <v>5.2</v>
      </c>
      <c r="M1073">
        <v>2.63</v>
      </c>
      <c r="N1073">
        <v>2.83</v>
      </c>
      <c r="O1073">
        <v>2.83</v>
      </c>
      <c r="P1073" t="s">
        <v>2</v>
      </c>
      <c r="Q1073" t="s">
        <v>1</v>
      </c>
      <c r="R1073" t="s">
        <v>0</v>
      </c>
      <c r="S1073">
        <v>0</v>
      </c>
    </row>
    <row r="1074" spans="1:19" x14ac:dyDescent="0.3">
      <c r="A1074">
        <v>1073</v>
      </c>
      <c r="B1074">
        <v>21.2</v>
      </c>
      <c r="C1074" t="s">
        <v>5</v>
      </c>
      <c r="D1074">
        <v>25000</v>
      </c>
      <c r="E1074" t="s">
        <v>4</v>
      </c>
      <c r="F1074">
        <v>3.85</v>
      </c>
      <c r="G1074">
        <v>65.7</v>
      </c>
      <c r="H1074">
        <v>2</v>
      </c>
      <c r="I1074">
        <v>43.5</v>
      </c>
      <c r="J1074" t="s">
        <v>4</v>
      </c>
      <c r="K1074" t="s">
        <v>4</v>
      </c>
      <c r="L1074">
        <v>4.7</v>
      </c>
      <c r="M1074">
        <v>3.03</v>
      </c>
      <c r="N1074">
        <v>3.74</v>
      </c>
      <c r="O1074">
        <v>3.77</v>
      </c>
      <c r="P1074" t="s">
        <v>7</v>
      </c>
      <c r="Q1074" t="s">
        <v>13</v>
      </c>
      <c r="R1074" t="s">
        <v>9</v>
      </c>
      <c r="S1074">
        <v>0</v>
      </c>
    </row>
    <row r="1075" spans="1:19" x14ac:dyDescent="0.3">
      <c r="A1075">
        <v>1074</v>
      </c>
      <c r="B1075">
        <v>18.2</v>
      </c>
      <c r="C1075" t="s">
        <v>5</v>
      </c>
      <c r="D1075">
        <v>95609</v>
      </c>
      <c r="E1075" t="s">
        <v>4</v>
      </c>
      <c r="F1075">
        <v>4.32</v>
      </c>
      <c r="G1075">
        <v>85.9</v>
      </c>
      <c r="H1075">
        <v>0</v>
      </c>
      <c r="I1075">
        <v>20.2</v>
      </c>
      <c r="J1075" t="s">
        <v>3</v>
      </c>
      <c r="K1075" t="s">
        <v>4</v>
      </c>
      <c r="L1075">
        <v>5</v>
      </c>
      <c r="M1075">
        <v>2.7</v>
      </c>
      <c r="N1075">
        <v>2.54</v>
      </c>
      <c r="O1075">
        <v>2.57</v>
      </c>
      <c r="P1075" t="s">
        <v>10</v>
      </c>
      <c r="Q1075" t="s">
        <v>13</v>
      </c>
      <c r="R1075" t="s">
        <v>0</v>
      </c>
      <c r="S1075">
        <v>0</v>
      </c>
    </row>
    <row r="1076" spans="1:19" x14ac:dyDescent="0.3">
      <c r="A1076">
        <v>1075</v>
      </c>
      <c r="B1076">
        <v>23.2</v>
      </c>
      <c r="C1076" t="s">
        <v>11</v>
      </c>
      <c r="D1076">
        <v>28868</v>
      </c>
      <c r="E1076" t="s">
        <v>4</v>
      </c>
      <c r="F1076">
        <v>4.51</v>
      </c>
      <c r="G1076">
        <v>80.7</v>
      </c>
      <c r="H1076">
        <v>0</v>
      </c>
      <c r="I1076">
        <v>32.4</v>
      </c>
      <c r="J1076" t="s">
        <v>3</v>
      </c>
      <c r="K1076" t="s">
        <v>4</v>
      </c>
      <c r="L1076">
        <v>7.4</v>
      </c>
      <c r="M1076">
        <v>2.62</v>
      </c>
      <c r="N1076">
        <v>2.67</v>
      </c>
      <c r="O1076">
        <v>2.64</v>
      </c>
      <c r="P1076" t="s">
        <v>12</v>
      </c>
      <c r="Q1076" t="s">
        <v>1</v>
      </c>
      <c r="R1076" t="s">
        <v>15</v>
      </c>
      <c r="S1076">
        <v>0</v>
      </c>
    </row>
    <row r="1077" spans="1:19" x14ac:dyDescent="0.3">
      <c r="A1077">
        <v>1076</v>
      </c>
      <c r="B1077">
        <v>19.899999999999999</v>
      </c>
      <c r="C1077" t="s">
        <v>11</v>
      </c>
      <c r="D1077">
        <v>36516</v>
      </c>
      <c r="E1077" t="s">
        <v>4</v>
      </c>
      <c r="F1077">
        <v>2.11</v>
      </c>
      <c r="G1077">
        <v>78.2</v>
      </c>
      <c r="H1077">
        <v>4</v>
      </c>
      <c r="I1077">
        <v>33.5</v>
      </c>
      <c r="J1077" t="s">
        <v>4</v>
      </c>
      <c r="K1077" t="s">
        <v>4</v>
      </c>
      <c r="L1077">
        <v>6.4</v>
      </c>
      <c r="M1077">
        <v>1.2</v>
      </c>
      <c r="N1077">
        <v>0.91</v>
      </c>
      <c r="O1077">
        <v>0.94</v>
      </c>
      <c r="P1077" t="s">
        <v>7</v>
      </c>
      <c r="Q1077" t="s">
        <v>14</v>
      </c>
      <c r="R1077" t="s">
        <v>15</v>
      </c>
      <c r="S1077">
        <v>1</v>
      </c>
    </row>
    <row r="1078" spans="1:19" x14ac:dyDescent="0.3">
      <c r="A1078">
        <v>1077</v>
      </c>
      <c r="B1078">
        <v>17.600000000000001</v>
      </c>
      <c r="C1078" t="s">
        <v>5</v>
      </c>
      <c r="D1078">
        <v>25000</v>
      </c>
      <c r="E1078" t="s">
        <v>4</v>
      </c>
      <c r="F1078">
        <v>4.26</v>
      </c>
      <c r="G1078">
        <v>84.1</v>
      </c>
      <c r="H1078">
        <v>2</v>
      </c>
      <c r="I1078">
        <v>27.3</v>
      </c>
      <c r="J1078" t="s">
        <v>3</v>
      </c>
      <c r="K1078" t="s">
        <v>3</v>
      </c>
      <c r="L1078">
        <v>2.1</v>
      </c>
      <c r="M1078">
        <v>3.52</v>
      </c>
      <c r="N1078">
        <v>3.63</v>
      </c>
      <c r="O1078">
        <v>3.61</v>
      </c>
      <c r="P1078" t="s">
        <v>12</v>
      </c>
      <c r="Q1078" t="s">
        <v>6</v>
      </c>
      <c r="R1078" t="s">
        <v>9</v>
      </c>
      <c r="S1078">
        <v>0</v>
      </c>
    </row>
    <row r="1079" spans="1:19" x14ac:dyDescent="0.3">
      <c r="A1079">
        <v>1078</v>
      </c>
      <c r="B1079">
        <v>20.100000000000001</v>
      </c>
      <c r="C1079" t="s">
        <v>5</v>
      </c>
      <c r="D1079">
        <v>108889</v>
      </c>
      <c r="E1079" t="s">
        <v>4</v>
      </c>
      <c r="F1079">
        <v>3.51</v>
      </c>
      <c r="G1079">
        <v>73.599999999999994</v>
      </c>
      <c r="H1079">
        <v>1</v>
      </c>
      <c r="I1079">
        <v>22.3</v>
      </c>
      <c r="J1079" t="s">
        <v>4</v>
      </c>
      <c r="K1079" t="s">
        <v>4</v>
      </c>
      <c r="L1079">
        <v>3.2</v>
      </c>
      <c r="M1079">
        <v>1.54</v>
      </c>
      <c r="N1079">
        <v>1.32</v>
      </c>
      <c r="O1079">
        <v>1.3</v>
      </c>
      <c r="P1079" t="s">
        <v>7</v>
      </c>
      <c r="Q1079" t="s">
        <v>8</v>
      </c>
      <c r="R1079" t="s">
        <v>0</v>
      </c>
      <c r="S1079">
        <v>0</v>
      </c>
    </row>
    <row r="1080" spans="1:19" x14ac:dyDescent="0.3">
      <c r="A1080">
        <v>1079</v>
      </c>
      <c r="B1080">
        <v>24.3</v>
      </c>
      <c r="C1080" t="s">
        <v>11</v>
      </c>
      <c r="D1080">
        <v>25000</v>
      </c>
      <c r="E1080" t="s">
        <v>4</v>
      </c>
      <c r="F1080">
        <v>6.4</v>
      </c>
      <c r="G1080">
        <v>96.8</v>
      </c>
      <c r="H1080">
        <v>1</v>
      </c>
      <c r="I1080">
        <v>20.9</v>
      </c>
      <c r="J1080" t="s">
        <v>4</v>
      </c>
      <c r="K1080" t="s">
        <v>4</v>
      </c>
      <c r="L1080">
        <v>5.3</v>
      </c>
      <c r="M1080">
        <v>4</v>
      </c>
      <c r="N1080">
        <v>3.73</v>
      </c>
      <c r="O1080">
        <v>3.73</v>
      </c>
      <c r="P1080" t="s">
        <v>2</v>
      </c>
      <c r="Q1080" t="s">
        <v>13</v>
      </c>
      <c r="R1080" t="s">
        <v>15</v>
      </c>
      <c r="S1080">
        <v>0</v>
      </c>
    </row>
    <row r="1081" spans="1:19" x14ac:dyDescent="0.3">
      <c r="A1081">
        <v>1080</v>
      </c>
      <c r="B1081">
        <v>22.9</v>
      </c>
      <c r="C1081" t="s">
        <v>11</v>
      </c>
      <c r="D1081">
        <v>25930</v>
      </c>
      <c r="E1081" t="s">
        <v>4</v>
      </c>
      <c r="F1081">
        <v>3.75</v>
      </c>
      <c r="G1081">
        <v>80</v>
      </c>
      <c r="H1081">
        <v>4</v>
      </c>
      <c r="I1081">
        <v>25</v>
      </c>
      <c r="J1081" t="s">
        <v>3</v>
      </c>
      <c r="K1081" t="s">
        <v>3</v>
      </c>
      <c r="L1081">
        <v>6.5</v>
      </c>
      <c r="M1081">
        <v>2.0499999999999998</v>
      </c>
      <c r="N1081">
        <v>2.61</v>
      </c>
      <c r="O1081">
        <v>2.6</v>
      </c>
      <c r="P1081" t="s">
        <v>12</v>
      </c>
      <c r="Q1081" t="s">
        <v>8</v>
      </c>
      <c r="R1081" t="s">
        <v>9</v>
      </c>
      <c r="S1081">
        <v>0</v>
      </c>
    </row>
    <row r="1082" spans="1:19" x14ac:dyDescent="0.3">
      <c r="A1082">
        <v>1081</v>
      </c>
      <c r="B1082">
        <v>20.2</v>
      </c>
      <c r="C1082" t="s">
        <v>11</v>
      </c>
      <c r="D1082">
        <v>65528</v>
      </c>
      <c r="E1082" t="s">
        <v>4</v>
      </c>
      <c r="F1082">
        <v>3.84</v>
      </c>
      <c r="G1082">
        <v>82.6</v>
      </c>
      <c r="H1082">
        <v>2</v>
      </c>
      <c r="I1082">
        <v>38.9</v>
      </c>
      <c r="J1082" t="s">
        <v>3</v>
      </c>
      <c r="K1082" t="s">
        <v>3</v>
      </c>
      <c r="L1082">
        <v>5.0999999999999996</v>
      </c>
      <c r="M1082">
        <v>1.1499999999999999</v>
      </c>
      <c r="N1082">
        <v>0.92</v>
      </c>
      <c r="O1082">
        <v>0.92</v>
      </c>
      <c r="P1082" t="s">
        <v>12</v>
      </c>
      <c r="Q1082" t="s">
        <v>14</v>
      </c>
      <c r="R1082" t="s">
        <v>9</v>
      </c>
      <c r="S1082">
        <v>0</v>
      </c>
    </row>
    <row r="1083" spans="1:19" x14ac:dyDescent="0.3">
      <c r="A1083">
        <v>1082</v>
      </c>
      <c r="B1083">
        <v>20.2</v>
      </c>
      <c r="C1083" t="s">
        <v>5</v>
      </c>
      <c r="D1083">
        <v>26661</v>
      </c>
      <c r="E1083" t="s">
        <v>4</v>
      </c>
      <c r="F1083">
        <v>2.41</v>
      </c>
      <c r="G1083">
        <v>81</v>
      </c>
      <c r="H1083">
        <v>2</v>
      </c>
      <c r="I1083">
        <v>25.7</v>
      </c>
      <c r="J1083" t="s">
        <v>3</v>
      </c>
      <c r="K1083" t="s">
        <v>4</v>
      </c>
      <c r="L1083">
        <v>4.5999999999999996</v>
      </c>
      <c r="M1083">
        <v>0.77</v>
      </c>
      <c r="N1083">
        <v>0.63</v>
      </c>
      <c r="O1083">
        <v>0.68</v>
      </c>
      <c r="P1083" t="s">
        <v>10</v>
      </c>
      <c r="Q1083" t="s">
        <v>8</v>
      </c>
      <c r="R1083" t="s">
        <v>15</v>
      </c>
      <c r="S1083">
        <v>0</v>
      </c>
    </row>
    <row r="1084" spans="1:19" x14ac:dyDescent="0.3">
      <c r="A1084">
        <v>1083</v>
      </c>
      <c r="B1084">
        <v>20.3</v>
      </c>
      <c r="C1084" t="s">
        <v>5</v>
      </c>
      <c r="D1084">
        <v>30599</v>
      </c>
      <c r="E1084" t="s">
        <v>4</v>
      </c>
      <c r="F1084">
        <v>3.49</v>
      </c>
      <c r="G1084">
        <v>89.4</v>
      </c>
      <c r="H1084">
        <v>1</v>
      </c>
      <c r="I1084">
        <v>28.8</v>
      </c>
      <c r="J1084" t="s">
        <v>4</v>
      </c>
      <c r="K1084" t="s">
        <v>3</v>
      </c>
      <c r="L1084">
        <v>3.7</v>
      </c>
      <c r="M1084">
        <v>2.93</v>
      </c>
      <c r="N1084">
        <v>3.07</v>
      </c>
      <c r="O1084">
        <v>3.09</v>
      </c>
      <c r="P1084" t="s">
        <v>10</v>
      </c>
      <c r="Q1084" t="s">
        <v>6</v>
      </c>
      <c r="R1084" t="s">
        <v>15</v>
      </c>
      <c r="S1084">
        <v>0</v>
      </c>
    </row>
    <row r="1085" spans="1:19" x14ac:dyDescent="0.3">
      <c r="A1085">
        <v>1084</v>
      </c>
      <c r="B1085">
        <v>25.6</v>
      </c>
      <c r="C1085" t="s">
        <v>5</v>
      </c>
      <c r="D1085">
        <v>25109</v>
      </c>
      <c r="E1085" t="s">
        <v>4</v>
      </c>
      <c r="F1085">
        <v>1.25</v>
      </c>
      <c r="G1085">
        <v>72.400000000000006</v>
      </c>
      <c r="H1085">
        <v>5</v>
      </c>
      <c r="I1085">
        <v>16.100000000000001</v>
      </c>
      <c r="J1085" t="s">
        <v>4</v>
      </c>
      <c r="K1085" t="s">
        <v>3</v>
      </c>
      <c r="L1085">
        <v>7.1</v>
      </c>
      <c r="M1085">
        <v>0</v>
      </c>
      <c r="N1085">
        <v>0.05</v>
      </c>
      <c r="O1085">
        <v>0.04</v>
      </c>
      <c r="P1085" t="s">
        <v>7</v>
      </c>
      <c r="Q1085" t="s">
        <v>6</v>
      </c>
      <c r="R1085" t="s">
        <v>15</v>
      </c>
      <c r="S1085">
        <v>0</v>
      </c>
    </row>
    <row r="1086" spans="1:19" x14ac:dyDescent="0.3">
      <c r="A1086">
        <v>1085</v>
      </c>
      <c r="B1086">
        <v>21.8</v>
      </c>
      <c r="C1086" t="s">
        <v>5</v>
      </c>
      <c r="E1086" t="s">
        <v>4</v>
      </c>
      <c r="G1086">
        <v>88.6</v>
      </c>
      <c r="H1086">
        <v>1</v>
      </c>
      <c r="I1086">
        <v>24.3</v>
      </c>
      <c r="J1086" t="s">
        <v>3</v>
      </c>
      <c r="K1086" t="s">
        <v>3</v>
      </c>
      <c r="M1086">
        <v>1.25</v>
      </c>
      <c r="N1086">
        <v>1.44</v>
      </c>
      <c r="O1086">
        <v>1.44</v>
      </c>
      <c r="P1086" t="s">
        <v>2</v>
      </c>
      <c r="Q1086" t="s">
        <v>8</v>
      </c>
      <c r="R1086" t="s">
        <v>15</v>
      </c>
      <c r="S1086">
        <v>1</v>
      </c>
    </row>
    <row r="1087" spans="1:19" x14ac:dyDescent="0.3">
      <c r="A1087">
        <v>1086</v>
      </c>
      <c r="B1087">
        <v>21.9</v>
      </c>
      <c r="C1087" t="s">
        <v>5</v>
      </c>
      <c r="D1087">
        <v>37134</v>
      </c>
      <c r="E1087" t="s">
        <v>4</v>
      </c>
      <c r="F1087">
        <v>4.76</v>
      </c>
      <c r="G1087">
        <v>77.900000000000006</v>
      </c>
      <c r="H1087">
        <v>1</v>
      </c>
      <c r="I1087">
        <v>32.799999999999997</v>
      </c>
      <c r="J1087" t="s">
        <v>3</v>
      </c>
      <c r="K1087" t="s">
        <v>3</v>
      </c>
      <c r="L1087">
        <v>8.5</v>
      </c>
      <c r="M1087">
        <v>1.26</v>
      </c>
      <c r="N1087">
        <v>1.24</v>
      </c>
      <c r="O1087">
        <v>1.32</v>
      </c>
      <c r="P1087" t="s">
        <v>7</v>
      </c>
      <c r="Q1087" t="s">
        <v>13</v>
      </c>
      <c r="R1087" t="s">
        <v>0</v>
      </c>
      <c r="S1087">
        <v>1</v>
      </c>
    </row>
    <row r="1088" spans="1:19" x14ac:dyDescent="0.3">
      <c r="A1088">
        <v>1087</v>
      </c>
      <c r="B1088">
        <v>23.3</v>
      </c>
      <c r="C1088" t="s">
        <v>5</v>
      </c>
      <c r="D1088">
        <v>41430</v>
      </c>
      <c r="E1088" t="s">
        <v>4</v>
      </c>
      <c r="F1088">
        <v>3.52</v>
      </c>
      <c r="G1088">
        <v>77.900000000000006</v>
      </c>
      <c r="H1088">
        <v>1</v>
      </c>
      <c r="I1088">
        <v>10</v>
      </c>
      <c r="J1088" t="s">
        <v>4</v>
      </c>
      <c r="K1088" t="s">
        <v>4</v>
      </c>
      <c r="L1088">
        <v>3.2</v>
      </c>
      <c r="M1088">
        <v>2.12</v>
      </c>
      <c r="N1088">
        <v>2.3199999999999998</v>
      </c>
      <c r="O1088">
        <v>2.25</v>
      </c>
      <c r="P1088" t="s">
        <v>12</v>
      </c>
      <c r="Q1088" t="s">
        <v>1</v>
      </c>
      <c r="R1088" t="s">
        <v>9</v>
      </c>
      <c r="S1088">
        <v>0</v>
      </c>
    </row>
    <row r="1089" spans="1:19" x14ac:dyDescent="0.3">
      <c r="A1089">
        <v>1088</v>
      </c>
      <c r="B1089">
        <v>21.5</v>
      </c>
      <c r="C1089" t="s">
        <v>11</v>
      </c>
      <c r="D1089">
        <v>25000</v>
      </c>
      <c r="E1089" t="s">
        <v>4</v>
      </c>
      <c r="F1089">
        <v>4.66</v>
      </c>
      <c r="G1089">
        <v>89</v>
      </c>
      <c r="H1089">
        <v>2</v>
      </c>
      <c r="I1089">
        <v>42.5</v>
      </c>
      <c r="J1089" t="s">
        <v>3</v>
      </c>
      <c r="K1089" t="s">
        <v>3</v>
      </c>
      <c r="L1089">
        <v>6.7</v>
      </c>
      <c r="M1089">
        <v>2.68</v>
      </c>
      <c r="N1089">
        <v>2.87</v>
      </c>
      <c r="O1089">
        <v>2.86</v>
      </c>
      <c r="P1089" t="s">
        <v>10</v>
      </c>
      <c r="Q1089" t="s">
        <v>14</v>
      </c>
      <c r="R1089" t="s">
        <v>9</v>
      </c>
      <c r="S1089">
        <v>0</v>
      </c>
    </row>
    <row r="1090" spans="1:19" x14ac:dyDescent="0.3">
      <c r="A1090">
        <v>1089</v>
      </c>
      <c r="B1090">
        <v>20.399999999999999</v>
      </c>
      <c r="C1090" t="s">
        <v>5</v>
      </c>
      <c r="D1090">
        <v>25000</v>
      </c>
      <c r="E1090" t="s">
        <v>4</v>
      </c>
      <c r="F1090">
        <v>2.75</v>
      </c>
      <c r="G1090">
        <v>79.900000000000006</v>
      </c>
      <c r="H1090">
        <v>1</v>
      </c>
      <c r="I1090">
        <v>22.9</v>
      </c>
      <c r="J1090" t="s">
        <v>4</v>
      </c>
      <c r="K1090" t="s">
        <v>3</v>
      </c>
      <c r="L1090">
        <v>6.5</v>
      </c>
      <c r="M1090">
        <v>2.94</v>
      </c>
      <c r="N1090">
        <v>2.96</v>
      </c>
      <c r="O1090">
        <v>2.96</v>
      </c>
      <c r="P1090" t="s">
        <v>2</v>
      </c>
      <c r="Q1090" t="s">
        <v>1</v>
      </c>
      <c r="R1090" t="s">
        <v>16</v>
      </c>
      <c r="S1090">
        <v>0</v>
      </c>
    </row>
    <row r="1091" spans="1:19" x14ac:dyDescent="0.3">
      <c r="A1091">
        <v>1090</v>
      </c>
      <c r="B1091">
        <v>20.6</v>
      </c>
      <c r="C1091" t="s">
        <v>11</v>
      </c>
      <c r="D1091">
        <v>25000</v>
      </c>
      <c r="E1091" t="s">
        <v>4</v>
      </c>
      <c r="F1091">
        <v>3.76</v>
      </c>
      <c r="G1091">
        <v>86.9</v>
      </c>
      <c r="H1091">
        <v>0</v>
      </c>
      <c r="I1091">
        <v>51.2</v>
      </c>
      <c r="J1091" t="s">
        <v>4</v>
      </c>
      <c r="K1091" t="s">
        <v>3</v>
      </c>
      <c r="L1091">
        <v>7</v>
      </c>
      <c r="M1091">
        <v>1.53</v>
      </c>
      <c r="N1091">
        <v>1.57</v>
      </c>
      <c r="O1091">
        <v>1.58</v>
      </c>
      <c r="P1091" t="s">
        <v>12</v>
      </c>
      <c r="Q1091" t="s">
        <v>13</v>
      </c>
      <c r="R1091" t="s">
        <v>0</v>
      </c>
      <c r="S1091">
        <v>0</v>
      </c>
    </row>
    <row r="1092" spans="1:19" x14ac:dyDescent="0.3">
      <c r="A1092">
        <v>1091</v>
      </c>
      <c r="B1092">
        <v>20.8</v>
      </c>
      <c r="C1092" t="s">
        <v>5</v>
      </c>
      <c r="E1092" t="s">
        <v>4</v>
      </c>
      <c r="G1092">
        <v>87.1</v>
      </c>
      <c r="H1092">
        <v>3</v>
      </c>
      <c r="I1092">
        <v>35</v>
      </c>
      <c r="J1092" t="s">
        <v>3</v>
      </c>
      <c r="K1092" t="s">
        <v>4</v>
      </c>
      <c r="M1092">
        <v>3.4</v>
      </c>
      <c r="N1092">
        <v>3.77</v>
      </c>
      <c r="O1092">
        <v>3.77</v>
      </c>
      <c r="P1092" t="s">
        <v>2</v>
      </c>
      <c r="Q1092" t="s">
        <v>1</v>
      </c>
      <c r="R1092" t="s">
        <v>0</v>
      </c>
      <c r="S1092">
        <v>0</v>
      </c>
    </row>
    <row r="1093" spans="1:19" x14ac:dyDescent="0.3">
      <c r="A1093">
        <v>1092</v>
      </c>
      <c r="B1093">
        <v>20.9</v>
      </c>
      <c r="C1093" t="s">
        <v>5</v>
      </c>
      <c r="D1093">
        <v>25000</v>
      </c>
      <c r="E1093" t="s">
        <v>4</v>
      </c>
      <c r="F1093">
        <v>2.0099999999999998</v>
      </c>
      <c r="G1093">
        <v>79.2</v>
      </c>
      <c r="H1093">
        <v>4</v>
      </c>
      <c r="I1093">
        <v>8</v>
      </c>
      <c r="J1093" t="s">
        <v>3</v>
      </c>
      <c r="K1093" t="s">
        <v>4</v>
      </c>
      <c r="L1093">
        <v>4.5999999999999996</v>
      </c>
      <c r="M1093">
        <v>1.33</v>
      </c>
      <c r="N1093">
        <v>0.92</v>
      </c>
      <c r="O1093">
        <v>0.96</v>
      </c>
      <c r="P1093" t="s">
        <v>7</v>
      </c>
      <c r="Q1093" t="s">
        <v>1</v>
      </c>
      <c r="R1093" t="s">
        <v>0</v>
      </c>
      <c r="S1093">
        <v>0</v>
      </c>
    </row>
    <row r="1094" spans="1:19" x14ac:dyDescent="0.3">
      <c r="A1094">
        <v>1093</v>
      </c>
      <c r="B1094">
        <v>22.6</v>
      </c>
      <c r="C1094" t="s">
        <v>5</v>
      </c>
      <c r="D1094">
        <v>35536</v>
      </c>
      <c r="E1094" t="s">
        <v>4</v>
      </c>
      <c r="F1094">
        <v>4.99</v>
      </c>
      <c r="G1094">
        <v>83.9</v>
      </c>
      <c r="H1094">
        <v>3</v>
      </c>
      <c r="I1094">
        <v>33.299999999999997</v>
      </c>
      <c r="J1094" t="s">
        <v>3</v>
      </c>
      <c r="K1094" t="s">
        <v>4</v>
      </c>
      <c r="L1094">
        <v>5.2</v>
      </c>
      <c r="M1094">
        <v>2.7</v>
      </c>
      <c r="N1094">
        <v>2.83</v>
      </c>
      <c r="O1094">
        <v>2.83</v>
      </c>
      <c r="P1094" t="s">
        <v>2</v>
      </c>
      <c r="Q1094" t="s">
        <v>1</v>
      </c>
      <c r="R1094" t="s">
        <v>0</v>
      </c>
      <c r="S1094">
        <v>0</v>
      </c>
    </row>
    <row r="1095" spans="1:19" x14ac:dyDescent="0.3">
      <c r="A1095">
        <v>1094</v>
      </c>
      <c r="B1095">
        <v>21.1</v>
      </c>
      <c r="C1095" t="s">
        <v>5</v>
      </c>
      <c r="D1095">
        <v>52217</v>
      </c>
      <c r="E1095" t="s">
        <v>3</v>
      </c>
      <c r="F1095">
        <v>3.86</v>
      </c>
      <c r="G1095">
        <v>78.099999999999994</v>
      </c>
      <c r="H1095">
        <v>0</v>
      </c>
      <c r="I1095">
        <v>26.2</v>
      </c>
      <c r="J1095" t="s">
        <v>3</v>
      </c>
      <c r="K1095" t="s">
        <v>3</v>
      </c>
      <c r="L1095">
        <v>5.8</v>
      </c>
      <c r="M1095">
        <v>2.35</v>
      </c>
      <c r="N1095">
        <v>3</v>
      </c>
      <c r="O1095">
        <v>3</v>
      </c>
      <c r="P1095" t="s">
        <v>2</v>
      </c>
      <c r="Q1095" t="s">
        <v>1</v>
      </c>
      <c r="R1095" t="s">
        <v>9</v>
      </c>
      <c r="S1095">
        <v>0</v>
      </c>
    </row>
    <row r="1096" spans="1:19" x14ac:dyDescent="0.3">
      <c r="A1096">
        <v>1095</v>
      </c>
      <c r="B1096">
        <v>22.6</v>
      </c>
      <c r="C1096" t="s">
        <v>5</v>
      </c>
      <c r="D1096">
        <v>50143</v>
      </c>
      <c r="E1096" t="s">
        <v>4</v>
      </c>
      <c r="F1096">
        <v>1.75</v>
      </c>
      <c r="G1096">
        <v>81.8</v>
      </c>
      <c r="H1096">
        <v>1</v>
      </c>
      <c r="I1096">
        <v>33.5</v>
      </c>
      <c r="J1096" t="s">
        <v>3</v>
      </c>
      <c r="K1096" t="s">
        <v>3</v>
      </c>
      <c r="L1096">
        <v>3.7</v>
      </c>
      <c r="M1096">
        <v>2.4</v>
      </c>
      <c r="N1096">
        <v>2.08</v>
      </c>
      <c r="O1096">
        <v>2.06</v>
      </c>
      <c r="P1096" t="s">
        <v>7</v>
      </c>
      <c r="Q1096" t="s">
        <v>13</v>
      </c>
      <c r="R1096" t="s">
        <v>0</v>
      </c>
      <c r="S1096">
        <v>0</v>
      </c>
    </row>
    <row r="1097" spans="1:19" x14ac:dyDescent="0.3">
      <c r="A1097">
        <v>1096</v>
      </c>
      <c r="B1097">
        <v>20.8</v>
      </c>
      <c r="C1097" t="s">
        <v>11</v>
      </c>
      <c r="D1097">
        <v>25000</v>
      </c>
      <c r="E1097" t="s">
        <v>4</v>
      </c>
      <c r="F1097">
        <v>2.92</v>
      </c>
      <c r="G1097">
        <v>85.8</v>
      </c>
      <c r="H1097">
        <v>1</v>
      </c>
      <c r="I1097">
        <v>49.4</v>
      </c>
      <c r="J1097" t="s">
        <v>4</v>
      </c>
      <c r="K1097" t="s">
        <v>3</v>
      </c>
      <c r="L1097">
        <v>7.4</v>
      </c>
      <c r="M1097">
        <v>1.03</v>
      </c>
      <c r="N1097">
        <v>1.49</v>
      </c>
      <c r="O1097">
        <v>1.51</v>
      </c>
      <c r="P1097" t="s">
        <v>10</v>
      </c>
      <c r="Q1097" t="s">
        <v>13</v>
      </c>
      <c r="R1097" t="s">
        <v>9</v>
      </c>
      <c r="S1097">
        <v>0</v>
      </c>
    </row>
    <row r="1098" spans="1:19" x14ac:dyDescent="0.3">
      <c r="A1098">
        <v>1097</v>
      </c>
      <c r="B1098">
        <v>21.2</v>
      </c>
      <c r="C1098" t="s">
        <v>11</v>
      </c>
      <c r="D1098">
        <v>25667</v>
      </c>
      <c r="E1098" t="s">
        <v>4</v>
      </c>
      <c r="F1098">
        <v>5.7</v>
      </c>
      <c r="G1098">
        <v>74.3</v>
      </c>
      <c r="H1098">
        <v>2</v>
      </c>
      <c r="I1098">
        <v>38.5</v>
      </c>
      <c r="J1098" t="s">
        <v>3</v>
      </c>
      <c r="K1098" t="s">
        <v>4</v>
      </c>
      <c r="L1098">
        <v>1</v>
      </c>
      <c r="M1098">
        <v>4</v>
      </c>
      <c r="N1098">
        <v>3.67</v>
      </c>
      <c r="O1098">
        <v>3.67</v>
      </c>
      <c r="P1098" t="s">
        <v>2</v>
      </c>
      <c r="Q1098" t="s">
        <v>13</v>
      </c>
      <c r="R1098" t="s">
        <v>9</v>
      </c>
      <c r="S1098">
        <v>0</v>
      </c>
    </row>
    <row r="1099" spans="1:19" x14ac:dyDescent="0.3">
      <c r="A1099">
        <v>1098</v>
      </c>
      <c r="B1099">
        <v>17</v>
      </c>
      <c r="C1099" t="s">
        <v>5</v>
      </c>
      <c r="D1099">
        <v>25000</v>
      </c>
      <c r="E1099" t="s">
        <v>4</v>
      </c>
      <c r="F1099">
        <v>3.06</v>
      </c>
      <c r="G1099">
        <v>85.5</v>
      </c>
      <c r="H1099">
        <v>2</v>
      </c>
      <c r="I1099">
        <v>27.3</v>
      </c>
      <c r="J1099" t="s">
        <v>3</v>
      </c>
      <c r="K1099" t="s">
        <v>4</v>
      </c>
      <c r="L1099">
        <v>3.4</v>
      </c>
      <c r="M1099">
        <v>3.79</v>
      </c>
      <c r="N1099">
        <v>3.24</v>
      </c>
      <c r="O1099">
        <v>3.32</v>
      </c>
      <c r="P1099" t="s">
        <v>12</v>
      </c>
      <c r="Q1099" t="s">
        <v>6</v>
      </c>
      <c r="R1099" t="s">
        <v>9</v>
      </c>
      <c r="S1099">
        <v>0</v>
      </c>
    </row>
    <row r="1100" spans="1:19" x14ac:dyDescent="0.3">
      <c r="A1100">
        <v>1099</v>
      </c>
      <c r="B1100">
        <v>23</v>
      </c>
      <c r="C1100" t="s">
        <v>5</v>
      </c>
      <c r="D1100">
        <v>32411</v>
      </c>
      <c r="E1100" t="s">
        <v>4</v>
      </c>
      <c r="F1100">
        <v>4.8099999999999996</v>
      </c>
      <c r="G1100">
        <v>84.5</v>
      </c>
      <c r="H1100">
        <v>1</v>
      </c>
      <c r="I1100">
        <v>13.2</v>
      </c>
      <c r="J1100" t="s">
        <v>3</v>
      </c>
      <c r="K1100" t="s">
        <v>3</v>
      </c>
      <c r="L1100">
        <v>2.5</v>
      </c>
      <c r="M1100">
        <v>3.77</v>
      </c>
      <c r="N1100">
        <v>3.29</v>
      </c>
      <c r="O1100">
        <v>3.31</v>
      </c>
      <c r="P1100" t="s">
        <v>7</v>
      </c>
      <c r="Q1100" t="s">
        <v>13</v>
      </c>
      <c r="R1100" t="s">
        <v>0</v>
      </c>
      <c r="S1100">
        <v>0</v>
      </c>
    </row>
    <row r="1101" spans="1:19" x14ac:dyDescent="0.3">
      <c r="A1101">
        <v>1100</v>
      </c>
      <c r="B1101">
        <v>21.8</v>
      </c>
      <c r="C1101" t="s">
        <v>11</v>
      </c>
      <c r="D1101">
        <v>25000</v>
      </c>
      <c r="E1101" t="s">
        <v>4</v>
      </c>
      <c r="F1101">
        <v>3.04</v>
      </c>
      <c r="G1101">
        <v>70.099999999999994</v>
      </c>
      <c r="H1101">
        <v>1</v>
      </c>
      <c r="I1101">
        <v>40.5</v>
      </c>
      <c r="J1101" t="s">
        <v>4</v>
      </c>
      <c r="K1101" t="s">
        <v>3</v>
      </c>
      <c r="L1101">
        <v>7.5</v>
      </c>
      <c r="M1101">
        <v>0.86</v>
      </c>
      <c r="N1101">
        <v>0.72</v>
      </c>
      <c r="O1101">
        <v>0.72</v>
      </c>
      <c r="P1101" t="s">
        <v>12</v>
      </c>
      <c r="Q1101" t="s">
        <v>1</v>
      </c>
      <c r="R1101" t="s">
        <v>0</v>
      </c>
      <c r="S1101">
        <v>1</v>
      </c>
    </row>
    <row r="1102" spans="1:19" x14ac:dyDescent="0.3">
      <c r="A1102">
        <v>1101</v>
      </c>
      <c r="B1102">
        <v>23.2</v>
      </c>
      <c r="C1102" t="s">
        <v>11</v>
      </c>
      <c r="D1102">
        <v>42410</v>
      </c>
      <c r="E1102" t="s">
        <v>4</v>
      </c>
      <c r="F1102">
        <v>4.32</v>
      </c>
      <c r="G1102">
        <v>76</v>
      </c>
      <c r="H1102">
        <v>2</v>
      </c>
      <c r="I1102">
        <v>36.1</v>
      </c>
      <c r="J1102" t="s">
        <v>3</v>
      </c>
      <c r="K1102" t="s">
        <v>3</v>
      </c>
      <c r="L1102">
        <v>5.9</v>
      </c>
      <c r="M1102">
        <v>1.9</v>
      </c>
      <c r="N1102">
        <v>1.1399999999999999</v>
      </c>
      <c r="O1102">
        <v>1.19</v>
      </c>
      <c r="P1102" t="s">
        <v>12</v>
      </c>
      <c r="Q1102" t="s">
        <v>1</v>
      </c>
      <c r="R1102" t="s">
        <v>9</v>
      </c>
      <c r="S1102">
        <v>1</v>
      </c>
    </row>
    <row r="1103" spans="1:19" x14ac:dyDescent="0.3">
      <c r="A1103">
        <v>1102</v>
      </c>
      <c r="B1103">
        <v>17</v>
      </c>
      <c r="C1103" t="s">
        <v>5</v>
      </c>
      <c r="D1103">
        <v>29393</v>
      </c>
      <c r="E1103" t="s">
        <v>4</v>
      </c>
      <c r="F1103">
        <v>4.68</v>
      </c>
      <c r="G1103">
        <v>76.5</v>
      </c>
      <c r="H1103">
        <v>5</v>
      </c>
      <c r="I1103">
        <v>43.9</v>
      </c>
      <c r="J1103" t="s">
        <v>4</v>
      </c>
      <c r="K1103" t="s">
        <v>3</v>
      </c>
      <c r="L1103">
        <v>4.5</v>
      </c>
      <c r="M1103">
        <v>2.68</v>
      </c>
      <c r="N1103">
        <v>3.03</v>
      </c>
      <c r="O1103">
        <v>2.95</v>
      </c>
      <c r="P1103" t="s">
        <v>12</v>
      </c>
      <c r="Q1103" t="s">
        <v>1</v>
      </c>
      <c r="R1103" t="s">
        <v>15</v>
      </c>
      <c r="S1103">
        <v>0</v>
      </c>
    </row>
    <row r="1104" spans="1:19" x14ac:dyDescent="0.3">
      <c r="A1104">
        <v>1103</v>
      </c>
      <c r="B1104">
        <v>25.6</v>
      </c>
      <c r="C1104" t="s">
        <v>11</v>
      </c>
      <c r="D1104">
        <v>25000</v>
      </c>
      <c r="E1104" t="s">
        <v>4</v>
      </c>
      <c r="F1104">
        <v>3.14</v>
      </c>
      <c r="G1104">
        <v>78.400000000000006</v>
      </c>
      <c r="H1104">
        <v>2</v>
      </c>
      <c r="I1104">
        <v>28.3</v>
      </c>
      <c r="J1104" t="s">
        <v>3</v>
      </c>
      <c r="K1104" t="s">
        <v>3</v>
      </c>
      <c r="L1104">
        <v>5.7</v>
      </c>
      <c r="M1104">
        <v>1.96</v>
      </c>
      <c r="N1104">
        <v>1.43</v>
      </c>
      <c r="O1104">
        <v>1.43</v>
      </c>
      <c r="P1104" t="s">
        <v>2</v>
      </c>
      <c r="Q1104" t="s">
        <v>13</v>
      </c>
      <c r="R1104" t="s">
        <v>15</v>
      </c>
      <c r="S1104">
        <v>0</v>
      </c>
    </row>
    <row r="1105" spans="1:19" x14ac:dyDescent="0.3">
      <c r="A1105">
        <v>1104</v>
      </c>
      <c r="B1105">
        <v>20.7</v>
      </c>
      <c r="C1105" t="s">
        <v>11</v>
      </c>
      <c r="D1105">
        <v>25000</v>
      </c>
      <c r="E1105" t="s">
        <v>4</v>
      </c>
      <c r="F1105">
        <v>3.83</v>
      </c>
      <c r="G1105">
        <v>74.400000000000006</v>
      </c>
      <c r="H1105">
        <v>1</v>
      </c>
      <c r="I1105">
        <v>33.5</v>
      </c>
      <c r="J1105" t="s">
        <v>4</v>
      </c>
      <c r="K1105" t="s">
        <v>3</v>
      </c>
      <c r="L1105">
        <v>6</v>
      </c>
      <c r="M1105">
        <v>3.09</v>
      </c>
      <c r="N1105">
        <v>2.77</v>
      </c>
      <c r="O1105">
        <v>2.77</v>
      </c>
      <c r="P1105" t="s">
        <v>2</v>
      </c>
      <c r="Q1105" t="s">
        <v>1</v>
      </c>
      <c r="R1105" t="s">
        <v>9</v>
      </c>
      <c r="S1105">
        <v>0</v>
      </c>
    </row>
    <row r="1106" spans="1:19" x14ac:dyDescent="0.3">
      <c r="A1106">
        <v>1105</v>
      </c>
      <c r="B1106">
        <v>23.4</v>
      </c>
      <c r="C1106" t="s">
        <v>11</v>
      </c>
      <c r="D1106">
        <v>29836</v>
      </c>
      <c r="E1106" t="s">
        <v>4</v>
      </c>
      <c r="F1106">
        <v>4.4000000000000004</v>
      </c>
      <c r="G1106">
        <v>89.5</v>
      </c>
      <c r="H1106">
        <v>1</v>
      </c>
      <c r="I1106">
        <v>27</v>
      </c>
      <c r="J1106" t="s">
        <v>4</v>
      </c>
      <c r="K1106" t="s">
        <v>3</v>
      </c>
      <c r="L1106">
        <v>3.3</v>
      </c>
      <c r="M1106">
        <v>4</v>
      </c>
      <c r="N1106">
        <v>3.54</v>
      </c>
      <c r="O1106">
        <v>3.42</v>
      </c>
      <c r="P1106" t="s">
        <v>10</v>
      </c>
      <c r="Q1106" t="s">
        <v>6</v>
      </c>
      <c r="R1106" t="s">
        <v>9</v>
      </c>
      <c r="S1106">
        <v>0</v>
      </c>
    </row>
    <row r="1107" spans="1:19" x14ac:dyDescent="0.3">
      <c r="A1107">
        <v>1106</v>
      </c>
      <c r="B1107">
        <v>18.7</v>
      </c>
      <c r="C1107" t="s">
        <v>11</v>
      </c>
      <c r="D1107">
        <v>31384</v>
      </c>
      <c r="E1107" t="s">
        <v>3</v>
      </c>
      <c r="F1107">
        <v>3.26</v>
      </c>
      <c r="G1107">
        <v>90.5</v>
      </c>
      <c r="H1107">
        <v>3</v>
      </c>
      <c r="I1107">
        <v>31</v>
      </c>
      <c r="J1107" t="s">
        <v>4</v>
      </c>
      <c r="K1107" t="s">
        <v>4</v>
      </c>
      <c r="L1107">
        <v>5.8</v>
      </c>
      <c r="M1107">
        <v>2.56</v>
      </c>
      <c r="N1107">
        <v>2.73</v>
      </c>
      <c r="O1107">
        <v>2.72</v>
      </c>
      <c r="P1107" t="s">
        <v>7</v>
      </c>
      <c r="Q1107" t="s">
        <v>14</v>
      </c>
      <c r="R1107" t="s">
        <v>15</v>
      </c>
      <c r="S1107">
        <v>0</v>
      </c>
    </row>
    <row r="1108" spans="1:19" x14ac:dyDescent="0.3">
      <c r="A1108">
        <v>1107</v>
      </c>
      <c r="B1108">
        <v>22.3</v>
      </c>
      <c r="C1108" t="s">
        <v>11</v>
      </c>
      <c r="D1108">
        <v>25000</v>
      </c>
      <c r="E1108" t="s">
        <v>4</v>
      </c>
      <c r="F1108">
        <v>3.73</v>
      </c>
      <c r="G1108">
        <v>75.7</v>
      </c>
      <c r="H1108">
        <v>1</v>
      </c>
      <c r="I1108">
        <v>11.8</v>
      </c>
      <c r="J1108" t="s">
        <v>3</v>
      </c>
      <c r="K1108" t="s">
        <v>3</v>
      </c>
      <c r="L1108">
        <v>8</v>
      </c>
      <c r="M1108">
        <v>2.98</v>
      </c>
      <c r="N1108">
        <v>2.74</v>
      </c>
      <c r="O1108">
        <v>2.81</v>
      </c>
      <c r="P1108" t="s">
        <v>10</v>
      </c>
      <c r="Q1108" t="s">
        <v>8</v>
      </c>
      <c r="R1108" t="s">
        <v>0</v>
      </c>
      <c r="S1108">
        <v>0</v>
      </c>
    </row>
    <row r="1109" spans="1:19" x14ac:dyDescent="0.3">
      <c r="A1109">
        <v>1108</v>
      </c>
      <c r="B1109">
        <v>18.7</v>
      </c>
      <c r="C1109" t="s">
        <v>11</v>
      </c>
      <c r="D1109">
        <v>25000</v>
      </c>
      <c r="E1109" t="s">
        <v>4</v>
      </c>
      <c r="F1109">
        <v>2.77</v>
      </c>
      <c r="G1109">
        <v>72.8</v>
      </c>
      <c r="H1109">
        <v>3</v>
      </c>
      <c r="I1109">
        <v>33.799999999999997</v>
      </c>
      <c r="J1109" t="s">
        <v>3</v>
      </c>
      <c r="K1109" t="s">
        <v>3</v>
      </c>
      <c r="L1109">
        <v>8.3000000000000007</v>
      </c>
      <c r="M1109">
        <v>1.64</v>
      </c>
      <c r="N1109">
        <v>1.51</v>
      </c>
      <c r="O1109">
        <v>1.54</v>
      </c>
      <c r="P1109" t="s">
        <v>7</v>
      </c>
      <c r="Q1109" t="s">
        <v>8</v>
      </c>
      <c r="R1109" t="s">
        <v>9</v>
      </c>
      <c r="S1109">
        <v>1</v>
      </c>
    </row>
    <row r="1110" spans="1:19" x14ac:dyDescent="0.3">
      <c r="A1110">
        <v>1109</v>
      </c>
      <c r="B1110">
        <v>19.600000000000001</v>
      </c>
      <c r="C1110" t="s">
        <v>5</v>
      </c>
      <c r="D1110">
        <v>30753</v>
      </c>
      <c r="E1110" t="s">
        <v>4</v>
      </c>
      <c r="F1110">
        <v>4.1399999999999997</v>
      </c>
      <c r="G1110">
        <v>81.900000000000006</v>
      </c>
      <c r="H1110">
        <v>0</v>
      </c>
      <c r="I1110">
        <v>34.6</v>
      </c>
      <c r="J1110" t="s">
        <v>3</v>
      </c>
      <c r="K1110" t="s">
        <v>3</v>
      </c>
      <c r="L1110">
        <v>7</v>
      </c>
      <c r="M1110">
        <v>2.0699999999999998</v>
      </c>
      <c r="N1110">
        <v>2.1800000000000002</v>
      </c>
      <c r="O1110">
        <v>2.17</v>
      </c>
      <c r="P1110" t="s">
        <v>7</v>
      </c>
      <c r="Q1110" t="s">
        <v>8</v>
      </c>
      <c r="R1110" t="s">
        <v>15</v>
      </c>
      <c r="S1110">
        <v>0</v>
      </c>
    </row>
    <row r="1111" spans="1:19" x14ac:dyDescent="0.3">
      <c r="A1111">
        <v>1110</v>
      </c>
      <c r="B1111">
        <v>25.2</v>
      </c>
      <c r="C1111" t="s">
        <v>11</v>
      </c>
      <c r="D1111">
        <v>25000</v>
      </c>
      <c r="E1111" t="s">
        <v>3</v>
      </c>
      <c r="F1111">
        <v>5.4</v>
      </c>
      <c r="G1111">
        <v>92.6</v>
      </c>
      <c r="H1111">
        <v>2</v>
      </c>
      <c r="I1111">
        <v>24</v>
      </c>
      <c r="J1111" t="s">
        <v>3</v>
      </c>
      <c r="K1111" t="s">
        <v>3</v>
      </c>
      <c r="L1111">
        <v>6</v>
      </c>
      <c r="M1111">
        <v>2.2400000000000002</v>
      </c>
      <c r="N1111">
        <v>2.0699999999999998</v>
      </c>
      <c r="O1111">
        <v>2.0499999999999998</v>
      </c>
      <c r="P1111" t="s">
        <v>10</v>
      </c>
      <c r="Q1111" t="s">
        <v>14</v>
      </c>
      <c r="R1111" t="s">
        <v>15</v>
      </c>
      <c r="S1111">
        <v>0</v>
      </c>
    </row>
    <row r="1112" spans="1:19" x14ac:dyDescent="0.3">
      <c r="A1112">
        <v>1111</v>
      </c>
      <c r="B1112">
        <v>20.6</v>
      </c>
      <c r="C1112" t="s">
        <v>11</v>
      </c>
      <c r="D1112">
        <v>25000</v>
      </c>
      <c r="E1112" t="s">
        <v>4</v>
      </c>
      <c r="F1112">
        <v>2.4900000000000002</v>
      </c>
      <c r="G1112">
        <v>99.2</v>
      </c>
      <c r="H1112">
        <v>5</v>
      </c>
      <c r="I1112">
        <v>37.299999999999997</v>
      </c>
      <c r="J1112" t="s">
        <v>3</v>
      </c>
      <c r="K1112" t="s">
        <v>4</v>
      </c>
      <c r="L1112">
        <v>7.2</v>
      </c>
      <c r="M1112">
        <v>2.99</v>
      </c>
      <c r="N1112">
        <v>2.69</v>
      </c>
      <c r="O1112">
        <v>2.64</v>
      </c>
      <c r="P1112" t="s">
        <v>7</v>
      </c>
      <c r="Q1112" t="s">
        <v>1</v>
      </c>
      <c r="R1112" t="s">
        <v>0</v>
      </c>
      <c r="S1112">
        <v>0</v>
      </c>
    </row>
    <row r="1113" spans="1:19" x14ac:dyDescent="0.3">
      <c r="A1113">
        <v>1112</v>
      </c>
      <c r="B1113">
        <v>21.5</v>
      </c>
      <c r="C1113" t="s">
        <v>11</v>
      </c>
      <c r="D1113">
        <v>25000</v>
      </c>
      <c r="E1113" t="s">
        <v>4</v>
      </c>
      <c r="F1113">
        <v>3.08</v>
      </c>
      <c r="G1113">
        <v>76.599999999999994</v>
      </c>
      <c r="H1113">
        <v>2</v>
      </c>
      <c r="I1113">
        <v>40.5</v>
      </c>
      <c r="J1113" t="s">
        <v>3</v>
      </c>
      <c r="K1113" t="s">
        <v>3</v>
      </c>
      <c r="L1113">
        <v>6.8</v>
      </c>
      <c r="M1113">
        <v>1.43</v>
      </c>
      <c r="N1113">
        <v>1.21</v>
      </c>
      <c r="O1113">
        <v>1.1200000000000001</v>
      </c>
      <c r="P1113" t="s">
        <v>12</v>
      </c>
      <c r="Q1113" t="s">
        <v>13</v>
      </c>
      <c r="R1113" t="s">
        <v>0</v>
      </c>
      <c r="S1113">
        <v>0</v>
      </c>
    </row>
    <row r="1114" spans="1:19" x14ac:dyDescent="0.3">
      <c r="A1114">
        <v>1113</v>
      </c>
      <c r="B1114">
        <v>22.9</v>
      </c>
      <c r="C1114" t="s">
        <v>11</v>
      </c>
      <c r="E1114" t="s">
        <v>4</v>
      </c>
      <c r="G1114">
        <v>63.8</v>
      </c>
      <c r="H1114">
        <v>0</v>
      </c>
      <c r="I1114">
        <v>46.8</v>
      </c>
      <c r="J1114" t="s">
        <v>3</v>
      </c>
      <c r="K1114" t="s">
        <v>3</v>
      </c>
      <c r="M1114">
        <v>2.14</v>
      </c>
      <c r="N1114">
        <v>2.57</v>
      </c>
      <c r="O1114">
        <v>2.5299999999999998</v>
      </c>
      <c r="P1114" t="s">
        <v>12</v>
      </c>
      <c r="Q1114" t="s">
        <v>1</v>
      </c>
      <c r="R1114" t="s">
        <v>9</v>
      </c>
      <c r="S1114">
        <v>0</v>
      </c>
    </row>
    <row r="1115" spans="1:19" x14ac:dyDescent="0.3">
      <c r="A1115">
        <v>1114</v>
      </c>
      <c r="B1115">
        <v>22.1</v>
      </c>
      <c r="C1115" t="s">
        <v>5</v>
      </c>
      <c r="D1115">
        <v>25000</v>
      </c>
      <c r="E1115" t="s">
        <v>4</v>
      </c>
      <c r="F1115">
        <v>4.67</v>
      </c>
      <c r="G1115">
        <v>70.099999999999994</v>
      </c>
      <c r="H1115">
        <v>1</v>
      </c>
      <c r="I1115">
        <v>17.8</v>
      </c>
      <c r="J1115" t="s">
        <v>4</v>
      </c>
      <c r="K1115" t="s">
        <v>3</v>
      </c>
      <c r="L1115">
        <v>3.9</v>
      </c>
      <c r="M1115">
        <v>1.61</v>
      </c>
      <c r="N1115">
        <v>1.39</v>
      </c>
      <c r="O1115">
        <v>1.48</v>
      </c>
      <c r="P1115" t="s">
        <v>12</v>
      </c>
      <c r="Q1115" t="s">
        <v>13</v>
      </c>
      <c r="R1115" t="s">
        <v>17</v>
      </c>
      <c r="S1115">
        <v>1</v>
      </c>
    </row>
    <row r="1116" spans="1:19" x14ac:dyDescent="0.3">
      <c r="A1116">
        <v>1115</v>
      </c>
      <c r="B1116">
        <v>21.3</v>
      </c>
      <c r="C1116" t="s">
        <v>5</v>
      </c>
      <c r="D1116">
        <v>25000</v>
      </c>
      <c r="E1116" t="s">
        <v>4</v>
      </c>
      <c r="F1116">
        <v>1.92</v>
      </c>
      <c r="G1116">
        <v>67.7</v>
      </c>
      <c r="H1116">
        <v>1</v>
      </c>
      <c r="I1116">
        <v>38</v>
      </c>
      <c r="J1116" t="s">
        <v>4</v>
      </c>
      <c r="K1116" t="s">
        <v>4</v>
      </c>
      <c r="L1116">
        <v>6.6</v>
      </c>
      <c r="M1116">
        <v>1.58</v>
      </c>
      <c r="N1116">
        <v>1.49</v>
      </c>
      <c r="O1116">
        <v>1.49</v>
      </c>
      <c r="P1116" t="s">
        <v>2</v>
      </c>
      <c r="Q1116" t="s">
        <v>13</v>
      </c>
      <c r="R1116" t="s">
        <v>15</v>
      </c>
      <c r="S1116">
        <v>1</v>
      </c>
    </row>
    <row r="1117" spans="1:19" x14ac:dyDescent="0.3">
      <c r="A1117">
        <v>1116</v>
      </c>
      <c r="B1117">
        <v>21.8</v>
      </c>
      <c r="C1117" t="s">
        <v>5</v>
      </c>
      <c r="D1117">
        <v>29980</v>
      </c>
      <c r="E1117" t="s">
        <v>3</v>
      </c>
      <c r="F1117">
        <v>4.6500000000000004</v>
      </c>
      <c r="G1117">
        <v>85.3</v>
      </c>
      <c r="H1117">
        <v>3</v>
      </c>
      <c r="I1117">
        <v>46.1</v>
      </c>
      <c r="J1117" t="s">
        <v>3</v>
      </c>
      <c r="K1117" t="s">
        <v>3</v>
      </c>
      <c r="L1117">
        <v>4.3</v>
      </c>
      <c r="M1117">
        <v>2.57</v>
      </c>
      <c r="N1117">
        <v>2.16</v>
      </c>
      <c r="O1117">
        <v>2.16</v>
      </c>
      <c r="P1117" t="s">
        <v>2</v>
      </c>
      <c r="Q1117" t="s">
        <v>14</v>
      </c>
      <c r="R1117" t="s">
        <v>0</v>
      </c>
      <c r="S1117">
        <v>0</v>
      </c>
    </row>
    <row r="1118" spans="1:19" x14ac:dyDescent="0.3">
      <c r="A1118">
        <v>1117</v>
      </c>
      <c r="B1118">
        <v>26.3</v>
      </c>
      <c r="C1118" t="s">
        <v>5</v>
      </c>
      <c r="D1118">
        <v>25000</v>
      </c>
      <c r="E1118" t="s">
        <v>4</v>
      </c>
      <c r="F1118">
        <v>4.74</v>
      </c>
      <c r="G1118">
        <v>82.8</v>
      </c>
      <c r="H1118">
        <v>1</v>
      </c>
      <c r="I1118">
        <v>25.8</v>
      </c>
      <c r="J1118" t="s">
        <v>4</v>
      </c>
      <c r="K1118" t="s">
        <v>4</v>
      </c>
      <c r="L1118">
        <v>3.7</v>
      </c>
      <c r="M1118">
        <v>4</v>
      </c>
      <c r="N1118">
        <v>4</v>
      </c>
      <c r="O1118">
        <v>4</v>
      </c>
      <c r="P1118" t="s">
        <v>2</v>
      </c>
      <c r="Q1118" t="s">
        <v>13</v>
      </c>
      <c r="R1118" t="s">
        <v>9</v>
      </c>
      <c r="S1118">
        <v>0</v>
      </c>
    </row>
    <row r="1119" spans="1:19" x14ac:dyDescent="0.3">
      <c r="A1119">
        <v>1118</v>
      </c>
      <c r="B1119">
        <v>20.9</v>
      </c>
      <c r="C1119" t="s">
        <v>5</v>
      </c>
      <c r="D1119">
        <v>31021</v>
      </c>
      <c r="E1119" t="s">
        <v>4</v>
      </c>
      <c r="F1119">
        <v>5.18</v>
      </c>
      <c r="G1119">
        <v>83.7</v>
      </c>
      <c r="H1119">
        <v>2</v>
      </c>
      <c r="I1119">
        <v>46.7</v>
      </c>
      <c r="J1119" t="s">
        <v>3</v>
      </c>
      <c r="K1119" t="s">
        <v>4</v>
      </c>
      <c r="L1119">
        <v>7.8</v>
      </c>
      <c r="M1119">
        <v>0.91</v>
      </c>
      <c r="N1119">
        <v>0.99</v>
      </c>
      <c r="O1119">
        <v>1.06</v>
      </c>
      <c r="P1119" t="s">
        <v>10</v>
      </c>
      <c r="Q1119" t="s">
        <v>14</v>
      </c>
      <c r="R1119" t="s">
        <v>15</v>
      </c>
      <c r="S1119">
        <v>0</v>
      </c>
    </row>
    <row r="1120" spans="1:19" x14ac:dyDescent="0.3">
      <c r="A1120">
        <v>1119</v>
      </c>
      <c r="B1120">
        <v>21.4</v>
      </c>
      <c r="C1120" t="s">
        <v>11</v>
      </c>
      <c r="D1120">
        <v>25000</v>
      </c>
      <c r="E1120" t="s">
        <v>3</v>
      </c>
      <c r="F1120">
        <v>4.4800000000000004</v>
      </c>
      <c r="G1120">
        <v>91</v>
      </c>
      <c r="H1120">
        <v>2</v>
      </c>
      <c r="I1120">
        <v>21.3</v>
      </c>
      <c r="J1120" t="s">
        <v>4</v>
      </c>
      <c r="K1120" t="s">
        <v>4</v>
      </c>
      <c r="L1120">
        <v>5.6</v>
      </c>
      <c r="M1120">
        <v>0.52</v>
      </c>
      <c r="N1120">
        <v>0.48</v>
      </c>
      <c r="O1120">
        <v>0.48</v>
      </c>
      <c r="P1120" t="s">
        <v>2</v>
      </c>
      <c r="Q1120" t="s">
        <v>6</v>
      </c>
      <c r="R1120" t="s">
        <v>15</v>
      </c>
      <c r="S1120">
        <v>0</v>
      </c>
    </row>
    <row r="1121" spans="1:19" x14ac:dyDescent="0.3">
      <c r="A1121">
        <v>1120</v>
      </c>
      <c r="B1121">
        <v>23.3</v>
      </c>
      <c r="C1121" t="s">
        <v>5</v>
      </c>
      <c r="D1121">
        <v>32879</v>
      </c>
      <c r="E1121" t="s">
        <v>4</v>
      </c>
      <c r="F1121">
        <v>2.04</v>
      </c>
      <c r="G1121">
        <v>95</v>
      </c>
      <c r="H1121">
        <v>0</v>
      </c>
      <c r="I1121">
        <v>30.8</v>
      </c>
      <c r="J1121" t="s">
        <v>3</v>
      </c>
      <c r="K1121" t="s">
        <v>3</v>
      </c>
      <c r="L1121">
        <v>5.4</v>
      </c>
      <c r="M1121">
        <v>2.67</v>
      </c>
      <c r="N1121">
        <v>2.5499999999999998</v>
      </c>
      <c r="O1121">
        <v>2.57</v>
      </c>
      <c r="P1121" t="s">
        <v>10</v>
      </c>
      <c r="Q1121" t="s">
        <v>6</v>
      </c>
      <c r="R1121" t="s">
        <v>9</v>
      </c>
      <c r="S1121">
        <v>0</v>
      </c>
    </row>
    <row r="1122" spans="1:19" x14ac:dyDescent="0.3">
      <c r="A1122">
        <v>1121</v>
      </c>
      <c r="B1122">
        <v>23.4</v>
      </c>
      <c r="C1122" t="s">
        <v>11</v>
      </c>
      <c r="D1122">
        <v>50359</v>
      </c>
      <c r="E1122" t="s">
        <v>4</v>
      </c>
      <c r="F1122">
        <v>3.83</v>
      </c>
      <c r="G1122">
        <v>88.7</v>
      </c>
      <c r="H1122">
        <v>0</v>
      </c>
      <c r="I1122">
        <v>9.3000000000000007</v>
      </c>
      <c r="J1122" t="s">
        <v>4</v>
      </c>
      <c r="K1122" t="s">
        <v>3</v>
      </c>
      <c r="L1122">
        <v>3.3</v>
      </c>
      <c r="M1122">
        <v>2.29</v>
      </c>
      <c r="N1122">
        <v>2.61</v>
      </c>
      <c r="O1122">
        <v>2.5299999999999998</v>
      </c>
      <c r="P1122" t="s">
        <v>10</v>
      </c>
      <c r="Q1122" t="s">
        <v>14</v>
      </c>
      <c r="R1122" t="s">
        <v>0</v>
      </c>
      <c r="S1122">
        <v>0</v>
      </c>
    </row>
    <row r="1123" spans="1:19" x14ac:dyDescent="0.3">
      <c r="A1123">
        <v>1122</v>
      </c>
      <c r="B1123">
        <v>23.6</v>
      </c>
      <c r="C1123" t="s">
        <v>11</v>
      </c>
      <c r="E1123" t="s">
        <v>4</v>
      </c>
      <c r="G1123">
        <v>87.9</v>
      </c>
      <c r="H1123">
        <v>0</v>
      </c>
      <c r="I1123">
        <v>7.6</v>
      </c>
      <c r="J1123" t="s">
        <v>3</v>
      </c>
      <c r="K1123" t="s">
        <v>4</v>
      </c>
      <c r="M1123">
        <v>4</v>
      </c>
      <c r="N1123">
        <v>4</v>
      </c>
      <c r="O1123">
        <v>3.91</v>
      </c>
      <c r="P1123" t="s">
        <v>7</v>
      </c>
      <c r="Q1123" t="s">
        <v>6</v>
      </c>
      <c r="R1123" t="s">
        <v>15</v>
      </c>
      <c r="S1123">
        <v>0</v>
      </c>
    </row>
    <row r="1124" spans="1:19" x14ac:dyDescent="0.3">
      <c r="A1124">
        <v>1123</v>
      </c>
      <c r="B1124">
        <v>22.4</v>
      </c>
      <c r="C1124" t="s">
        <v>5</v>
      </c>
      <c r="D1124">
        <v>64404</v>
      </c>
      <c r="E1124" t="s">
        <v>4</v>
      </c>
      <c r="F1124">
        <v>4.6900000000000004</v>
      </c>
      <c r="G1124">
        <v>70.2</v>
      </c>
      <c r="H1124">
        <v>5</v>
      </c>
      <c r="I1124">
        <v>11.4</v>
      </c>
      <c r="J1124" t="s">
        <v>4</v>
      </c>
      <c r="K1124" t="s">
        <v>4</v>
      </c>
      <c r="L1124">
        <v>4.9000000000000004</v>
      </c>
      <c r="M1124">
        <v>2.63</v>
      </c>
      <c r="N1124">
        <v>2.57</v>
      </c>
      <c r="O1124">
        <v>2.5299999999999998</v>
      </c>
      <c r="P1124" t="s">
        <v>10</v>
      </c>
      <c r="Q1124" t="s">
        <v>6</v>
      </c>
      <c r="R1124" t="s">
        <v>9</v>
      </c>
      <c r="S1124">
        <v>0</v>
      </c>
    </row>
    <row r="1125" spans="1:19" x14ac:dyDescent="0.3">
      <c r="A1125">
        <v>1124</v>
      </c>
      <c r="B1125">
        <v>18.5</v>
      </c>
      <c r="C1125" t="s">
        <v>5</v>
      </c>
      <c r="E1125" t="s">
        <v>4</v>
      </c>
      <c r="G1125">
        <v>62.9</v>
      </c>
      <c r="H1125">
        <v>0</v>
      </c>
      <c r="I1125">
        <v>47</v>
      </c>
      <c r="J1125" t="s">
        <v>3</v>
      </c>
      <c r="K1125" t="s">
        <v>4</v>
      </c>
      <c r="M1125">
        <v>2.98</v>
      </c>
      <c r="N1125">
        <v>3.21</v>
      </c>
      <c r="O1125">
        <v>3.24</v>
      </c>
      <c r="P1125" t="s">
        <v>7</v>
      </c>
      <c r="Q1125" t="s">
        <v>13</v>
      </c>
      <c r="R1125" t="s">
        <v>0</v>
      </c>
      <c r="S1125">
        <v>0</v>
      </c>
    </row>
    <row r="1126" spans="1:19" x14ac:dyDescent="0.3">
      <c r="A1126">
        <v>1125</v>
      </c>
      <c r="B1126">
        <v>24.6</v>
      </c>
      <c r="C1126" t="s">
        <v>11</v>
      </c>
      <c r="D1126">
        <v>34308</v>
      </c>
      <c r="E1126" t="s">
        <v>4</v>
      </c>
      <c r="F1126">
        <v>3.44</v>
      </c>
      <c r="G1126">
        <v>93.1</v>
      </c>
      <c r="H1126">
        <v>1</v>
      </c>
      <c r="I1126">
        <v>20.7</v>
      </c>
      <c r="J1126" t="s">
        <v>3</v>
      </c>
      <c r="K1126" t="s">
        <v>3</v>
      </c>
      <c r="L1126">
        <v>3.3</v>
      </c>
      <c r="M1126">
        <v>3.32</v>
      </c>
      <c r="N1126">
        <v>3.63</v>
      </c>
      <c r="O1126">
        <v>3.63</v>
      </c>
      <c r="P1126" t="s">
        <v>2</v>
      </c>
      <c r="Q1126" t="s">
        <v>1</v>
      </c>
      <c r="R1126" t="s">
        <v>17</v>
      </c>
      <c r="S1126">
        <v>0</v>
      </c>
    </row>
    <row r="1127" spans="1:19" x14ac:dyDescent="0.3">
      <c r="A1127">
        <v>1126</v>
      </c>
      <c r="B1127">
        <v>18.5</v>
      </c>
      <c r="C1127" t="s">
        <v>11</v>
      </c>
      <c r="D1127">
        <v>25000</v>
      </c>
      <c r="E1127" t="s">
        <v>4</v>
      </c>
      <c r="F1127">
        <v>3.86</v>
      </c>
      <c r="G1127">
        <v>77.599999999999994</v>
      </c>
      <c r="H1127">
        <v>0</v>
      </c>
      <c r="I1127">
        <v>20.7</v>
      </c>
      <c r="J1127" t="s">
        <v>4</v>
      </c>
      <c r="K1127" t="s">
        <v>4</v>
      </c>
      <c r="L1127">
        <v>8.6</v>
      </c>
      <c r="M1127">
        <v>2.82</v>
      </c>
      <c r="N1127">
        <v>3.73</v>
      </c>
      <c r="O1127">
        <v>3.76</v>
      </c>
      <c r="P1127" t="s">
        <v>10</v>
      </c>
      <c r="Q1127" t="s">
        <v>14</v>
      </c>
      <c r="R1127" t="s">
        <v>9</v>
      </c>
      <c r="S1127">
        <v>0</v>
      </c>
    </row>
    <row r="1128" spans="1:19" x14ac:dyDescent="0.3">
      <c r="A1128">
        <v>1127</v>
      </c>
      <c r="B1128">
        <v>21.7</v>
      </c>
      <c r="C1128" t="s">
        <v>11</v>
      </c>
      <c r="D1128">
        <v>25000</v>
      </c>
      <c r="E1128" t="s">
        <v>4</v>
      </c>
      <c r="F1128">
        <v>3.87</v>
      </c>
      <c r="G1128">
        <v>90.8</v>
      </c>
      <c r="H1128">
        <v>5</v>
      </c>
      <c r="I1128">
        <v>34.9</v>
      </c>
      <c r="J1128" t="s">
        <v>4</v>
      </c>
      <c r="K1128" t="s">
        <v>3</v>
      </c>
      <c r="L1128">
        <v>8</v>
      </c>
      <c r="M1128">
        <v>1.1299999999999999</v>
      </c>
      <c r="N1128">
        <v>1.17</v>
      </c>
      <c r="O1128">
        <v>1.23</v>
      </c>
      <c r="P1128" t="s">
        <v>7</v>
      </c>
      <c r="Q1128" t="s">
        <v>6</v>
      </c>
      <c r="R1128" t="s">
        <v>16</v>
      </c>
      <c r="S1128">
        <v>0</v>
      </c>
    </row>
    <row r="1129" spans="1:19" x14ac:dyDescent="0.3">
      <c r="A1129">
        <v>1128</v>
      </c>
      <c r="B1129">
        <v>19.3</v>
      </c>
      <c r="C1129" t="s">
        <v>11</v>
      </c>
      <c r="D1129">
        <v>25000</v>
      </c>
      <c r="E1129" t="s">
        <v>3</v>
      </c>
      <c r="F1129">
        <v>2.35</v>
      </c>
      <c r="G1129">
        <v>83</v>
      </c>
      <c r="H1129">
        <v>1</v>
      </c>
      <c r="I1129">
        <v>21.1</v>
      </c>
      <c r="J1129" t="s">
        <v>3</v>
      </c>
      <c r="K1129" t="s">
        <v>3</v>
      </c>
      <c r="L1129">
        <v>5.3</v>
      </c>
      <c r="M1129">
        <v>1.53</v>
      </c>
      <c r="N1129">
        <v>1.04</v>
      </c>
      <c r="O1129">
        <v>1.05</v>
      </c>
      <c r="P1129" t="s">
        <v>7</v>
      </c>
      <c r="Q1129" t="s">
        <v>1</v>
      </c>
      <c r="R1129" t="s">
        <v>16</v>
      </c>
      <c r="S1129">
        <v>1</v>
      </c>
    </row>
    <row r="1130" spans="1:19" x14ac:dyDescent="0.3">
      <c r="A1130">
        <v>1129</v>
      </c>
      <c r="B1130">
        <v>20.9</v>
      </c>
      <c r="C1130" t="s">
        <v>11</v>
      </c>
      <c r="D1130">
        <v>29814</v>
      </c>
      <c r="E1130" t="s">
        <v>4</v>
      </c>
      <c r="F1130">
        <v>2.74</v>
      </c>
      <c r="G1130">
        <v>88.3</v>
      </c>
      <c r="H1130">
        <v>1</v>
      </c>
      <c r="I1130">
        <v>44.5</v>
      </c>
      <c r="J1130" t="s">
        <v>3</v>
      </c>
      <c r="K1130" t="s">
        <v>3</v>
      </c>
      <c r="L1130">
        <v>3.1</v>
      </c>
      <c r="M1130">
        <v>2.27</v>
      </c>
      <c r="N1130">
        <v>2.04</v>
      </c>
      <c r="O1130">
        <v>2.0299999999999998</v>
      </c>
      <c r="P1130" t="s">
        <v>10</v>
      </c>
      <c r="Q1130" t="s">
        <v>6</v>
      </c>
      <c r="R1130" t="s">
        <v>9</v>
      </c>
      <c r="S1130">
        <v>0</v>
      </c>
    </row>
    <row r="1131" spans="1:19" x14ac:dyDescent="0.3">
      <c r="A1131">
        <v>1130</v>
      </c>
      <c r="B1131">
        <v>21.7</v>
      </c>
      <c r="C1131" t="s">
        <v>11</v>
      </c>
      <c r="D1131">
        <v>45181</v>
      </c>
      <c r="E1131" t="s">
        <v>4</v>
      </c>
      <c r="F1131">
        <v>3.91</v>
      </c>
      <c r="G1131">
        <v>75</v>
      </c>
      <c r="H1131">
        <v>4</v>
      </c>
      <c r="I1131">
        <v>52.4</v>
      </c>
      <c r="J1131" t="s">
        <v>4</v>
      </c>
      <c r="K1131" t="s">
        <v>3</v>
      </c>
      <c r="L1131">
        <v>2.4</v>
      </c>
      <c r="M1131">
        <v>2.7</v>
      </c>
      <c r="N1131">
        <v>3.26</v>
      </c>
      <c r="O1131">
        <v>3.3</v>
      </c>
      <c r="P1131" t="s">
        <v>12</v>
      </c>
      <c r="Q1131" t="s">
        <v>8</v>
      </c>
      <c r="R1131" t="s">
        <v>9</v>
      </c>
      <c r="S1131">
        <v>0</v>
      </c>
    </row>
    <row r="1132" spans="1:19" x14ac:dyDescent="0.3">
      <c r="A1132">
        <v>1131</v>
      </c>
      <c r="B1132">
        <v>21.7</v>
      </c>
      <c r="C1132" t="s">
        <v>11</v>
      </c>
      <c r="D1132">
        <v>25000</v>
      </c>
      <c r="E1132" t="s">
        <v>4</v>
      </c>
      <c r="F1132">
        <v>2.91</v>
      </c>
      <c r="G1132">
        <v>88.1</v>
      </c>
      <c r="H1132">
        <v>0</v>
      </c>
      <c r="I1132">
        <v>5</v>
      </c>
      <c r="J1132" t="s">
        <v>3</v>
      </c>
      <c r="K1132" t="s">
        <v>3</v>
      </c>
      <c r="L1132">
        <v>4.7</v>
      </c>
      <c r="M1132">
        <v>1.53</v>
      </c>
      <c r="N1132">
        <v>1.44</v>
      </c>
      <c r="O1132">
        <v>1.46</v>
      </c>
      <c r="P1132" t="s">
        <v>10</v>
      </c>
      <c r="Q1132" t="s">
        <v>14</v>
      </c>
      <c r="R1132" t="s">
        <v>15</v>
      </c>
      <c r="S1132">
        <v>0</v>
      </c>
    </row>
    <row r="1133" spans="1:19" x14ac:dyDescent="0.3">
      <c r="A1133">
        <v>1132</v>
      </c>
      <c r="B1133">
        <v>21.9</v>
      </c>
      <c r="C1133" t="s">
        <v>11</v>
      </c>
      <c r="D1133">
        <v>29076</v>
      </c>
      <c r="E1133" t="s">
        <v>4</v>
      </c>
      <c r="F1133">
        <v>2.1</v>
      </c>
      <c r="G1133">
        <v>76.900000000000006</v>
      </c>
      <c r="H1133">
        <v>0</v>
      </c>
      <c r="I1133">
        <v>36.200000000000003</v>
      </c>
      <c r="J1133" t="s">
        <v>4</v>
      </c>
      <c r="K1133" t="s">
        <v>3</v>
      </c>
      <c r="L1133">
        <v>1.4</v>
      </c>
      <c r="M1133">
        <v>3.2</v>
      </c>
      <c r="N1133">
        <v>3</v>
      </c>
      <c r="O1133">
        <v>3</v>
      </c>
      <c r="P1133" t="s">
        <v>10</v>
      </c>
      <c r="Q1133" t="s">
        <v>1</v>
      </c>
      <c r="R1133" t="s">
        <v>15</v>
      </c>
      <c r="S1133">
        <v>0</v>
      </c>
    </row>
    <row r="1134" spans="1:19" x14ac:dyDescent="0.3">
      <c r="A1134">
        <v>1133</v>
      </c>
      <c r="B1134">
        <v>24.6</v>
      </c>
      <c r="C1134" t="s">
        <v>11</v>
      </c>
      <c r="D1134">
        <v>25000</v>
      </c>
      <c r="E1134" t="s">
        <v>4</v>
      </c>
      <c r="F1134">
        <v>2.0299999999999998</v>
      </c>
      <c r="G1134">
        <v>83.8</v>
      </c>
      <c r="H1134">
        <v>2</v>
      </c>
      <c r="I1134">
        <v>5.3</v>
      </c>
      <c r="J1134" t="s">
        <v>4</v>
      </c>
      <c r="K1134" t="s">
        <v>3</v>
      </c>
      <c r="L1134">
        <v>4.7</v>
      </c>
      <c r="M1134">
        <v>2.84</v>
      </c>
      <c r="N1134">
        <v>2.4700000000000002</v>
      </c>
      <c r="O1134">
        <v>2.42</v>
      </c>
      <c r="P1134" t="s">
        <v>7</v>
      </c>
      <c r="Q1134" t="s">
        <v>14</v>
      </c>
      <c r="R1134" t="s">
        <v>9</v>
      </c>
      <c r="S1134">
        <v>0</v>
      </c>
    </row>
    <row r="1135" spans="1:19" x14ac:dyDescent="0.3">
      <c r="A1135">
        <v>1134</v>
      </c>
      <c r="B1135">
        <v>22</v>
      </c>
      <c r="C1135" t="s">
        <v>5</v>
      </c>
      <c r="D1135">
        <v>33712</v>
      </c>
      <c r="E1135" t="s">
        <v>4</v>
      </c>
      <c r="F1135">
        <v>4.9000000000000004</v>
      </c>
      <c r="G1135">
        <v>81.8</v>
      </c>
      <c r="H1135">
        <v>2</v>
      </c>
      <c r="I1135">
        <v>13.7</v>
      </c>
      <c r="J1135" t="s">
        <v>3</v>
      </c>
      <c r="K1135" t="s">
        <v>4</v>
      </c>
      <c r="L1135">
        <v>1.9</v>
      </c>
      <c r="M1135">
        <v>3.17</v>
      </c>
      <c r="N1135">
        <v>3.61</v>
      </c>
      <c r="O1135">
        <v>3.68</v>
      </c>
      <c r="P1135" t="s">
        <v>12</v>
      </c>
      <c r="Q1135" t="s">
        <v>8</v>
      </c>
      <c r="R1135" t="s">
        <v>16</v>
      </c>
      <c r="S1135">
        <v>0</v>
      </c>
    </row>
    <row r="1136" spans="1:19" x14ac:dyDescent="0.3">
      <c r="A1136">
        <v>1135</v>
      </c>
      <c r="B1136">
        <v>20.5</v>
      </c>
      <c r="C1136" t="s">
        <v>11</v>
      </c>
      <c r="D1136">
        <v>25000</v>
      </c>
      <c r="E1136" t="s">
        <v>4</v>
      </c>
      <c r="F1136">
        <v>4.46</v>
      </c>
      <c r="G1136">
        <v>91.5</v>
      </c>
      <c r="H1136">
        <v>3</v>
      </c>
      <c r="I1136">
        <v>35.700000000000003</v>
      </c>
      <c r="J1136" t="s">
        <v>4</v>
      </c>
      <c r="K1136" t="s">
        <v>3</v>
      </c>
      <c r="L1136">
        <v>5.3</v>
      </c>
      <c r="M1136">
        <v>2.98</v>
      </c>
      <c r="N1136">
        <v>2.95</v>
      </c>
      <c r="O1136">
        <v>3.01</v>
      </c>
      <c r="P1136" t="s">
        <v>7</v>
      </c>
      <c r="Q1136" t="s">
        <v>6</v>
      </c>
      <c r="R1136" t="s">
        <v>15</v>
      </c>
      <c r="S1136">
        <v>0</v>
      </c>
    </row>
    <row r="1137" spans="1:19" x14ac:dyDescent="0.3">
      <c r="A1137">
        <v>1136</v>
      </c>
      <c r="B1137">
        <v>23.1</v>
      </c>
      <c r="C1137" t="s">
        <v>5</v>
      </c>
      <c r="D1137">
        <v>25000</v>
      </c>
      <c r="E1137" t="s">
        <v>3</v>
      </c>
      <c r="F1137">
        <v>4.1900000000000004</v>
      </c>
      <c r="G1137">
        <v>88.7</v>
      </c>
      <c r="H1137">
        <v>1</v>
      </c>
      <c r="I1137">
        <v>18.7</v>
      </c>
      <c r="J1137" t="s">
        <v>3</v>
      </c>
      <c r="K1137" t="s">
        <v>3</v>
      </c>
      <c r="L1137">
        <v>5.9</v>
      </c>
      <c r="M1137">
        <v>2.4</v>
      </c>
      <c r="N1137">
        <v>2.14</v>
      </c>
      <c r="O1137">
        <v>2.14</v>
      </c>
      <c r="P1137" t="s">
        <v>12</v>
      </c>
      <c r="Q1137" t="s">
        <v>6</v>
      </c>
      <c r="R1137" t="s">
        <v>15</v>
      </c>
      <c r="S1137">
        <v>0</v>
      </c>
    </row>
    <row r="1138" spans="1:19" x14ac:dyDescent="0.3">
      <c r="A1138">
        <v>1137</v>
      </c>
      <c r="B1138">
        <v>23.6</v>
      </c>
      <c r="C1138" t="s">
        <v>11</v>
      </c>
      <c r="D1138">
        <v>25000</v>
      </c>
      <c r="E1138" t="s">
        <v>4</v>
      </c>
      <c r="F1138">
        <v>3.57</v>
      </c>
      <c r="G1138">
        <v>67.900000000000006</v>
      </c>
      <c r="H1138">
        <v>0</v>
      </c>
      <c r="I1138">
        <v>33.1</v>
      </c>
      <c r="J1138" t="s">
        <v>4</v>
      </c>
      <c r="K1138" t="s">
        <v>4</v>
      </c>
      <c r="L1138">
        <v>5.2</v>
      </c>
      <c r="M1138">
        <v>1.21</v>
      </c>
      <c r="N1138">
        <v>1.29</v>
      </c>
      <c r="O1138">
        <v>1.32</v>
      </c>
      <c r="P1138" t="s">
        <v>12</v>
      </c>
      <c r="Q1138" t="s">
        <v>8</v>
      </c>
      <c r="R1138" t="s">
        <v>15</v>
      </c>
      <c r="S1138">
        <v>1</v>
      </c>
    </row>
    <row r="1139" spans="1:19" x14ac:dyDescent="0.3">
      <c r="A1139">
        <v>1138</v>
      </c>
      <c r="B1139">
        <v>18.3</v>
      </c>
      <c r="C1139" t="s">
        <v>5</v>
      </c>
      <c r="D1139">
        <v>40215</v>
      </c>
      <c r="E1139" t="s">
        <v>4</v>
      </c>
      <c r="F1139">
        <v>3.24</v>
      </c>
      <c r="G1139">
        <v>75.5</v>
      </c>
      <c r="H1139">
        <v>1</v>
      </c>
      <c r="I1139">
        <v>30.4</v>
      </c>
      <c r="J1139" t="s">
        <v>3</v>
      </c>
      <c r="K1139" t="s">
        <v>3</v>
      </c>
      <c r="L1139">
        <v>9.4</v>
      </c>
      <c r="M1139">
        <v>1.36</v>
      </c>
      <c r="N1139">
        <v>0.27</v>
      </c>
      <c r="O1139">
        <v>0.24</v>
      </c>
      <c r="P1139" t="s">
        <v>7</v>
      </c>
      <c r="Q1139" t="s">
        <v>6</v>
      </c>
      <c r="R1139" t="s">
        <v>9</v>
      </c>
      <c r="S1139">
        <v>0</v>
      </c>
    </row>
    <row r="1140" spans="1:19" x14ac:dyDescent="0.3">
      <c r="A1140">
        <v>1139</v>
      </c>
      <c r="B1140">
        <v>22.3</v>
      </c>
      <c r="C1140" t="s">
        <v>5</v>
      </c>
      <c r="D1140">
        <v>28056</v>
      </c>
      <c r="E1140" t="s">
        <v>4</v>
      </c>
      <c r="F1140">
        <v>1.38</v>
      </c>
      <c r="G1140">
        <v>76.900000000000006</v>
      </c>
      <c r="H1140">
        <v>4</v>
      </c>
      <c r="I1140">
        <v>10.199999999999999</v>
      </c>
      <c r="J1140" t="s">
        <v>3</v>
      </c>
      <c r="K1140" t="s">
        <v>4</v>
      </c>
      <c r="L1140">
        <v>5.0999999999999996</v>
      </c>
      <c r="M1140">
        <v>1.5</v>
      </c>
      <c r="N1140">
        <v>0.85</v>
      </c>
      <c r="O1140">
        <v>0.73</v>
      </c>
      <c r="P1140" t="s">
        <v>7</v>
      </c>
      <c r="Q1140" t="s">
        <v>13</v>
      </c>
      <c r="R1140" t="s">
        <v>9</v>
      </c>
      <c r="S1140">
        <v>1</v>
      </c>
    </row>
    <row r="1141" spans="1:19" x14ac:dyDescent="0.3">
      <c r="A1141">
        <v>1140</v>
      </c>
      <c r="B1141">
        <v>22.5</v>
      </c>
      <c r="C1141" t="s">
        <v>5</v>
      </c>
      <c r="D1141">
        <v>25000</v>
      </c>
      <c r="E1141" t="s">
        <v>4</v>
      </c>
      <c r="F1141">
        <v>4.7699999999999996</v>
      </c>
      <c r="G1141">
        <v>87.5</v>
      </c>
      <c r="H1141">
        <v>2</v>
      </c>
      <c r="I1141">
        <v>37.9</v>
      </c>
      <c r="J1141" t="s">
        <v>3</v>
      </c>
      <c r="K1141" t="s">
        <v>3</v>
      </c>
      <c r="L1141">
        <v>8.6</v>
      </c>
      <c r="M1141">
        <v>3.88</v>
      </c>
      <c r="N1141">
        <v>3.8</v>
      </c>
      <c r="O1141">
        <v>3.83</v>
      </c>
      <c r="P1141" t="s">
        <v>12</v>
      </c>
      <c r="Q1141" t="s">
        <v>13</v>
      </c>
      <c r="R1141" t="s">
        <v>9</v>
      </c>
      <c r="S1141">
        <v>0</v>
      </c>
    </row>
    <row r="1142" spans="1:19" x14ac:dyDescent="0.3">
      <c r="A1142">
        <v>1141</v>
      </c>
      <c r="B1142">
        <v>20.3</v>
      </c>
      <c r="C1142" t="s">
        <v>5</v>
      </c>
      <c r="D1142">
        <v>34782</v>
      </c>
      <c r="E1142" t="s">
        <v>4</v>
      </c>
      <c r="F1142">
        <v>3.47</v>
      </c>
      <c r="G1142">
        <v>78</v>
      </c>
      <c r="H1142">
        <v>0</v>
      </c>
      <c r="I1142">
        <v>33.6</v>
      </c>
      <c r="J1142" t="s">
        <v>4</v>
      </c>
      <c r="K1142" t="s">
        <v>3</v>
      </c>
      <c r="L1142">
        <v>6</v>
      </c>
      <c r="M1142">
        <v>0</v>
      </c>
      <c r="N1142">
        <v>0</v>
      </c>
      <c r="O1142">
        <v>0</v>
      </c>
      <c r="P1142" t="s">
        <v>12</v>
      </c>
      <c r="Q1142" t="s">
        <v>13</v>
      </c>
      <c r="R1142" t="s">
        <v>9</v>
      </c>
      <c r="S1142">
        <v>1</v>
      </c>
    </row>
    <row r="1143" spans="1:19" x14ac:dyDescent="0.3">
      <c r="A1143">
        <v>1142</v>
      </c>
      <c r="B1143">
        <v>24</v>
      </c>
      <c r="C1143" t="s">
        <v>5</v>
      </c>
      <c r="D1143">
        <v>25000</v>
      </c>
      <c r="E1143" t="s">
        <v>3</v>
      </c>
      <c r="F1143">
        <v>4.8099999999999996</v>
      </c>
      <c r="G1143">
        <v>73.3</v>
      </c>
      <c r="H1143">
        <v>1</v>
      </c>
      <c r="I1143">
        <v>30.5</v>
      </c>
      <c r="J1143" t="s">
        <v>4</v>
      </c>
      <c r="K1143" t="s">
        <v>4</v>
      </c>
      <c r="L1143">
        <v>9.1</v>
      </c>
      <c r="M1143">
        <v>0.42</v>
      </c>
      <c r="N1143">
        <v>0.46</v>
      </c>
      <c r="O1143">
        <v>0.46</v>
      </c>
      <c r="P1143" t="s">
        <v>2</v>
      </c>
      <c r="Q1143" t="s">
        <v>1</v>
      </c>
      <c r="R1143" t="s">
        <v>0</v>
      </c>
      <c r="S1143">
        <v>0</v>
      </c>
    </row>
    <row r="1144" spans="1:19" x14ac:dyDescent="0.3">
      <c r="A1144">
        <v>1143</v>
      </c>
      <c r="B1144">
        <v>20.7</v>
      </c>
      <c r="C1144" t="s">
        <v>11</v>
      </c>
      <c r="D1144">
        <v>58449</v>
      </c>
      <c r="E1144" t="s">
        <v>4</v>
      </c>
      <c r="F1144">
        <v>2.78</v>
      </c>
      <c r="G1144">
        <v>71.099999999999994</v>
      </c>
      <c r="H1144">
        <v>2</v>
      </c>
      <c r="I1144">
        <v>22.2</v>
      </c>
      <c r="J1144" t="s">
        <v>3</v>
      </c>
      <c r="K1144" t="s">
        <v>4</v>
      </c>
      <c r="L1144">
        <v>2.2999999999999998</v>
      </c>
      <c r="M1144">
        <v>2.19</v>
      </c>
      <c r="N1144">
        <v>1.75</v>
      </c>
      <c r="O1144">
        <v>1.74</v>
      </c>
      <c r="P1144" t="s">
        <v>7</v>
      </c>
      <c r="Q1144" t="s">
        <v>6</v>
      </c>
      <c r="R1144" t="s">
        <v>15</v>
      </c>
      <c r="S1144">
        <v>0</v>
      </c>
    </row>
    <row r="1145" spans="1:19" x14ac:dyDescent="0.3">
      <c r="A1145">
        <v>1144</v>
      </c>
      <c r="B1145">
        <v>21.3</v>
      </c>
      <c r="C1145" t="s">
        <v>5</v>
      </c>
      <c r="D1145">
        <v>25000</v>
      </c>
      <c r="E1145" t="s">
        <v>3</v>
      </c>
      <c r="F1145">
        <v>6.14</v>
      </c>
      <c r="G1145">
        <v>87.8</v>
      </c>
      <c r="H1145">
        <v>1</v>
      </c>
      <c r="I1145">
        <v>34.700000000000003</v>
      </c>
      <c r="J1145" t="s">
        <v>4</v>
      </c>
      <c r="K1145" t="s">
        <v>3</v>
      </c>
      <c r="L1145">
        <v>3.6</v>
      </c>
      <c r="M1145">
        <v>4</v>
      </c>
      <c r="N1145">
        <v>3.74</v>
      </c>
      <c r="O1145">
        <v>3.73</v>
      </c>
      <c r="P1145" t="s">
        <v>12</v>
      </c>
      <c r="Q1145" t="s">
        <v>1</v>
      </c>
      <c r="R1145" t="s">
        <v>0</v>
      </c>
      <c r="S1145">
        <v>0</v>
      </c>
    </row>
    <row r="1146" spans="1:19" x14ac:dyDescent="0.3">
      <c r="A1146">
        <v>1145</v>
      </c>
      <c r="B1146">
        <v>20.6</v>
      </c>
      <c r="C1146" t="s">
        <v>5</v>
      </c>
      <c r="D1146">
        <v>26577</v>
      </c>
      <c r="E1146" t="s">
        <v>4</v>
      </c>
      <c r="F1146">
        <v>4.24</v>
      </c>
      <c r="G1146">
        <v>65.400000000000006</v>
      </c>
      <c r="H1146">
        <v>2</v>
      </c>
      <c r="I1146">
        <v>14.5</v>
      </c>
      <c r="J1146" t="s">
        <v>4</v>
      </c>
      <c r="K1146" t="s">
        <v>3</v>
      </c>
      <c r="L1146">
        <v>5</v>
      </c>
      <c r="M1146">
        <v>2.72</v>
      </c>
      <c r="N1146">
        <v>2.65</v>
      </c>
      <c r="O1146">
        <v>2.62</v>
      </c>
      <c r="P1146" t="s">
        <v>7</v>
      </c>
      <c r="Q1146" t="s">
        <v>6</v>
      </c>
      <c r="R1146" t="s">
        <v>0</v>
      </c>
      <c r="S1146">
        <v>1</v>
      </c>
    </row>
    <row r="1147" spans="1:19" x14ac:dyDescent="0.3">
      <c r="A1147">
        <v>1146</v>
      </c>
      <c r="B1147">
        <v>21</v>
      </c>
      <c r="C1147" t="s">
        <v>5</v>
      </c>
      <c r="D1147">
        <v>25000</v>
      </c>
      <c r="E1147" t="s">
        <v>4</v>
      </c>
      <c r="F1147">
        <v>3.84</v>
      </c>
      <c r="G1147">
        <v>90.4</v>
      </c>
      <c r="H1147">
        <v>2</v>
      </c>
      <c r="I1147">
        <v>17.899999999999999</v>
      </c>
      <c r="J1147" t="s">
        <v>3</v>
      </c>
      <c r="K1147" t="s">
        <v>4</v>
      </c>
      <c r="L1147">
        <v>8.4</v>
      </c>
      <c r="M1147">
        <v>0.98</v>
      </c>
      <c r="N1147">
        <v>0.5</v>
      </c>
      <c r="O1147">
        <v>0.5</v>
      </c>
      <c r="P1147" t="s">
        <v>2</v>
      </c>
      <c r="Q1147" t="s">
        <v>14</v>
      </c>
      <c r="R1147" t="s">
        <v>9</v>
      </c>
      <c r="S1147">
        <v>0</v>
      </c>
    </row>
    <row r="1148" spans="1:19" x14ac:dyDescent="0.3">
      <c r="A1148">
        <v>1147</v>
      </c>
      <c r="B1148">
        <v>18.600000000000001</v>
      </c>
      <c r="C1148" t="s">
        <v>11</v>
      </c>
      <c r="D1148">
        <v>25000</v>
      </c>
      <c r="E1148" t="s">
        <v>4</v>
      </c>
      <c r="F1148">
        <v>2.67</v>
      </c>
      <c r="G1148">
        <v>71.7</v>
      </c>
      <c r="H1148">
        <v>2</v>
      </c>
      <c r="I1148">
        <v>33.9</v>
      </c>
      <c r="J1148" t="s">
        <v>4</v>
      </c>
      <c r="K1148" t="s">
        <v>3</v>
      </c>
      <c r="L1148">
        <v>5.0999999999999996</v>
      </c>
      <c r="M1148">
        <v>2.94</v>
      </c>
      <c r="N1148">
        <v>3.12</v>
      </c>
      <c r="O1148">
        <v>3.17</v>
      </c>
      <c r="P1148" t="s">
        <v>7</v>
      </c>
      <c r="Q1148" t="s">
        <v>1</v>
      </c>
      <c r="R1148" t="s">
        <v>15</v>
      </c>
      <c r="S1148">
        <v>0</v>
      </c>
    </row>
    <row r="1149" spans="1:19" x14ac:dyDescent="0.3">
      <c r="A1149">
        <v>1148</v>
      </c>
      <c r="B1149">
        <v>17.8</v>
      </c>
      <c r="C1149" t="s">
        <v>5</v>
      </c>
      <c r="E1149" t="s">
        <v>3</v>
      </c>
      <c r="G1149">
        <v>78.400000000000006</v>
      </c>
      <c r="H1149">
        <v>0</v>
      </c>
      <c r="I1149">
        <v>42.4</v>
      </c>
      <c r="J1149" t="s">
        <v>3</v>
      </c>
      <c r="K1149" t="s">
        <v>3</v>
      </c>
      <c r="M1149">
        <v>3.76</v>
      </c>
      <c r="N1149">
        <v>4</v>
      </c>
      <c r="O1149">
        <v>3.97</v>
      </c>
      <c r="P1149" t="s">
        <v>12</v>
      </c>
      <c r="Q1149" t="s">
        <v>14</v>
      </c>
      <c r="R1149" t="s">
        <v>15</v>
      </c>
      <c r="S1149">
        <v>0</v>
      </c>
    </row>
    <row r="1150" spans="1:19" x14ac:dyDescent="0.3">
      <c r="A1150">
        <v>1149</v>
      </c>
      <c r="B1150">
        <v>24.5</v>
      </c>
      <c r="C1150" t="s">
        <v>5</v>
      </c>
      <c r="D1150">
        <v>46527</v>
      </c>
      <c r="E1150" t="s">
        <v>4</v>
      </c>
      <c r="F1150">
        <v>4.8</v>
      </c>
      <c r="G1150">
        <v>72.7</v>
      </c>
      <c r="H1150">
        <v>1</v>
      </c>
      <c r="I1150">
        <v>24.3</v>
      </c>
      <c r="J1150" t="s">
        <v>3</v>
      </c>
      <c r="K1150" t="s">
        <v>4</v>
      </c>
      <c r="L1150">
        <v>6.6</v>
      </c>
      <c r="M1150">
        <v>2.09</v>
      </c>
      <c r="N1150">
        <v>2.0699999999999998</v>
      </c>
      <c r="O1150">
        <v>2.0699999999999998</v>
      </c>
      <c r="P1150" t="s">
        <v>2</v>
      </c>
      <c r="Q1150" t="s">
        <v>1</v>
      </c>
      <c r="R1150" t="s">
        <v>9</v>
      </c>
      <c r="S1150">
        <v>0</v>
      </c>
    </row>
    <row r="1151" spans="1:19" x14ac:dyDescent="0.3">
      <c r="A1151">
        <v>1150</v>
      </c>
      <c r="B1151">
        <v>19.100000000000001</v>
      </c>
      <c r="C1151" t="s">
        <v>5</v>
      </c>
      <c r="D1151">
        <v>47094</v>
      </c>
      <c r="E1151" t="s">
        <v>4</v>
      </c>
      <c r="F1151">
        <v>1.0900000000000001</v>
      </c>
      <c r="G1151">
        <v>74.599999999999994</v>
      </c>
      <c r="H1151">
        <v>1</v>
      </c>
      <c r="I1151">
        <v>35.5</v>
      </c>
      <c r="J1151" t="s">
        <v>3</v>
      </c>
      <c r="K1151" t="s">
        <v>3</v>
      </c>
      <c r="L1151">
        <v>7.1</v>
      </c>
      <c r="M1151">
        <v>0.76</v>
      </c>
      <c r="N1151">
        <v>0.48</v>
      </c>
      <c r="O1151">
        <v>0.43</v>
      </c>
      <c r="P1151" t="s">
        <v>10</v>
      </c>
      <c r="Q1151" t="s">
        <v>13</v>
      </c>
      <c r="R1151" t="s">
        <v>15</v>
      </c>
      <c r="S1151">
        <v>0</v>
      </c>
    </row>
    <row r="1152" spans="1:19" x14ac:dyDescent="0.3">
      <c r="A1152">
        <v>1151</v>
      </c>
      <c r="B1152">
        <v>18.8</v>
      </c>
      <c r="C1152" t="s">
        <v>11</v>
      </c>
      <c r="D1152">
        <v>47596</v>
      </c>
      <c r="E1152" t="s">
        <v>4</v>
      </c>
      <c r="F1152">
        <v>3.82</v>
      </c>
      <c r="G1152">
        <v>80.2</v>
      </c>
      <c r="H1152">
        <v>2</v>
      </c>
      <c r="I1152">
        <v>32.5</v>
      </c>
      <c r="J1152" t="s">
        <v>3</v>
      </c>
      <c r="K1152" t="s">
        <v>3</v>
      </c>
      <c r="L1152">
        <v>4.0999999999999996</v>
      </c>
      <c r="M1152">
        <v>3.32</v>
      </c>
      <c r="N1152">
        <v>3.72</v>
      </c>
      <c r="O1152">
        <v>3.7</v>
      </c>
      <c r="P1152" t="s">
        <v>7</v>
      </c>
      <c r="Q1152" t="s">
        <v>13</v>
      </c>
      <c r="R1152" t="s">
        <v>9</v>
      </c>
      <c r="S1152">
        <v>0</v>
      </c>
    </row>
    <row r="1153" spans="1:19" x14ac:dyDescent="0.3">
      <c r="A1153">
        <v>1152</v>
      </c>
      <c r="B1153">
        <v>17</v>
      </c>
      <c r="C1153" t="s">
        <v>5</v>
      </c>
      <c r="D1153">
        <v>30252</v>
      </c>
      <c r="E1153" t="s">
        <v>4</v>
      </c>
      <c r="F1153">
        <v>3.85</v>
      </c>
      <c r="G1153">
        <v>80.900000000000006</v>
      </c>
      <c r="H1153">
        <v>3</v>
      </c>
      <c r="I1153">
        <v>35</v>
      </c>
      <c r="J1153" t="s">
        <v>3</v>
      </c>
      <c r="K1153" t="s">
        <v>4</v>
      </c>
      <c r="L1153">
        <v>4.3</v>
      </c>
      <c r="M1153">
        <v>4</v>
      </c>
      <c r="N1153">
        <v>4</v>
      </c>
      <c r="O1153">
        <v>3.98</v>
      </c>
      <c r="P1153" t="s">
        <v>12</v>
      </c>
      <c r="Q1153" t="s">
        <v>13</v>
      </c>
      <c r="R1153" t="s">
        <v>0</v>
      </c>
      <c r="S1153">
        <v>0</v>
      </c>
    </row>
    <row r="1154" spans="1:19" x14ac:dyDescent="0.3">
      <c r="A1154">
        <v>1153</v>
      </c>
      <c r="B1154">
        <v>19.600000000000001</v>
      </c>
      <c r="C1154" t="s">
        <v>5</v>
      </c>
      <c r="D1154">
        <v>25000</v>
      </c>
      <c r="E1154" t="s">
        <v>4</v>
      </c>
      <c r="F1154">
        <v>4.59</v>
      </c>
      <c r="G1154">
        <v>69.599999999999994</v>
      </c>
      <c r="H1154">
        <v>2</v>
      </c>
      <c r="I1154">
        <v>21.7</v>
      </c>
      <c r="J1154" t="s">
        <v>4</v>
      </c>
      <c r="K1154" t="s">
        <v>3</v>
      </c>
      <c r="L1154">
        <v>8.6</v>
      </c>
      <c r="M1154">
        <v>0</v>
      </c>
      <c r="N1154">
        <v>0.44</v>
      </c>
      <c r="O1154">
        <v>0.44</v>
      </c>
      <c r="P1154" t="s">
        <v>2</v>
      </c>
      <c r="Q1154" t="s">
        <v>8</v>
      </c>
      <c r="R1154" t="s">
        <v>15</v>
      </c>
      <c r="S1154">
        <v>1</v>
      </c>
    </row>
    <row r="1155" spans="1:19" x14ac:dyDescent="0.3">
      <c r="A1155">
        <v>1154</v>
      </c>
      <c r="B1155">
        <v>18.100000000000001</v>
      </c>
      <c r="C1155" t="s">
        <v>5</v>
      </c>
      <c r="D1155">
        <v>25000</v>
      </c>
      <c r="E1155" t="s">
        <v>4</v>
      </c>
      <c r="F1155">
        <v>1.82</v>
      </c>
      <c r="G1155">
        <v>78.8</v>
      </c>
      <c r="H1155">
        <v>0</v>
      </c>
      <c r="I1155">
        <v>28.2</v>
      </c>
      <c r="J1155" t="s">
        <v>4</v>
      </c>
      <c r="K1155" t="s">
        <v>4</v>
      </c>
      <c r="L1155">
        <v>7.7</v>
      </c>
      <c r="M1155">
        <v>0.48</v>
      </c>
      <c r="N1155">
        <v>0.62</v>
      </c>
      <c r="O1155">
        <v>0.63</v>
      </c>
      <c r="P1155" t="s">
        <v>12</v>
      </c>
      <c r="Q1155" t="s">
        <v>14</v>
      </c>
      <c r="R1155" t="s">
        <v>9</v>
      </c>
      <c r="S1155">
        <v>0</v>
      </c>
    </row>
    <row r="1156" spans="1:19" x14ac:dyDescent="0.3">
      <c r="A1156">
        <v>1155</v>
      </c>
      <c r="B1156">
        <v>24.6</v>
      </c>
      <c r="C1156" t="s">
        <v>11</v>
      </c>
      <c r="D1156">
        <v>74466</v>
      </c>
      <c r="E1156" t="s">
        <v>4</v>
      </c>
      <c r="F1156">
        <v>5.04</v>
      </c>
      <c r="G1156">
        <v>82.8</v>
      </c>
      <c r="H1156">
        <v>3</v>
      </c>
      <c r="I1156">
        <v>29.5</v>
      </c>
      <c r="J1156" t="s">
        <v>3</v>
      </c>
      <c r="K1156" t="s">
        <v>3</v>
      </c>
      <c r="L1156">
        <v>8.1999999999999993</v>
      </c>
      <c r="M1156">
        <v>2.1800000000000002</v>
      </c>
      <c r="N1156">
        <v>2.21</v>
      </c>
      <c r="O1156">
        <v>2.25</v>
      </c>
      <c r="P1156" t="s">
        <v>10</v>
      </c>
      <c r="Q1156" t="s">
        <v>14</v>
      </c>
      <c r="R1156" t="s">
        <v>15</v>
      </c>
      <c r="S1156">
        <v>0</v>
      </c>
    </row>
    <row r="1157" spans="1:19" x14ac:dyDescent="0.3">
      <c r="A1157">
        <v>1156</v>
      </c>
      <c r="B1157">
        <v>23.2</v>
      </c>
      <c r="C1157" t="s">
        <v>5</v>
      </c>
      <c r="D1157">
        <v>70362</v>
      </c>
      <c r="E1157" t="s">
        <v>4</v>
      </c>
      <c r="F1157">
        <v>4.96</v>
      </c>
      <c r="G1157">
        <v>85.7</v>
      </c>
      <c r="H1157">
        <v>5</v>
      </c>
      <c r="I1157">
        <v>48</v>
      </c>
      <c r="J1157" t="s">
        <v>3</v>
      </c>
      <c r="K1157" t="s">
        <v>4</v>
      </c>
      <c r="L1157">
        <v>7.2</v>
      </c>
      <c r="M1157">
        <v>1.47</v>
      </c>
      <c r="N1157">
        <v>1.83</v>
      </c>
      <c r="O1157">
        <v>1.82</v>
      </c>
      <c r="P1157" t="s">
        <v>10</v>
      </c>
      <c r="Q1157" t="s">
        <v>13</v>
      </c>
      <c r="R1157" t="s">
        <v>0</v>
      </c>
      <c r="S1157">
        <v>0</v>
      </c>
    </row>
    <row r="1158" spans="1:19" x14ac:dyDescent="0.3">
      <c r="A1158">
        <v>1157</v>
      </c>
      <c r="B1158">
        <v>19.5</v>
      </c>
      <c r="C1158" t="s">
        <v>11</v>
      </c>
      <c r="D1158">
        <v>32001</v>
      </c>
      <c r="E1158" t="s">
        <v>4</v>
      </c>
      <c r="F1158">
        <v>5.01</v>
      </c>
      <c r="G1158">
        <v>65.7</v>
      </c>
      <c r="H1158">
        <v>2</v>
      </c>
      <c r="I1158">
        <v>16.7</v>
      </c>
      <c r="J1158" t="s">
        <v>4</v>
      </c>
      <c r="K1158" t="s">
        <v>3</v>
      </c>
      <c r="L1158">
        <v>4</v>
      </c>
      <c r="M1158">
        <v>1.64</v>
      </c>
      <c r="N1158">
        <v>1.79</v>
      </c>
      <c r="O1158">
        <v>1.82</v>
      </c>
      <c r="P1158" t="s">
        <v>7</v>
      </c>
      <c r="Q1158" t="s">
        <v>8</v>
      </c>
      <c r="R1158" t="s">
        <v>15</v>
      </c>
      <c r="S1158">
        <v>0</v>
      </c>
    </row>
    <row r="1159" spans="1:19" x14ac:dyDescent="0.3">
      <c r="A1159">
        <v>1158</v>
      </c>
      <c r="B1159">
        <v>26</v>
      </c>
      <c r="C1159" t="s">
        <v>5</v>
      </c>
      <c r="D1159">
        <v>25000</v>
      </c>
      <c r="E1159" t="s">
        <v>4</v>
      </c>
      <c r="F1159">
        <v>3.14</v>
      </c>
      <c r="G1159">
        <v>78.2</v>
      </c>
      <c r="H1159">
        <v>0</v>
      </c>
      <c r="I1159">
        <v>13.2</v>
      </c>
      <c r="J1159" t="s">
        <v>4</v>
      </c>
      <c r="K1159" t="s">
        <v>4</v>
      </c>
      <c r="L1159">
        <v>5.4</v>
      </c>
      <c r="M1159">
        <v>0.23</v>
      </c>
      <c r="N1159">
        <v>0.19</v>
      </c>
      <c r="O1159">
        <v>0.08</v>
      </c>
      <c r="P1159" t="s">
        <v>12</v>
      </c>
      <c r="Q1159" t="s">
        <v>1</v>
      </c>
      <c r="R1159" t="s">
        <v>9</v>
      </c>
      <c r="S1159">
        <v>1</v>
      </c>
    </row>
    <row r="1160" spans="1:19" x14ac:dyDescent="0.3">
      <c r="A1160">
        <v>1159</v>
      </c>
      <c r="B1160">
        <v>23.2</v>
      </c>
      <c r="C1160" t="s">
        <v>5</v>
      </c>
      <c r="D1160">
        <v>67587</v>
      </c>
      <c r="E1160" t="s">
        <v>4</v>
      </c>
      <c r="F1160">
        <v>5.46</v>
      </c>
      <c r="G1160">
        <v>65.599999999999994</v>
      </c>
      <c r="H1160">
        <v>1</v>
      </c>
      <c r="I1160">
        <v>66</v>
      </c>
      <c r="J1160" t="s">
        <v>3</v>
      </c>
      <c r="K1160" t="s">
        <v>4</v>
      </c>
      <c r="L1160">
        <v>3.6</v>
      </c>
      <c r="M1160">
        <v>3.28</v>
      </c>
      <c r="N1160">
        <v>3.08</v>
      </c>
      <c r="O1160">
        <v>3.08</v>
      </c>
      <c r="P1160" t="s">
        <v>2</v>
      </c>
      <c r="Q1160" t="s">
        <v>1</v>
      </c>
      <c r="R1160" t="s">
        <v>9</v>
      </c>
      <c r="S1160">
        <v>0</v>
      </c>
    </row>
    <row r="1161" spans="1:19" x14ac:dyDescent="0.3">
      <c r="A1161">
        <v>1160</v>
      </c>
      <c r="B1161">
        <v>20.3</v>
      </c>
      <c r="C1161" t="s">
        <v>5</v>
      </c>
      <c r="D1161">
        <v>25000</v>
      </c>
      <c r="E1161" t="s">
        <v>4</v>
      </c>
      <c r="F1161">
        <v>2.94</v>
      </c>
      <c r="G1161">
        <v>77.900000000000006</v>
      </c>
      <c r="H1161">
        <v>1</v>
      </c>
      <c r="I1161">
        <v>33.700000000000003</v>
      </c>
      <c r="J1161" t="s">
        <v>3</v>
      </c>
      <c r="K1161" t="s">
        <v>4</v>
      </c>
      <c r="L1161">
        <v>7.3</v>
      </c>
      <c r="M1161">
        <v>1.74</v>
      </c>
      <c r="N1161">
        <v>1.29</v>
      </c>
      <c r="O1161">
        <v>1.21</v>
      </c>
      <c r="P1161" t="s">
        <v>7</v>
      </c>
      <c r="Q1161" t="s">
        <v>13</v>
      </c>
      <c r="R1161" t="s">
        <v>9</v>
      </c>
      <c r="S1161">
        <v>0</v>
      </c>
    </row>
    <row r="1162" spans="1:19" x14ac:dyDescent="0.3">
      <c r="A1162">
        <v>1161</v>
      </c>
      <c r="B1162">
        <v>17</v>
      </c>
      <c r="C1162" t="s">
        <v>5</v>
      </c>
      <c r="D1162">
        <v>34109</v>
      </c>
      <c r="E1162" t="s">
        <v>4</v>
      </c>
      <c r="F1162">
        <v>1.25</v>
      </c>
      <c r="G1162">
        <v>78.599999999999994</v>
      </c>
      <c r="H1162">
        <v>3</v>
      </c>
      <c r="I1162">
        <v>36.6</v>
      </c>
      <c r="J1162" t="s">
        <v>4</v>
      </c>
      <c r="K1162" t="s">
        <v>4</v>
      </c>
      <c r="L1162">
        <v>4.5</v>
      </c>
      <c r="M1162">
        <v>1.24</v>
      </c>
      <c r="N1162">
        <v>0.67</v>
      </c>
      <c r="O1162">
        <v>0.67</v>
      </c>
      <c r="P1162" t="s">
        <v>7</v>
      </c>
      <c r="Q1162" t="s">
        <v>14</v>
      </c>
      <c r="R1162" t="s">
        <v>15</v>
      </c>
      <c r="S1162">
        <v>1</v>
      </c>
    </row>
    <row r="1163" spans="1:19" x14ac:dyDescent="0.3">
      <c r="A1163">
        <v>1162</v>
      </c>
      <c r="B1163">
        <v>26</v>
      </c>
      <c r="C1163" t="s">
        <v>5</v>
      </c>
      <c r="D1163">
        <v>66915</v>
      </c>
      <c r="E1163" t="s">
        <v>4</v>
      </c>
      <c r="F1163">
        <v>4.4000000000000004</v>
      </c>
      <c r="G1163">
        <v>87</v>
      </c>
      <c r="H1163">
        <v>6</v>
      </c>
      <c r="I1163">
        <v>37.700000000000003</v>
      </c>
      <c r="J1163" t="s">
        <v>3</v>
      </c>
      <c r="K1163" t="s">
        <v>3</v>
      </c>
      <c r="L1163">
        <v>2.4</v>
      </c>
      <c r="M1163">
        <v>2.6</v>
      </c>
      <c r="N1163">
        <v>2.0299999999999998</v>
      </c>
      <c r="O1163">
        <v>2.0299999999999998</v>
      </c>
      <c r="P1163" t="s">
        <v>12</v>
      </c>
      <c r="Q1163" t="s">
        <v>6</v>
      </c>
      <c r="R1163" t="s">
        <v>15</v>
      </c>
      <c r="S1163">
        <v>0</v>
      </c>
    </row>
    <row r="1164" spans="1:19" x14ac:dyDescent="0.3">
      <c r="A1164">
        <v>1163</v>
      </c>
      <c r="B1164">
        <v>17.899999999999999</v>
      </c>
      <c r="C1164" t="s">
        <v>5</v>
      </c>
      <c r="D1164">
        <v>25000</v>
      </c>
      <c r="E1164" t="s">
        <v>4</v>
      </c>
      <c r="F1164">
        <v>3.92</v>
      </c>
      <c r="G1164">
        <v>89.8</v>
      </c>
      <c r="H1164">
        <v>1</v>
      </c>
      <c r="I1164">
        <v>39.299999999999997</v>
      </c>
      <c r="J1164" t="s">
        <v>3</v>
      </c>
      <c r="K1164" t="s">
        <v>3</v>
      </c>
      <c r="L1164">
        <v>5.7</v>
      </c>
      <c r="M1164">
        <v>0.46</v>
      </c>
      <c r="N1164">
        <v>0.61</v>
      </c>
      <c r="O1164">
        <v>0.61</v>
      </c>
      <c r="P1164" t="s">
        <v>12</v>
      </c>
      <c r="Q1164" t="s">
        <v>13</v>
      </c>
      <c r="R1164" t="s">
        <v>15</v>
      </c>
      <c r="S1164">
        <v>1</v>
      </c>
    </row>
    <row r="1165" spans="1:19" x14ac:dyDescent="0.3">
      <c r="A1165">
        <v>1164</v>
      </c>
      <c r="B1165">
        <v>17.399999999999999</v>
      </c>
      <c r="C1165" t="s">
        <v>5</v>
      </c>
      <c r="D1165">
        <v>48900</v>
      </c>
      <c r="E1165" t="s">
        <v>4</v>
      </c>
      <c r="F1165">
        <v>5.59</v>
      </c>
      <c r="G1165">
        <v>73.8</v>
      </c>
      <c r="H1165">
        <v>3</v>
      </c>
      <c r="I1165">
        <v>40.799999999999997</v>
      </c>
      <c r="J1165" t="s">
        <v>3</v>
      </c>
      <c r="K1165" t="s">
        <v>3</v>
      </c>
      <c r="L1165">
        <v>7.5</v>
      </c>
      <c r="M1165">
        <v>0.77</v>
      </c>
      <c r="N1165">
        <v>1.1399999999999999</v>
      </c>
      <c r="O1165">
        <v>1.1399999999999999</v>
      </c>
      <c r="P1165" t="s">
        <v>2</v>
      </c>
      <c r="Q1165" t="s">
        <v>8</v>
      </c>
      <c r="R1165" t="s">
        <v>9</v>
      </c>
      <c r="S1165">
        <v>1</v>
      </c>
    </row>
    <row r="1166" spans="1:19" x14ac:dyDescent="0.3">
      <c r="A1166">
        <v>1165</v>
      </c>
      <c r="B1166">
        <v>23.2</v>
      </c>
      <c r="C1166" t="s">
        <v>11</v>
      </c>
      <c r="D1166">
        <v>40633</v>
      </c>
      <c r="E1166" t="s">
        <v>4</v>
      </c>
      <c r="F1166">
        <v>2.66</v>
      </c>
      <c r="G1166">
        <v>84.4</v>
      </c>
      <c r="H1166">
        <v>1</v>
      </c>
      <c r="I1166">
        <v>39.299999999999997</v>
      </c>
      <c r="J1166" t="s">
        <v>4</v>
      </c>
      <c r="K1166" t="s">
        <v>3</v>
      </c>
      <c r="L1166">
        <v>3</v>
      </c>
      <c r="M1166">
        <v>3.21</v>
      </c>
      <c r="N1166">
        <v>3.07</v>
      </c>
      <c r="O1166">
        <v>3.08</v>
      </c>
      <c r="P1166" t="s">
        <v>7</v>
      </c>
      <c r="Q1166" t="s">
        <v>8</v>
      </c>
      <c r="R1166" t="s">
        <v>9</v>
      </c>
      <c r="S1166">
        <v>0</v>
      </c>
    </row>
    <row r="1167" spans="1:19" x14ac:dyDescent="0.3">
      <c r="A1167">
        <v>1166</v>
      </c>
      <c r="B1167">
        <v>26.4</v>
      </c>
      <c r="C1167" t="s">
        <v>11</v>
      </c>
      <c r="D1167">
        <v>29036</v>
      </c>
      <c r="E1167" t="s">
        <v>4</v>
      </c>
      <c r="F1167">
        <v>3.55</v>
      </c>
      <c r="G1167">
        <v>87.2</v>
      </c>
      <c r="H1167">
        <v>2</v>
      </c>
      <c r="I1167">
        <v>43.5</v>
      </c>
      <c r="J1167" t="s">
        <v>4</v>
      </c>
      <c r="K1167" t="s">
        <v>4</v>
      </c>
      <c r="L1167">
        <v>5.3</v>
      </c>
      <c r="M1167">
        <v>2.06</v>
      </c>
      <c r="N1167">
        <v>1.78</v>
      </c>
      <c r="O1167">
        <v>1.87</v>
      </c>
      <c r="P1167" t="s">
        <v>10</v>
      </c>
      <c r="Q1167" t="s">
        <v>1</v>
      </c>
      <c r="R1167" t="s">
        <v>15</v>
      </c>
      <c r="S1167">
        <v>0</v>
      </c>
    </row>
    <row r="1168" spans="1:19" x14ac:dyDescent="0.3">
      <c r="A1168">
        <v>1167</v>
      </c>
      <c r="B1168">
        <v>24</v>
      </c>
      <c r="C1168" t="s">
        <v>5</v>
      </c>
      <c r="D1168">
        <v>25000</v>
      </c>
      <c r="E1168" t="s">
        <v>4</v>
      </c>
      <c r="F1168">
        <v>3.43</v>
      </c>
      <c r="G1168">
        <v>76</v>
      </c>
      <c r="H1168">
        <v>3</v>
      </c>
      <c r="I1168">
        <v>32</v>
      </c>
      <c r="J1168" t="s">
        <v>3</v>
      </c>
      <c r="K1168" t="s">
        <v>4</v>
      </c>
      <c r="L1168">
        <v>4.5</v>
      </c>
      <c r="M1168">
        <v>3.24</v>
      </c>
      <c r="N1168">
        <v>2.87</v>
      </c>
      <c r="O1168">
        <v>2.7</v>
      </c>
      <c r="P1168" t="s">
        <v>7</v>
      </c>
      <c r="Q1168" t="s">
        <v>1</v>
      </c>
      <c r="R1168" t="s">
        <v>9</v>
      </c>
      <c r="S1168">
        <v>0</v>
      </c>
    </row>
    <row r="1169" spans="1:19" x14ac:dyDescent="0.3">
      <c r="A1169">
        <v>1168</v>
      </c>
      <c r="B1169">
        <v>22.2</v>
      </c>
      <c r="C1169" t="s">
        <v>11</v>
      </c>
      <c r="D1169">
        <v>25000</v>
      </c>
      <c r="E1169" t="s">
        <v>4</v>
      </c>
      <c r="F1169">
        <v>5.04</v>
      </c>
      <c r="G1169">
        <v>88.2</v>
      </c>
      <c r="H1169">
        <v>4</v>
      </c>
      <c r="I1169">
        <v>42.9</v>
      </c>
      <c r="J1169" t="s">
        <v>3</v>
      </c>
      <c r="K1169" t="s">
        <v>4</v>
      </c>
      <c r="L1169">
        <v>7.3</v>
      </c>
      <c r="M1169">
        <v>1.2</v>
      </c>
      <c r="N1169">
        <v>1.48</v>
      </c>
      <c r="O1169">
        <v>1.48</v>
      </c>
      <c r="P1169" t="s">
        <v>2</v>
      </c>
      <c r="Q1169" t="s">
        <v>13</v>
      </c>
      <c r="R1169" t="s">
        <v>9</v>
      </c>
      <c r="S1169">
        <v>0</v>
      </c>
    </row>
    <row r="1170" spans="1:19" x14ac:dyDescent="0.3">
      <c r="A1170">
        <v>1169</v>
      </c>
      <c r="B1170">
        <v>22.3</v>
      </c>
      <c r="C1170" t="s">
        <v>11</v>
      </c>
      <c r="D1170">
        <v>35372</v>
      </c>
      <c r="E1170" t="s">
        <v>4</v>
      </c>
      <c r="F1170">
        <v>2.59</v>
      </c>
      <c r="G1170">
        <v>83.1</v>
      </c>
      <c r="H1170">
        <v>3</v>
      </c>
      <c r="I1170">
        <v>52.7</v>
      </c>
      <c r="J1170" t="s">
        <v>3</v>
      </c>
      <c r="K1170" t="s">
        <v>3</v>
      </c>
      <c r="L1170">
        <v>1.8</v>
      </c>
      <c r="M1170">
        <v>2.89</v>
      </c>
      <c r="N1170">
        <v>2.68</v>
      </c>
      <c r="O1170">
        <v>2.68</v>
      </c>
      <c r="P1170" t="s">
        <v>2</v>
      </c>
      <c r="Q1170" t="s">
        <v>1</v>
      </c>
      <c r="R1170" t="s">
        <v>9</v>
      </c>
      <c r="S1170">
        <v>1</v>
      </c>
    </row>
    <row r="1171" spans="1:19" x14ac:dyDescent="0.3">
      <c r="A1171">
        <v>1170</v>
      </c>
      <c r="B1171">
        <v>22.9</v>
      </c>
      <c r="C1171" t="s">
        <v>11</v>
      </c>
      <c r="D1171">
        <v>25000</v>
      </c>
      <c r="E1171" t="s">
        <v>4</v>
      </c>
      <c r="F1171">
        <v>5.66</v>
      </c>
      <c r="G1171">
        <v>79.8</v>
      </c>
      <c r="H1171">
        <v>0</v>
      </c>
      <c r="I1171">
        <v>32.4</v>
      </c>
      <c r="J1171" t="s">
        <v>3</v>
      </c>
      <c r="K1171" t="s">
        <v>4</v>
      </c>
      <c r="L1171">
        <v>7.5</v>
      </c>
      <c r="M1171">
        <v>3.86</v>
      </c>
      <c r="N1171">
        <v>3.94</v>
      </c>
      <c r="O1171">
        <v>3.91</v>
      </c>
      <c r="P1171" t="s">
        <v>10</v>
      </c>
      <c r="Q1171" t="s">
        <v>6</v>
      </c>
      <c r="R1171" t="s">
        <v>15</v>
      </c>
      <c r="S1171">
        <v>0</v>
      </c>
    </row>
    <row r="1172" spans="1:19" x14ac:dyDescent="0.3">
      <c r="A1172">
        <v>1171</v>
      </c>
      <c r="B1172">
        <v>22.7</v>
      </c>
      <c r="C1172" t="s">
        <v>5</v>
      </c>
      <c r="D1172">
        <v>32159</v>
      </c>
      <c r="E1172" t="s">
        <v>4</v>
      </c>
      <c r="F1172">
        <v>3.04</v>
      </c>
      <c r="G1172">
        <v>83.1</v>
      </c>
      <c r="H1172">
        <v>4</v>
      </c>
      <c r="I1172">
        <v>35.799999999999997</v>
      </c>
      <c r="J1172" t="s">
        <v>4</v>
      </c>
      <c r="K1172" t="s">
        <v>3</v>
      </c>
      <c r="L1172">
        <v>4.2</v>
      </c>
      <c r="M1172">
        <v>1.68</v>
      </c>
      <c r="N1172">
        <v>1.85</v>
      </c>
      <c r="O1172">
        <v>1.85</v>
      </c>
      <c r="P1172" t="s">
        <v>7</v>
      </c>
      <c r="Q1172" t="s">
        <v>13</v>
      </c>
      <c r="R1172" t="s">
        <v>0</v>
      </c>
      <c r="S1172">
        <v>0</v>
      </c>
    </row>
    <row r="1173" spans="1:19" x14ac:dyDescent="0.3">
      <c r="A1173">
        <v>1172</v>
      </c>
      <c r="B1173">
        <v>21.6</v>
      </c>
      <c r="C1173" t="s">
        <v>11</v>
      </c>
      <c r="D1173">
        <v>41136</v>
      </c>
      <c r="E1173" t="s">
        <v>4</v>
      </c>
      <c r="F1173">
        <v>3.42</v>
      </c>
      <c r="G1173">
        <v>69.400000000000006</v>
      </c>
      <c r="H1173">
        <v>1</v>
      </c>
      <c r="I1173">
        <v>23</v>
      </c>
      <c r="J1173" t="s">
        <v>3</v>
      </c>
      <c r="K1173" t="s">
        <v>3</v>
      </c>
      <c r="L1173">
        <v>5.2</v>
      </c>
      <c r="M1173">
        <v>1.1599999999999999</v>
      </c>
      <c r="N1173">
        <v>0.8</v>
      </c>
      <c r="O1173">
        <v>0.75</v>
      </c>
      <c r="P1173" t="s">
        <v>12</v>
      </c>
      <c r="Q1173" t="s">
        <v>1</v>
      </c>
      <c r="R1173" t="s">
        <v>9</v>
      </c>
      <c r="S1173">
        <v>0</v>
      </c>
    </row>
    <row r="1174" spans="1:19" x14ac:dyDescent="0.3">
      <c r="A1174">
        <v>1173</v>
      </c>
      <c r="B1174">
        <v>21.2</v>
      </c>
      <c r="C1174" t="s">
        <v>5</v>
      </c>
      <c r="D1174">
        <v>53698</v>
      </c>
      <c r="E1174" t="s">
        <v>4</v>
      </c>
      <c r="F1174">
        <v>4.05</v>
      </c>
      <c r="G1174">
        <v>83.1</v>
      </c>
      <c r="H1174">
        <v>1</v>
      </c>
      <c r="I1174">
        <v>28</v>
      </c>
      <c r="J1174" t="s">
        <v>3</v>
      </c>
      <c r="K1174" t="s">
        <v>3</v>
      </c>
      <c r="L1174">
        <v>7</v>
      </c>
      <c r="M1174">
        <v>0.82</v>
      </c>
      <c r="N1174">
        <v>0.94</v>
      </c>
      <c r="O1174">
        <v>0.92</v>
      </c>
      <c r="P1174" t="s">
        <v>10</v>
      </c>
      <c r="Q1174" t="s">
        <v>13</v>
      </c>
      <c r="R1174" t="s">
        <v>9</v>
      </c>
      <c r="S1174">
        <v>0</v>
      </c>
    </row>
    <row r="1175" spans="1:19" x14ac:dyDescent="0.3">
      <c r="A1175">
        <v>1174</v>
      </c>
      <c r="B1175">
        <v>20.9</v>
      </c>
      <c r="C1175" t="s">
        <v>11</v>
      </c>
      <c r="D1175">
        <v>25000</v>
      </c>
      <c r="E1175" t="s">
        <v>4</v>
      </c>
      <c r="F1175">
        <v>2.68</v>
      </c>
      <c r="G1175">
        <v>75.2</v>
      </c>
      <c r="H1175">
        <v>2</v>
      </c>
      <c r="I1175">
        <v>34.200000000000003</v>
      </c>
      <c r="J1175" t="s">
        <v>3</v>
      </c>
      <c r="K1175" t="s">
        <v>3</v>
      </c>
      <c r="L1175">
        <v>8.1999999999999993</v>
      </c>
      <c r="M1175">
        <v>1.61</v>
      </c>
      <c r="N1175">
        <v>2</v>
      </c>
      <c r="O1175">
        <v>1.95</v>
      </c>
      <c r="P1175" t="s">
        <v>12</v>
      </c>
      <c r="Q1175" t="s">
        <v>1</v>
      </c>
      <c r="R1175" t="s">
        <v>0</v>
      </c>
      <c r="S1175">
        <v>0</v>
      </c>
    </row>
    <row r="1176" spans="1:19" x14ac:dyDescent="0.3">
      <c r="A1176">
        <v>1175</v>
      </c>
      <c r="B1176">
        <v>19.3</v>
      </c>
      <c r="C1176" t="s">
        <v>5</v>
      </c>
      <c r="D1176">
        <v>65496</v>
      </c>
      <c r="E1176" t="s">
        <v>4</v>
      </c>
      <c r="F1176">
        <v>4.51</v>
      </c>
      <c r="G1176">
        <v>82.2</v>
      </c>
      <c r="H1176">
        <v>4</v>
      </c>
      <c r="I1176">
        <v>25.3</v>
      </c>
      <c r="J1176" t="s">
        <v>3</v>
      </c>
      <c r="K1176" t="s">
        <v>3</v>
      </c>
      <c r="L1176">
        <v>5.6</v>
      </c>
      <c r="M1176">
        <v>1.39</v>
      </c>
      <c r="N1176">
        <v>1.64</v>
      </c>
      <c r="O1176">
        <v>1.56</v>
      </c>
      <c r="P1176" t="s">
        <v>12</v>
      </c>
      <c r="Q1176" t="s">
        <v>1</v>
      </c>
      <c r="R1176" t="s">
        <v>16</v>
      </c>
      <c r="S1176">
        <v>0</v>
      </c>
    </row>
    <row r="1177" spans="1:19" x14ac:dyDescent="0.3">
      <c r="A1177">
        <v>1176</v>
      </c>
      <c r="B1177">
        <v>20.399999999999999</v>
      </c>
      <c r="C1177" t="s">
        <v>5</v>
      </c>
      <c r="D1177">
        <v>82225</v>
      </c>
      <c r="E1177" t="s">
        <v>4</v>
      </c>
      <c r="F1177">
        <v>4.34</v>
      </c>
      <c r="G1177">
        <v>78.8</v>
      </c>
      <c r="H1177">
        <v>4</v>
      </c>
      <c r="I1177">
        <v>31.1</v>
      </c>
      <c r="J1177" t="s">
        <v>3</v>
      </c>
      <c r="K1177" t="s">
        <v>4</v>
      </c>
      <c r="L1177">
        <v>4.2</v>
      </c>
      <c r="M1177">
        <v>1.55</v>
      </c>
      <c r="N1177">
        <v>1.19</v>
      </c>
      <c r="O1177">
        <v>1.19</v>
      </c>
      <c r="P1177" t="s">
        <v>2</v>
      </c>
      <c r="Q1177" t="s">
        <v>13</v>
      </c>
      <c r="R1177" t="s">
        <v>9</v>
      </c>
      <c r="S1177">
        <v>0</v>
      </c>
    </row>
    <row r="1178" spans="1:19" x14ac:dyDescent="0.3">
      <c r="A1178">
        <v>1177</v>
      </c>
      <c r="B1178">
        <v>17.3</v>
      </c>
      <c r="C1178" t="s">
        <v>5</v>
      </c>
      <c r="D1178">
        <v>38028</v>
      </c>
      <c r="E1178" t="s">
        <v>4</v>
      </c>
      <c r="F1178">
        <v>3.19</v>
      </c>
      <c r="G1178">
        <v>84.3</v>
      </c>
      <c r="H1178">
        <v>1</v>
      </c>
      <c r="I1178">
        <v>34.1</v>
      </c>
      <c r="J1178" t="s">
        <v>3</v>
      </c>
      <c r="K1178" t="s">
        <v>3</v>
      </c>
      <c r="L1178">
        <v>4.5</v>
      </c>
      <c r="M1178">
        <v>0.39</v>
      </c>
      <c r="N1178">
        <v>1.04</v>
      </c>
      <c r="O1178">
        <v>1.03</v>
      </c>
      <c r="P1178" t="s">
        <v>12</v>
      </c>
      <c r="Q1178" t="s">
        <v>14</v>
      </c>
      <c r="R1178" t="s">
        <v>15</v>
      </c>
      <c r="S1178">
        <v>0</v>
      </c>
    </row>
    <row r="1179" spans="1:19" x14ac:dyDescent="0.3">
      <c r="A1179">
        <v>1178</v>
      </c>
      <c r="B1179">
        <v>20.8</v>
      </c>
      <c r="C1179" t="s">
        <v>5</v>
      </c>
      <c r="D1179">
        <v>25000</v>
      </c>
      <c r="E1179" t="s">
        <v>4</v>
      </c>
      <c r="F1179">
        <v>4.37</v>
      </c>
      <c r="G1179">
        <v>91.5</v>
      </c>
      <c r="H1179">
        <v>1</v>
      </c>
      <c r="I1179">
        <v>48.2</v>
      </c>
      <c r="J1179" t="s">
        <v>3</v>
      </c>
      <c r="K1179" t="s">
        <v>3</v>
      </c>
      <c r="L1179">
        <v>7.6</v>
      </c>
      <c r="M1179">
        <v>2.3199999999999998</v>
      </c>
      <c r="N1179">
        <v>2.4300000000000002</v>
      </c>
      <c r="O1179">
        <v>2.4900000000000002</v>
      </c>
      <c r="P1179" t="s">
        <v>10</v>
      </c>
      <c r="Q1179" t="s">
        <v>14</v>
      </c>
      <c r="R1179" t="s">
        <v>9</v>
      </c>
      <c r="S1179">
        <v>0</v>
      </c>
    </row>
    <row r="1180" spans="1:19" x14ac:dyDescent="0.3">
      <c r="A1180">
        <v>1179</v>
      </c>
      <c r="B1180">
        <v>18.8</v>
      </c>
      <c r="C1180" t="s">
        <v>11</v>
      </c>
      <c r="D1180">
        <v>25000</v>
      </c>
      <c r="E1180" t="s">
        <v>4</v>
      </c>
      <c r="F1180">
        <v>4.41</v>
      </c>
      <c r="G1180">
        <v>83</v>
      </c>
      <c r="H1180">
        <v>2</v>
      </c>
      <c r="I1180">
        <v>19.600000000000001</v>
      </c>
      <c r="J1180" t="s">
        <v>3</v>
      </c>
      <c r="K1180" t="s">
        <v>4</v>
      </c>
      <c r="L1180">
        <v>3.9</v>
      </c>
      <c r="M1180">
        <v>3.91</v>
      </c>
      <c r="N1180">
        <v>3.68</v>
      </c>
      <c r="O1180">
        <v>3.68</v>
      </c>
      <c r="P1180" t="s">
        <v>2</v>
      </c>
      <c r="Q1180" t="s">
        <v>13</v>
      </c>
      <c r="R1180" t="s">
        <v>16</v>
      </c>
      <c r="S1180">
        <v>1</v>
      </c>
    </row>
    <row r="1181" spans="1:19" x14ac:dyDescent="0.3">
      <c r="A1181">
        <v>1180</v>
      </c>
      <c r="B1181">
        <v>18.600000000000001</v>
      </c>
      <c r="C1181" t="s">
        <v>5</v>
      </c>
      <c r="D1181">
        <v>28896</v>
      </c>
      <c r="E1181" t="s">
        <v>3</v>
      </c>
      <c r="F1181">
        <v>4.74</v>
      </c>
      <c r="G1181">
        <v>90</v>
      </c>
      <c r="H1181">
        <v>1</v>
      </c>
      <c r="I1181">
        <v>35</v>
      </c>
      <c r="J1181" t="s">
        <v>4</v>
      </c>
      <c r="K1181" t="s">
        <v>4</v>
      </c>
      <c r="L1181">
        <v>6.1</v>
      </c>
      <c r="M1181">
        <v>3.31</v>
      </c>
      <c r="N1181">
        <v>3.35</v>
      </c>
      <c r="O1181">
        <v>3.39</v>
      </c>
      <c r="P1181" t="s">
        <v>12</v>
      </c>
      <c r="Q1181" t="s">
        <v>14</v>
      </c>
      <c r="R1181" t="s">
        <v>9</v>
      </c>
      <c r="S1181">
        <v>0</v>
      </c>
    </row>
    <row r="1182" spans="1:19" x14ac:dyDescent="0.3">
      <c r="A1182">
        <v>1181</v>
      </c>
      <c r="B1182">
        <v>21.4</v>
      </c>
      <c r="C1182" t="s">
        <v>11</v>
      </c>
      <c r="D1182">
        <v>34971</v>
      </c>
      <c r="E1182" t="s">
        <v>4</v>
      </c>
      <c r="F1182">
        <v>5.43</v>
      </c>
      <c r="G1182">
        <v>73.8</v>
      </c>
      <c r="H1182">
        <v>0</v>
      </c>
      <c r="I1182">
        <v>22.8</v>
      </c>
      <c r="J1182" t="s">
        <v>3</v>
      </c>
      <c r="K1182" t="s">
        <v>4</v>
      </c>
      <c r="L1182">
        <v>5.5</v>
      </c>
      <c r="M1182">
        <v>0.97</v>
      </c>
      <c r="N1182">
        <v>0.85</v>
      </c>
      <c r="O1182">
        <v>0.86</v>
      </c>
      <c r="P1182" t="s">
        <v>7</v>
      </c>
      <c r="Q1182" t="s">
        <v>13</v>
      </c>
      <c r="R1182" t="s">
        <v>15</v>
      </c>
      <c r="S1182">
        <v>0</v>
      </c>
    </row>
    <row r="1183" spans="1:19" x14ac:dyDescent="0.3">
      <c r="A1183">
        <v>1182</v>
      </c>
      <c r="B1183">
        <v>24.1</v>
      </c>
      <c r="C1183" t="s">
        <v>5</v>
      </c>
      <c r="D1183">
        <v>30127</v>
      </c>
      <c r="E1183" t="s">
        <v>4</v>
      </c>
      <c r="F1183">
        <v>4.54</v>
      </c>
      <c r="G1183">
        <v>93.5</v>
      </c>
      <c r="H1183">
        <v>0</v>
      </c>
      <c r="I1183">
        <v>39.200000000000003</v>
      </c>
      <c r="J1183" t="s">
        <v>3</v>
      </c>
      <c r="K1183" t="s">
        <v>3</v>
      </c>
      <c r="L1183">
        <v>6.9</v>
      </c>
      <c r="M1183">
        <v>1.67</v>
      </c>
      <c r="N1183">
        <v>1.87</v>
      </c>
      <c r="O1183">
        <v>1.92</v>
      </c>
      <c r="P1183" t="s">
        <v>10</v>
      </c>
      <c r="Q1183" t="s">
        <v>1</v>
      </c>
      <c r="R1183" t="s">
        <v>17</v>
      </c>
      <c r="S1183">
        <v>0</v>
      </c>
    </row>
    <row r="1184" spans="1:19" x14ac:dyDescent="0.3">
      <c r="A1184">
        <v>1183</v>
      </c>
      <c r="B1184">
        <v>23</v>
      </c>
      <c r="C1184" t="s">
        <v>5</v>
      </c>
      <c r="D1184">
        <v>35196</v>
      </c>
      <c r="E1184" t="s">
        <v>4</v>
      </c>
      <c r="F1184">
        <v>4.63</v>
      </c>
      <c r="G1184">
        <v>73.900000000000006</v>
      </c>
      <c r="H1184">
        <v>1</v>
      </c>
      <c r="I1184">
        <v>40.1</v>
      </c>
      <c r="J1184" t="s">
        <v>3</v>
      </c>
      <c r="K1184" t="s">
        <v>4</v>
      </c>
      <c r="L1184">
        <v>5.6</v>
      </c>
      <c r="M1184">
        <v>2.95</v>
      </c>
      <c r="N1184">
        <v>2.69</v>
      </c>
      <c r="O1184">
        <v>2.65</v>
      </c>
      <c r="P1184" t="s">
        <v>7</v>
      </c>
      <c r="Q1184" t="s">
        <v>1</v>
      </c>
      <c r="R1184" t="s">
        <v>15</v>
      </c>
      <c r="S1184">
        <v>0</v>
      </c>
    </row>
    <row r="1185" spans="1:19" x14ac:dyDescent="0.3">
      <c r="A1185">
        <v>1184</v>
      </c>
      <c r="B1185">
        <v>17.5</v>
      </c>
      <c r="C1185" t="s">
        <v>11</v>
      </c>
      <c r="D1185">
        <v>28157</v>
      </c>
      <c r="E1185" t="s">
        <v>4</v>
      </c>
      <c r="F1185">
        <v>2.57</v>
      </c>
      <c r="G1185">
        <v>72</v>
      </c>
      <c r="H1185">
        <v>2</v>
      </c>
      <c r="I1185">
        <v>50.1</v>
      </c>
      <c r="J1185" t="s">
        <v>3</v>
      </c>
      <c r="K1185" t="s">
        <v>3</v>
      </c>
      <c r="L1185">
        <v>4.7</v>
      </c>
      <c r="M1185">
        <v>2.4500000000000002</v>
      </c>
      <c r="N1185">
        <v>2.15</v>
      </c>
      <c r="O1185">
        <v>2.17</v>
      </c>
      <c r="P1185" t="s">
        <v>12</v>
      </c>
      <c r="Q1185" t="s">
        <v>1</v>
      </c>
      <c r="R1185" t="s">
        <v>0</v>
      </c>
      <c r="S1185">
        <v>1</v>
      </c>
    </row>
    <row r="1186" spans="1:19" x14ac:dyDescent="0.3">
      <c r="A1186">
        <v>1185</v>
      </c>
      <c r="B1186">
        <v>18.8</v>
      </c>
      <c r="C1186" t="s">
        <v>11</v>
      </c>
      <c r="D1186">
        <v>34859</v>
      </c>
      <c r="E1186" t="s">
        <v>4</v>
      </c>
      <c r="F1186">
        <v>2.0099999999999998</v>
      </c>
      <c r="G1186">
        <v>79.8</v>
      </c>
      <c r="H1186">
        <v>2</v>
      </c>
      <c r="I1186">
        <v>24.9</v>
      </c>
      <c r="J1186" t="s">
        <v>3</v>
      </c>
      <c r="K1186" t="s">
        <v>4</v>
      </c>
      <c r="L1186">
        <v>4.5999999999999996</v>
      </c>
      <c r="M1186">
        <v>2.82</v>
      </c>
      <c r="N1186">
        <v>2.5299999999999998</v>
      </c>
      <c r="O1186">
        <v>2.5</v>
      </c>
      <c r="P1186" t="s">
        <v>10</v>
      </c>
      <c r="Q1186" t="s">
        <v>13</v>
      </c>
      <c r="R1186" t="s">
        <v>9</v>
      </c>
      <c r="S1186">
        <v>0</v>
      </c>
    </row>
    <row r="1187" spans="1:19" x14ac:dyDescent="0.3">
      <c r="A1187">
        <v>1186</v>
      </c>
      <c r="B1187">
        <v>23.1</v>
      </c>
      <c r="C1187" t="s">
        <v>5</v>
      </c>
      <c r="D1187">
        <v>25000</v>
      </c>
      <c r="E1187" t="s">
        <v>4</v>
      </c>
      <c r="F1187">
        <v>3.28</v>
      </c>
      <c r="G1187">
        <v>78.400000000000006</v>
      </c>
      <c r="H1187">
        <v>2</v>
      </c>
      <c r="I1187">
        <v>31.7</v>
      </c>
      <c r="J1187" t="s">
        <v>3</v>
      </c>
      <c r="K1187" t="s">
        <v>3</v>
      </c>
      <c r="L1187">
        <v>4.5999999999999996</v>
      </c>
      <c r="M1187">
        <v>1.61</v>
      </c>
      <c r="N1187">
        <v>1.5</v>
      </c>
      <c r="O1187">
        <v>1.49</v>
      </c>
      <c r="P1187" t="s">
        <v>10</v>
      </c>
      <c r="Q1187" t="s">
        <v>14</v>
      </c>
      <c r="R1187" t="s">
        <v>9</v>
      </c>
      <c r="S1187">
        <v>1</v>
      </c>
    </row>
    <row r="1188" spans="1:19" x14ac:dyDescent="0.3">
      <c r="A1188">
        <v>1187</v>
      </c>
      <c r="B1188">
        <v>18.8</v>
      </c>
      <c r="C1188" t="s">
        <v>5</v>
      </c>
      <c r="D1188">
        <v>25000</v>
      </c>
      <c r="E1188" t="s">
        <v>3</v>
      </c>
      <c r="F1188">
        <v>4.43</v>
      </c>
      <c r="G1188">
        <v>69.3</v>
      </c>
      <c r="H1188">
        <v>2</v>
      </c>
      <c r="I1188">
        <v>39.6</v>
      </c>
      <c r="J1188" t="s">
        <v>4</v>
      </c>
      <c r="K1188" t="s">
        <v>3</v>
      </c>
      <c r="L1188">
        <v>3</v>
      </c>
      <c r="M1188">
        <v>3.24</v>
      </c>
      <c r="N1188">
        <v>3.01</v>
      </c>
      <c r="O1188">
        <v>3.01</v>
      </c>
      <c r="P1188" t="s">
        <v>7</v>
      </c>
      <c r="Q1188" t="s">
        <v>1</v>
      </c>
      <c r="R1188" t="s">
        <v>9</v>
      </c>
      <c r="S1188">
        <v>0</v>
      </c>
    </row>
    <row r="1189" spans="1:19" x14ac:dyDescent="0.3">
      <c r="A1189">
        <v>1188</v>
      </c>
      <c r="B1189">
        <v>20.5</v>
      </c>
      <c r="C1189" t="s">
        <v>11</v>
      </c>
      <c r="D1189">
        <v>25000</v>
      </c>
      <c r="E1189" t="s">
        <v>4</v>
      </c>
      <c r="F1189">
        <v>4.54</v>
      </c>
      <c r="G1189">
        <v>73</v>
      </c>
      <c r="H1189">
        <v>4</v>
      </c>
      <c r="I1189">
        <v>37.9</v>
      </c>
      <c r="J1189" t="s">
        <v>3</v>
      </c>
      <c r="K1189" t="s">
        <v>4</v>
      </c>
      <c r="L1189">
        <v>6.4</v>
      </c>
      <c r="M1189">
        <v>2.92</v>
      </c>
      <c r="N1189">
        <v>2.5499999999999998</v>
      </c>
      <c r="O1189">
        <v>2.5499999999999998</v>
      </c>
      <c r="P1189" t="s">
        <v>2</v>
      </c>
      <c r="Q1189" t="s">
        <v>1</v>
      </c>
      <c r="R1189" t="s">
        <v>0</v>
      </c>
      <c r="S1189">
        <v>0</v>
      </c>
    </row>
    <row r="1190" spans="1:19" x14ac:dyDescent="0.3">
      <c r="A1190">
        <v>1189</v>
      </c>
      <c r="B1190">
        <v>22.2</v>
      </c>
      <c r="C1190" t="s">
        <v>5</v>
      </c>
      <c r="E1190" t="s">
        <v>4</v>
      </c>
      <c r="G1190">
        <v>38.200000000000003</v>
      </c>
      <c r="H1190">
        <v>3</v>
      </c>
      <c r="I1190">
        <v>5</v>
      </c>
      <c r="J1190" t="s">
        <v>3</v>
      </c>
      <c r="K1190" t="s">
        <v>3</v>
      </c>
      <c r="M1190">
        <v>0</v>
      </c>
      <c r="N1190">
        <v>0.05</v>
      </c>
      <c r="O1190">
        <v>0.08</v>
      </c>
      <c r="P1190" t="s">
        <v>10</v>
      </c>
      <c r="Q1190" t="s">
        <v>13</v>
      </c>
      <c r="R1190" t="s">
        <v>9</v>
      </c>
      <c r="S1190">
        <v>1</v>
      </c>
    </row>
    <row r="1191" spans="1:19" x14ac:dyDescent="0.3">
      <c r="A1191">
        <v>1190</v>
      </c>
      <c r="B1191">
        <v>18.899999999999999</v>
      </c>
      <c r="C1191" t="s">
        <v>11</v>
      </c>
      <c r="D1191">
        <v>71564</v>
      </c>
      <c r="E1191" t="s">
        <v>4</v>
      </c>
      <c r="F1191">
        <v>4.17</v>
      </c>
      <c r="G1191">
        <v>71.2</v>
      </c>
      <c r="H1191">
        <v>2</v>
      </c>
      <c r="I1191">
        <v>21.8</v>
      </c>
      <c r="J1191" t="s">
        <v>3</v>
      </c>
      <c r="K1191" t="s">
        <v>3</v>
      </c>
      <c r="L1191">
        <v>2.9</v>
      </c>
      <c r="M1191">
        <v>1.72</v>
      </c>
      <c r="N1191">
        <v>1.39</v>
      </c>
      <c r="O1191">
        <v>1.41</v>
      </c>
      <c r="P1191" t="s">
        <v>12</v>
      </c>
      <c r="Q1191" t="s">
        <v>13</v>
      </c>
      <c r="R1191" t="s">
        <v>15</v>
      </c>
      <c r="S1191">
        <v>0</v>
      </c>
    </row>
    <row r="1192" spans="1:19" x14ac:dyDescent="0.3">
      <c r="A1192">
        <v>1191</v>
      </c>
      <c r="B1192">
        <v>21.2</v>
      </c>
      <c r="C1192" t="s">
        <v>11</v>
      </c>
      <c r="D1192">
        <v>41489</v>
      </c>
      <c r="E1192" t="s">
        <v>4</v>
      </c>
      <c r="F1192">
        <v>5.46</v>
      </c>
      <c r="G1192">
        <v>76.7</v>
      </c>
      <c r="H1192">
        <v>1</v>
      </c>
      <c r="I1192">
        <v>36.799999999999997</v>
      </c>
      <c r="J1192" t="s">
        <v>3</v>
      </c>
      <c r="K1192" t="s">
        <v>3</v>
      </c>
      <c r="L1192">
        <v>4.8</v>
      </c>
      <c r="M1192">
        <v>2.19</v>
      </c>
      <c r="N1192">
        <v>2.33</v>
      </c>
      <c r="O1192">
        <v>2.33</v>
      </c>
      <c r="P1192" t="s">
        <v>7</v>
      </c>
      <c r="Q1192" t="s">
        <v>8</v>
      </c>
      <c r="R1192" t="s">
        <v>16</v>
      </c>
      <c r="S1192">
        <v>0</v>
      </c>
    </row>
    <row r="1193" spans="1:19" x14ac:dyDescent="0.3">
      <c r="A1193">
        <v>1192</v>
      </c>
      <c r="B1193">
        <v>18.100000000000001</v>
      </c>
      <c r="C1193" t="s">
        <v>5</v>
      </c>
      <c r="D1193">
        <v>65853</v>
      </c>
      <c r="E1193" t="s">
        <v>4</v>
      </c>
      <c r="F1193">
        <v>6.94</v>
      </c>
      <c r="G1193">
        <v>93.9</v>
      </c>
      <c r="H1193">
        <v>1</v>
      </c>
      <c r="I1193">
        <v>27.5</v>
      </c>
      <c r="J1193" t="s">
        <v>3</v>
      </c>
      <c r="K1193" t="s">
        <v>3</v>
      </c>
      <c r="L1193">
        <v>5</v>
      </c>
      <c r="M1193">
        <v>2.3199999999999998</v>
      </c>
      <c r="N1193">
        <v>2.37</v>
      </c>
      <c r="O1193">
        <v>2.37</v>
      </c>
      <c r="P1193" t="s">
        <v>7</v>
      </c>
      <c r="Q1193" t="s">
        <v>1</v>
      </c>
      <c r="R1193" t="s">
        <v>9</v>
      </c>
      <c r="S1193">
        <v>1</v>
      </c>
    </row>
    <row r="1194" spans="1:19" x14ac:dyDescent="0.3">
      <c r="A1194">
        <v>1193</v>
      </c>
      <c r="B1194">
        <v>19.7</v>
      </c>
      <c r="C1194" t="s">
        <v>5</v>
      </c>
      <c r="D1194">
        <v>48006</v>
      </c>
      <c r="E1194" t="s">
        <v>4</v>
      </c>
      <c r="F1194">
        <v>5.87</v>
      </c>
      <c r="G1194">
        <v>87.7</v>
      </c>
      <c r="H1194">
        <v>3</v>
      </c>
      <c r="I1194">
        <v>39.700000000000003</v>
      </c>
      <c r="J1194" t="s">
        <v>3</v>
      </c>
      <c r="K1194" t="s">
        <v>4</v>
      </c>
      <c r="L1194">
        <v>4.4000000000000004</v>
      </c>
      <c r="M1194">
        <v>2.71</v>
      </c>
      <c r="N1194">
        <v>2.1</v>
      </c>
      <c r="O1194">
        <v>2.04</v>
      </c>
      <c r="P1194" t="s">
        <v>7</v>
      </c>
      <c r="Q1194" t="s">
        <v>8</v>
      </c>
      <c r="R1194" t="s">
        <v>9</v>
      </c>
      <c r="S1194">
        <v>0</v>
      </c>
    </row>
    <row r="1195" spans="1:19" x14ac:dyDescent="0.3">
      <c r="A1195">
        <v>1194</v>
      </c>
      <c r="B1195">
        <v>21.7</v>
      </c>
      <c r="C1195" t="s">
        <v>5</v>
      </c>
      <c r="D1195">
        <v>33149</v>
      </c>
      <c r="E1195" t="s">
        <v>4</v>
      </c>
      <c r="F1195">
        <v>3.32</v>
      </c>
      <c r="G1195">
        <v>84.6</v>
      </c>
      <c r="H1195">
        <v>4</v>
      </c>
      <c r="I1195">
        <v>42.5</v>
      </c>
      <c r="J1195" t="s">
        <v>4</v>
      </c>
      <c r="K1195" t="s">
        <v>3</v>
      </c>
      <c r="L1195">
        <v>5.3</v>
      </c>
      <c r="M1195">
        <v>2.2400000000000002</v>
      </c>
      <c r="N1195">
        <v>2.06</v>
      </c>
      <c r="O1195">
        <v>2.06</v>
      </c>
      <c r="P1195" t="s">
        <v>2</v>
      </c>
      <c r="Q1195" t="s">
        <v>1</v>
      </c>
      <c r="R1195" t="s">
        <v>15</v>
      </c>
      <c r="S1195">
        <v>0</v>
      </c>
    </row>
    <row r="1196" spans="1:19" x14ac:dyDescent="0.3">
      <c r="A1196">
        <v>1195</v>
      </c>
      <c r="B1196">
        <v>17.5</v>
      </c>
      <c r="C1196" t="s">
        <v>5</v>
      </c>
      <c r="D1196">
        <v>25000</v>
      </c>
      <c r="E1196" t="s">
        <v>4</v>
      </c>
      <c r="F1196">
        <v>3.25</v>
      </c>
      <c r="G1196">
        <v>99.3</v>
      </c>
      <c r="H1196">
        <v>1</v>
      </c>
      <c r="I1196">
        <v>27.4</v>
      </c>
      <c r="J1196" t="s">
        <v>3</v>
      </c>
      <c r="K1196" t="s">
        <v>4</v>
      </c>
      <c r="L1196">
        <v>5.3</v>
      </c>
      <c r="M1196">
        <v>4</v>
      </c>
      <c r="N1196">
        <v>4</v>
      </c>
      <c r="O1196">
        <v>3.98</v>
      </c>
      <c r="P1196" t="s">
        <v>10</v>
      </c>
      <c r="Q1196" t="s">
        <v>6</v>
      </c>
      <c r="R1196" t="s">
        <v>9</v>
      </c>
      <c r="S1196">
        <v>0</v>
      </c>
    </row>
    <row r="1197" spans="1:19" x14ac:dyDescent="0.3">
      <c r="A1197">
        <v>1196</v>
      </c>
      <c r="B1197">
        <v>22</v>
      </c>
      <c r="C1197" t="s">
        <v>11</v>
      </c>
      <c r="D1197">
        <v>25405</v>
      </c>
      <c r="E1197" t="s">
        <v>4</v>
      </c>
      <c r="F1197">
        <v>4.6399999999999997</v>
      </c>
      <c r="G1197">
        <v>67.7</v>
      </c>
      <c r="H1197">
        <v>2</v>
      </c>
      <c r="I1197">
        <v>37.200000000000003</v>
      </c>
      <c r="J1197" t="s">
        <v>4</v>
      </c>
      <c r="K1197" t="s">
        <v>4</v>
      </c>
      <c r="L1197">
        <v>7.1</v>
      </c>
      <c r="M1197">
        <v>1.53</v>
      </c>
      <c r="N1197">
        <v>2.0299999999999998</v>
      </c>
      <c r="O1197">
        <v>2.02</v>
      </c>
      <c r="P1197" t="s">
        <v>7</v>
      </c>
      <c r="Q1197" t="s">
        <v>6</v>
      </c>
      <c r="R1197" t="s">
        <v>17</v>
      </c>
      <c r="S1197">
        <v>1</v>
      </c>
    </row>
    <row r="1198" spans="1:19" x14ac:dyDescent="0.3">
      <c r="A1198">
        <v>1197</v>
      </c>
      <c r="B1198">
        <v>21</v>
      </c>
      <c r="C1198" t="s">
        <v>11</v>
      </c>
      <c r="D1198">
        <v>25000</v>
      </c>
      <c r="E1198" t="s">
        <v>4</v>
      </c>
      <c r="F1198">
        <v>5.05</v>
      </c>
      <c r="G1198">
        <v>81.5</v>
      </c>
      <c r="H1198">
        <v>1</v>
      </c>
      <c r="I1198">
        <v>47.5</v>
      </c>
      <c r="J1198" t="s">
        <v>4</v>
      </c>
      <c r="K1198" t="s">
        <v>4</v>
      </c>
      <c r="L1198">
        <v>5.5</v>
      </c>
      <c r="M1198">
        <v>0.85</v>
      </c>
      <c r="N1198">
        <v>1.69</v>
      </c>
      <c r="O1198">
        <v>1.59</v>
      </c>
      <c r="P1198" t="s">
        <v>7</v>
      </c>
      <c r="Q1198" t="s">
        <v>6</v>
      </c>
      <c r="R1198" t="s">
        <v>15</v>
      </c>
      <c r="S1198">
        <v>1</v>
      </c>
    </row>
    <row r="1199" spans="1:19" x14ac:dyDescent="0.3">
      <c r="A1199">
        <v>1198</v>
      </c>
      <c r="B1199">
        <v>22.2</v>
      </c>
      <c r="C1199" t="s">
        <v>11</v>
      </c>
      <c r="D1199">
        <v>25000</v>
      </c>
      <c r="E1199" t="s">
        <v>4</v>
      </c>
      <c r="F1199">
        <v>5.46</v>
      </c>
      <c r="G1199">
        <v>98.3</v>
      </c>
      <c r="H1199">
        <v>4</v>
      </c>
      <c r="I1199">
        <v>42.2</v>
      </c>
      <c r="J1199" t="s">
        <v>3</v>
      </c>
      <c r="K1199" t="s">
        <v>4</v>
      </c>
      <c r="L1199">
        <v>6.6</v>
      </c>
      <c r="M1199">
        <v>3.77</v>
      </c>
      <c r="N1199">
        <v>3.55</v>
      </c>
      <c r="O1199">
        <v>3.57</v>
      </c>
      <c r="P1199" t="s">
        <v>12</v>
      </c>
      <c r="Q1199" t="s">
        <v>14</v>
      </c>
      <c r="R1199" t="s">
        <v>9</v>
      </c>
      <c r="S1199">
        <v>0</v>
      </c>
    </row>
    <row r="1200" spans="1:19" x14ac:dyDescent="0.3">
      <c r="A1200">
        <v>1199</v>
      </c>
      <c r="B1200">
        <v>21.5</v>
      </c>
      <c r="C1200" t="s">
        <v>11</v>
      </c>
      <c r="D1200">
        <v>25000</v>
      </c>
      <c r="E1200" t="s">
        <v>4</v>
      </c>
      <c r="F1200">
        <v>4.78</v>
      </c>
      <c r="G1200">
        <v>77.900000000000006</v>
      </c>
      <c r="H1200">
        <v>1</v>
      </c>
      <c r="I1200">
        <v>20.8</v>
      </c>
      <c r="J1200" t="s">
        <v>3</v>
      </c>
      <c r="K1200" t="s">
        <v>3</v>
      </c>
      <c r="L1200">
        <v>3</v>
      </c>
      <c r="M1200">
        <v>1.49</v>
      </c>
      <c r="N1200">
        <v>1.46</v>
      </c>
      <c r="O1200">
        <v>1.46</v>
      </c>
      <c r="P1200" t="s">
        <v>2</v>
      </c>
      <c r="Q1200" t="s">
        <v>14</v>
      </c>
      <c r="R1200" t="s">
        <v>15</v>
      </c>
      <c r="S1200">
        <v>0</v>
      </c>
    </row>
    <row r="1201" spans="1:19" x14ac:dyDescent="0.3">
      <c r="A1201">
        <v>1200</v>
      </c>
      <c r="B1201">
        <v>24</v>
      </c>
      <c r="C1201" t="s">
        <v>5</v>
      </c>
      <c r="D1201">
        <v>39960</v>
      </c>
      <c r="E1201" t="s">
        <v>4</v>
      </c>
      <c r="F1201">
        <v>2.41</v>
      </c>
      <c r="G1201">
        <v>75.400000000000006</v>
      </c>
      <c r="H1201">
        <v>4</v>
      </c>
      <c r="I1201">
        <v>27.8</v>
      </c>
      <c r="J1201" t="s">
        <v>3</v>
      </c>
      <c r="K1201" t="s">
        <v>3</v>
      </c>
      <c r="L1201">
        <v>3.6</v>
      </c>
      <c r="M1201">
        <v>0.87</v>
      </c>
      <c r="N1201">
        <v>1</v>
      </c>
      <c r="O1201">
        <v>1</v>
      </c>
      <c r="P1201" t="s">
        <v>2</v>
      </c>
      <c r="Q1201" t="s">
        <v>13</v>
      </c>
      <c r="R1201" t="s">
        <v>15</v>
      </c>
      <c r="S1201">
        <v>0</v>
      </c>
    </row>
    <row r="1202" spans="1:19" x14ac:dyDescent="0.3">
      <c r="A1202">
        <v>1201</v>
      </c>
      <c r="B1202">
        <v>21.3</v>
      </c>
      <c r="C1202" t="s">
        <v>11</v>
      </c>
      <c r="D1202">
        <v>36124</v>
      </c>
      <c r="E1202" t="s">
        <v>4</v>
      </c>
      <c r="F1202">
        <v>2.19</v>
      </c>
      <c r="G1202">
        <v>88.5</v>
      </c>
      <c r="H1202">
        <v>1</v>
      </c>
      <c r="I1202">
        <v>30.3</v>
      </c>
      <c r="J1202" t="s">
        <v>4</v>
      </c>
      <c r="K1202" t="s">
        <v>3</v>
      </c>
      <c r="L1202">
        <v>3</v>
      </c>
      <c r="M1202">
        <v>4</v>
      </c>
      <c r="N1202">
        <v>4</v>
      </c>
      <c r="O1202">
        <v>4</v>
      </c>
      <c r="P1202" t="s">
        <v>10</v>
      </c>
      <c r="Q1202" t="s">
        <v>1</v>
      </c>
      <c r="R1202" t="s">
        <v>9</v>
      </c>
      <c r="S1202">
        <v>0</v>
      </c>
    </row>
    <row r="1203" spans="1:19" x14ac:dyDescent="0.3">
      <c r="A1203">
        <v>1202</v>
      </c>
      <c r="B1203">
        <v>20.100000000000001</v>
      </c>
      <c r="C1203" t="s">
        <v>5</v>
      </c>
      <c r="D1203">
        <v>25000</v>
      </c>
      <c r="E1203" t="s">
        <v>4</v>
      </c>
      <c r="F1203">
        <v>5.9</v>
      </c>
      <c r="G1203">
        <v>77.5</v>
      </c>
      <c r="H1203">
        <v>1</v>
      </c>
      <c r="I1203">
        <v>18.8</v>
      </c>
      <c r="J1203" t="s">
        <v>3</v>
      </c>
      <c r="K1203" t="s">
        <v>4</v>
      </c>
      <c r="L1203">
        <v>4.8</v>
      </c>
      <c r="M1203">
        <v>3.58</v>
      </c>
      <c r="N1203">
        <v>3.85</v>
      </c>
      <c r="O1203">
        <v>3.77</v>
      </c>
      <c r="P1203" t="s">
        <v>7</v>
      </c>
      <c r="Q1203" t="s">
        <v>1</v>
      </c>
      <c r="R1203" t="s">
        <v>17</v>
      </c>
      <c r="S1203">
        <v>1</v>
      </c>
    </row>
    <row r="1204" spans="1:19" x14ac:dyDescent="0.3">
      <c r="A1204">
        <v>1203</v>
      </c>
      <c r="B1204">
        <v>21.3</v>
      </c>
      <c r="C1204" t="s">
        <v>11</v>
      </c>
      <c r="D1204">
        <v>25000</v>
      </c>
      <c r="E1204" t="s">
        <v>4</v>
      </c>
      <c r="F1204">
        <v>3.79</v>
      </c>
      <c r="G1204">
        <v>92.1</v>
      </c>
      <c r="H1204">
        <v>3</v>
      </c>
      <c r="I1204">
        <v>42.8</v>
      </c>
      <c r="J1204" t="s">
        <v>3</v>
      </c>
      <c r="K1204" t="s">
        <v>4</v>
      </c>
      <c r="L1204">
        <v>5.6</v>
      </c>
      <c r="M1204">
        <v>2.42</v>
      </c>
      <c r="N1204">
        <v>2.4300000000000002</v>
      </c>
      <c r="O1204">
        <v>2.44</v>
      </c>
      <c r="P1204" t="s">
        <v>7</v>
      </c>
      <c r="Q1204" t="s">
        <v>14</v>
      </c>
      <c r="R1204" t="s">
        <v>0</v>
      </c>
      <c r="S1204">
        <v>0</v>
      </c>
    </row>
    <row r="1205" spans="1:19" x14ac:dyDescent="0.3">
      <c r="A1205">
        <v>1204</v>
      </c>
      <c r="B1205">
        <v>22.2</v>
      </c>
      <c r="C1205" t="s">
        <v>5</v>
      </c>
      <c r="D1205">
        <v>59679</v>
      </c>
      <c r="E1205" t="s">
        <v>4</v>
      </c>
      <c r="F1205">
        <v>2.74</v>
      </c>
      <c r="G1205">
        <v>88.7</v>
      </c>
      <c r="H1205">
        <v>2</v>
      </c>
      <c r="I1205">
        <v>22.3</v>
      </c>
      <c r="J1205" t="s">
        <v>4</v>
      </c>
      <c r="K1205" t="s">
        <v>3</v>
      </c>
      <c r="L1205">
        <v>8.5</v>
      </c>
      <c r="M1205">
        <v>0</v>
      </c>
      <c r="N1205">
        <v>0</v>
      </c>
      <c r="O1205">
        <v>0</v>
      </c>
      <c r="P1205" t="s">
        <v>2</v>
      </c>
      <c r="Q1205" t="s">
        <v>13</v>
      </c>
      <c r="R1205" t="s">
        <v>15</v>
      </c>
      <c r="S1205">
        <v>1</v>
      </c>
    </row>
    <row r="1206" spans="1:19" x14ac:dyDescent="0.3">
      <c r="A1206">
        <v>1205</v>
      </c>
      <c r="B1206">
        <v>21.1</v>
      </c>
      <c r="C1206" t="s">
        <v>11</v>
      </c>
      <c r="D1206">
        <v>25000</v>
      </c>
      <c r="E1206" t="s">
        <v>4</v>
      </c>
      <c r="F1206">
        <v>2.5299999999999998</v>
      </c>
      <c r="G1206">
        <v>80.5</v>
      </c>
      <c r="H1206">
        <v>1</v>
      </c>
      <c r="I1206">
        <v>28.8</v>
      </c>
      <c r="J1206" t="s">
        <v>4</v>
      </c>
      <c r="K1206" t="s">
        <v>3</v>
      </c>
      <c r="L1206">
        <v>4</v>
      </c>
      <c r="M1206">
        <v>2.85</v>
      </c>
      <c r="N1206">
        <v>3.14</v>
      </c>
      <c r="O1206">
        <v>3.07</v>
      </c>
      <c r="P1206" t="s">
        <v>7</v>
      </c>
      <c r="Q1206" t="s">
        <v>13</v>
      </c>
      <c r="R1206" t="s">
        <v>0</v>
      </c>
      <c r="S1206">
        <v>1</v>
      </c>
    </row>
    <row r="1207" spans="1:19" x14ac:dyDescent="0.3">
      <c r="A1207">
        <v>1206</v>
      </c>
      <c r="B1207">
        <v>21.1</v>
      </c>
      <c r="C1207" t="s">
        <v>11</v>
      </c>
      <c r="D1207">
        <v>32941</v>
      </c>
      <c r="E1207" t="s">
        <v>4</v>
      </c>
      <c r="F1207">
        <v>3.29</v>
      </c>
      <c r="G1207">
        <v>89.8</v>
      </c>
      <c r="H1207">
        <v>0</v>
      </c>
      <c r="I1207">
        <v>42.9</v>
      </c>
      <c r="J1207" t="s">
        <v>3</v>
      </c>
      <c r="K1207" t="s">
        <v>4</v>
      </c>
      <c r="L1207">
        <v>7</v>
      </c>
      <c r="M1207">
        <v>0.83</v>
      </c>
      <c r="N1207">
        <v>0.73</v>
      </c>
      <c r="O1207">
        <v>0.77</v>
      </c>
      <c r="P1207" t="s">
        <v>10</v>
      </c>
      <c r="Q1207" t="s">
        <v>6</v>
      </c>
      <c r="R1207" t="s">
        <v>9</v>
      </c>
      <c r="S1207">
        <v>0</v>
      </c>
    </row>
    <row r="1208" spans="1:19" x14ac:dyDescent="0.3">
      <c r="A1208">
        <v>1207</v>
      </c>
      <c r="B1208">
        <v>19.5</v>
      </c>
      <c r="C1208" t="s">
        <v>5</v>
      </c>
      <c r="D1208">
        <v>26533</v>
      </c>
      <c r="E1208" t="s">
        <v>3</v>
      </c>
      <c r="F1208">
        <v>6.07</v>
      </c>
      <c r="G1208">
        <v>80.099999999999994</v>
      </c>
      <c r="H1208">
        <v>1</v>
      </c>
      <c r="I1208">
        <v>24.6</v>
      </c>
      <c r="J1208" t="s">
        <v>3</v>
      </c>
      <c r="K1208" t="s">
        <v>3</v>
      </c>
      <c r="L1208">
        <v>4</v>
      </c>
      <c r="M1208">
        <v>3.07</v>
      </c>
      <c r="N1208">
        <v>3.66</v>
      </c>
      <c r="O1208">
        <v>3.77</v>
      </c>
      <c r="P1208" t="s">
        <v>12</v>
      </c>
      <c r="Q1208" t="s">
        <v>8</v>
      </c>
      <c r="R1208" t="s">
        <v>15</v>
      </c>
      <c r="S1208">
        <v>1</v>
      </c>
    </row>
    <row r="1209" spans="1:19" x14ac:dyDescent="0.3">
      <c r="A1209">
        <v>1208</v>
      </c>
      <c r="B1209">
        <v>19.5</v>
      </c>
      <c r="C1209" t="s">
        <v>5</v>
      </c>
      <c r="D1209">
        <v>40288</v>
      </c>
      <c r="E1209" t="s">
        <v>4</v>
      </c>
      <c r="F1209">
        <v>3.68</v>
      </c>
      <c r="G1209">
        <v>83.1</v>
      </c>
      <c r="H1209">
        <v>2</v>
      </c>
      <c r="I1209">
        <v>26</v>
      </c>
      <c r="J1209" t="s">
        <v>4</v>
      </c>
      <c r="K1209" t="s">
        <v>4</v>
      </c>
      <c r="L1209">
        <v>5.5</v>
      </c>
      <c r="M1209">
        <v>2.1800000000000002</v>
      </c>
      <c r="N1209">
        <v>2.2999999999999998</v>
      </c>
      <c r="O1209">
        <v>2.2999999999999998</v>
      </c>
      <c r="P1209" t="s">
        <v>2</v>
      </c>
      <c r="Q1209" t="s">
        <v>8</v>
      </c>
      <c r="R1209" t="s">
        <v>0</v>
      </c>
      <c r="S1209">
        <v>0</v>
      </c>
    </row>
    <row r="1210" spans="1:19" x14ac:dyDescent="0.3">
      <c r="A1210">
        <v>1209</v>
      </c>
      <c r="B1210">
        <v>17.899999999999999</v>
      </c>
      <c r="C1210" t="s">
        <v>11</v>
      </c>
      <c r="E1210" t="s">
        <v>4</v>
      </c>
      <c r="G1210">
        <v>86.7</v>
      </c>
      <c r="H1210">
        <v>1</v>
      </c>
      <c r="I1210">
        <v>34.1</v>
      </c>
      <c r="J1210" t="s">
        <v>3</v>
      </c>
      <c r="K1210" t="s">
        <v>3</v>
      </c>
      <c r="M1210">
        <v>1.92</v>
      </c>
      <c r="N1210">
        <v>1.64</v>
      </c>
      <c r="O1210">
        <v>1.63</v>
      </c>
      <c r="P1210" t="s">
        <v>7</v>
      </c>
      <c r="Q1210" t="s">
        <v>13</v>
      </c>
      <c r="R1210" t="s">
        <v>15</v>
      </c>
      <c r="S1210">
        <v>0</v>
      </c>
    </row>
    <row r="1211" spans="1:19" x14ac:dyDescent="0.3">
      <c r="A1211">
        <v>1210</v>
      </c>
      <c r="B1211">
        <v>24.8</v>
      </c>
      <c r="C1211" t="s">
        <v>5</v>
      </c>
      <c r="D1211">
        <v>31384</v>
      </c>
      <c r="E1211" t="s">
        <v>4</v>
      </c>
      <c r="F1211">
        <v>4.45</v>
      </c>
      <c r="G1211">
        <v>78.900000000000006</v>
      </c>
      <c r="H1211">
        <v>1</v>
      </c>
      <c r="I1211">
        <v>25.1</v>
      </c>
      <c r="J1211" t="s">
        <v>3</v>
      </c>
      <c r="K1211" t="s">
        <v>3</v>
      </c>
      <c r="L1211">
        <v>3.8</v>
      </c>
      <c r="M1211">
        <v>2.0299999999999998</v>
      </c>
      <c r="N1211">
        <v>2.73</v>
      </c>
      <c r="O1211">
        <v>2.79</v>
      </c>
      <c r="P1211" t="s">
        <v>12</v>
      </c>
      <c r="Q1211" t="s">
        <v>6</v>
      </c>
      <c r="R1211" t="s">
        <v>0</v>
      </c>
      <c r="S1211">
        <v>1</v>
      </c>
    </row>
    <row r="1212" spans="1:19" x14ac:dyDescent="0.3">
      <c r="A1212">
        <v>1211</v>
      </c>
      <c r="B1212">
        <v>18.3</v>
      </c>
      <c r="C1212" t="s">
        <v>11</v>
      </c>
      <c r="D1212">
        <v>32900</v>
      </c>
      <c r="E1212" t="s">
        <v>4</v>
      </c>
      <c r="F1212">
        <v>3.92</v>
      </c>
      <c r="G1212">
        <v>94.1</v>
      </c>
      <c r="H1212">
        <v>3</v>
      </c>
      <c r="I1212">
        <v>48.4</v>
      </c>
      <c r="J1212" t="s">
        <v>4</v>
      </c>
      <c r="K1212" t="s">
        <v>4</v>
      </c>
      <c r="L1212">
        <v>4</v>
      </c>
      <c r="M1212">
        <v>4</v>
      </c>
      <c r="N1212">
        <v>3.92</v>
      </c>
      <c r="O1212">
        <v>3.92</v>
      </c>
      <c r="P1212" t="s">
        <v>2</v>
      </c>
      <c r="Q1212" t="s">
        <v>8</v>
      </c>
      <c r="R1212" t="s">
        <v>16</v>
      </c>
      <c r="S1212">
        <v>0</v>
      </c>
    </row>
    <row r="1213" spans="1:19" x14ac:dyDescent="0.3">
      <c r="A1213">
        <v>1212</v>
      </c>
      <c r="B1213">
        <v>19.5</v>
      </c>
      <c r="C1213" t="s">
        <v>11</v>
      </c>
      <c r="D1213">
        <v>34136</v>
      </c>
      <c r="E1213" t="s">
        <v>4</v>
      </c>
      <c r="F1213">
        <v>1.43</v>
      </c>
      <c r="G1213">
        <v>82.6</v>
      </c>
      <c r="H1213">
        <v>1</v>
      </c>
      <c r="I1213">
        <v>19</v>
      </c>
      <c r="J1213" t="s">
        <v>3</v>
      </c>
      <c r="K1213" t="s">
        <v>3</v>
      </c>
      <c r="L1213">
        <v>8.4</v>
      </c>
      <c r="M1213">
        <v>2.82</v>
      </c>
      <c r="N1213">
        <v>2.4300000000000002</v>
      </c>
      <c r="O1213">
        <v>2.4300000000000002</v>
      </c>
      <c r="P1213" t="s">
        <v>2</v>
      </c>
      <c r="Q1213" t="s">
        <v>6</v>
      </c>
      <c r="R1213" t="s">
        <v>9</v>
      </c>
      <c r="S1213">
        <v>0</v>
      </c>
    </row>
    <row r="1214" spans="1:19" x14ac:dyDescent="0.3">
      <c r="A1214">
        <v>1213</v>
      </c>
      <c r="B1214">
        <v>19.399999999999999</v>
      </c>
      <c r="C1214" t="s">
        <v>5</v>
      </c>
      <c r="D1214">
        <v>31177</v>
      </c>
      <c r="E1214" t="s">
        <v>4</v>
      </c>
      <c r="F1214">
        <v>5.09</v>
      </c>
      <c r="G1214">
        <v>84.3</v>
      </c>
      <c r="H1214">
        <v>1</v>
      </c>
      <c r="I1214">
        <v>5</v>
      </c>
      <c r="J1214" t="s">
        <v>3</v>
      </c>
      <c r="K1214" t="s">
        <v>3</v>
      </c>
      <c r="L1214">
        <v>4.5</v>
      </c>
      <c r="M1214">
        <v>1.51</v>
      </c>
      <c r="N1214">
        <v>1.17</v>
      </c>
      <c r="O1214">
        <v>1.2</v>
      </c>
      <c r="P1214" t="s">
        <v>7</v>
      </c>
      <c r="Q1214" t="s">
        <v>1</v>
      </c>
      <c r="R1214" t="s">
        <v>15</v>
      </c>
      <c r="S1214">
        <v>0</v>
      </c>
    </row>
    <row r="1215" spans="1:19" x14ac:dyDescent="0.3">
      <c r="A1215">
        <v>1214</v>
      </c>
      <c r="B1215">
        <v>23</v>
      </c>
      <c r="C1215" t="s">
        <v>5</v>
      </c>
      <c r="D1215">
        <v>36562</v>
      </c>
      <c r="E1215" t="s">
        <v>4</v>
      </c>
      <c r="F1215">
        <v>3.03</v>
      </c>
      <c r="G1215">
        <v>71.5</v>
      </c>
      <c r="H1215">
        <v>0</v>
      </c>
      <c r="I1215">
        <v>40.1</v>
      </c>
      <c r="J1215" t="s">
        <v>4</v>
      </c>
      <c r="K1215" t="s">
        <v>4</v>
      </c>
      <c r="L1215">
        <v>7.3</v>
      </c>
      <c r="M1215">
        <v>2.2400000000000002</v>
      </c>
      <c r="N1215">
        <v>1.91</v>
      </c>
      <c r="O1215">
        <v>1.94</v>
      </c>
      <c r="P1215" t="s">
        <v>10</v>
      </c>
      <c r="Q1215" t="s">
        <v>13</v>
      </c>
      <c r="R1215" t="s">
        <v>0</v>
      </c>
      <c r="S1215">
        <v>0</v>
      </c>
    </row>
    <row r="1216" spans="1:19" x14ac:dyDescent="0.3">
      <c r="A1216">
        <v>1215</v>
      </c>
      <c r="B1216">
        <v>20.399999999999999</v>
      </c>
      <c r="C1216" t="s">
        <v>11</v>
      </c>
      <c r="D1216">
        <v>110753</v>
      </c>
      <c r="E1216" t="s">
        <v>4</v>
      </c>
      <c r="F1216">
        <v>1.85</v>
      </c>
      <c r="G1216">
        <v>76.8</v>
      </c>
      <c r="H1216">
        <v>1</v>
      </c>
      <c r="I1216">
        <v>25.7</v>
      </c>
      <c r="J1216" t="s">
        <v>3</v>
      </c>
      <c r="K1216" t="s">
        <v>3</v>
      </c>
      <c r="L1216">
        <v>6.7</v>
      </c>
      <c r="M1216">
        <v>0.87</v>
      </c>
      <c r="N1216">
        <v>0.87</v>
      </c>
      <c r="O1216">
        <v>0.93</v>
      </c>
      <c r="P1216" t="s">
        <v>10</v>
      </c>
      <c r="Q1216" t="s">
        <v>14</v>
      </c>
      <c r="R1216" t="s">
        <v>9</v>
      </c>
      <c r="S1216">
        <v>0</v>
      </c>
    </row>
    <row r="1217" spans="1:19" x14ac:dyDescent="0.3">
      <c r="A1217">
        <v>1216</v>
      </c>
      <c r="B1217">
        <v>23.7</v>
      </c>
      <c r="C1217" t="s">
        <v>5</v>
      </c>
      <c r="D1217">
        <v>138244</v>
      </c>
      <c r="E1217" t="s">
        <v>4</v>
      </c>
      <c r="F1217">
        <v>1.6</v>
      </c>
      <c r="G1217">
        <v>83.3</v>
      </c>
      <c r="H1217">
        <v>2</v>
      </c>
      <c r="I1217">
        <v>20.3</v>
      </c>
      <c r="J1217" t="s">
        <v>3</v>
      </c>
      <c r="K1217" t="s">
        <v>3</v>
      </c>
      <c r="L1217">
        <v>4.4000000000000004</v>
      </c>
      <c r="M1217">
        <v>1.48</v>
      </c>
      <c r="N1217">
        <v>1.99</v>
      </c>
      <c r="O1217">
        <v>1.99</v>
      </c>
      <c r="P1217" t="s">
        <v>2</v>
      </c>
      <c r="Q1217" t="s">
        <v>13</v>
      </c>
      <c r="R1217" t="s">
        <v>0</v>
      </c>
      <c r="S1217">
        <v>0</v>
      </c>
    </row>
    <row r="1218" spans="1:19" x14ac:dyDescent="0.3">
      <c r="A1218">
        <v>1217</v>
      </c>
      <c r="B1218">
        <v>19.5</v>
      </c>
      <c r="C1218" t="s">
        <v>5</v>
      </c>
      <c r="D1218">
        <v>25000</v>
      </c>
      <c r="E1218" t="s">
        <v>4</v>
      </c>
      <c r="F1218">
        <v>4.7699999999999996</v>
      </c>
      <c r="G1218">
        <v>88.9</v>
      </c>
      <c r="H1218">
        <v>4</v>
      </c>
      <c r="I1218">
        <v>34.6</v>
      </c>
      <c r="J1218" t="s">
        <v>4</v>
      </c>
      <c r="K1218" t="s">
        <v>3</v>
      </c>
      <c r="L1218">
        <v>5.5</v>
      </c>
      <c r="M1218">
        <v>3.51</v>
      </c>
      <c r="N1218">
        <v>3.64</v>
      </c>
      <c r="O1218">
        <v>3.7</v>
      </c>
      <c r="P1218" t="s">
        <v>7</v>
      </c>
      <c r="Q1218" t="s">
        <v>8</v>
      </c>
      <c r="R1218" t="s">
        <v>16</v>
      </c>
      <c r="S1218">
        <v>0</v>
      </c>
    </row>
    <row r="1219" spans="1:19" x14ac:dyDescent="0.3">
      <c r="A1219">
        <v>1218</v>
      </c>
      <c r="B1219">
        <v>21.6</v>
      </c>
      <c r="C1219" t="s">
        <v>11</v>
      </c>
      <c r="D1219">
        <v>25000</v>
      </c>
      <c r="E1219" t="s">
        <v>4</v>
      </c>
      <c r="F1219">
        <v>5.05</v>
      </c>
      <c r="G1219">
        <v>93.3</v>
      </c>
      <c r="H1219">
        <v>3</v>
      </c>
      <c r="I1219">
        <v>35</v>
      </c>
      <c r="J1219" t="s">
        <v>3</v>
      </c>
      <c r="K1219" t="s">
        <v>3</v>
      </c>
      <c r="L1219">
        <v>5.7</v>
      </c>
      <c r="M1219">
        <v>1.93</v>
      </c>
      <c r="N1219">
        <v>1.38</v>
      </c>
      <c r="O1219">
        <v>1.38</v>
      </c>
      <c r="P1219" t="s">
        <v>2</v>
      </c>
      <c r="Q1219" t="s">
        <v>1</v>
      </c>
      <c r="R1219" t="s">
        <v>15</v>
      </c>
      <c r="S1219">
        <v>0</v>
      </c>
    </row>
    <row r="1220" spans="1:19" x14ac:dyDescent="0.3">
      <c r="A1220">
        <v>1219</v>
      </c>
      <c r="B1220">
        <v>19.2</v>
      </c>
      <c r="C1220" t="s">
        <v>11</v>
      </c>
      <c r="D1220">
        <v>42502</v>
      </c>
      <c r="E1220" t="s">
        <v>4</v>
      </c>
      <c r="F1220">
        <v>1.03</v>
      </c>
      <c r="G1220">
        <v>73.5</v>
      </c>
      <c r="H1220">
        <v>0</v>
      </c>
      <c r="I1220">
        <v>20.9</v>
      </c>
      <c r="J1220" t="s">
        <v>4</v>
      </c>
      <c r="K1220" t="s">
        <v>3</v>
      </c>
      <c r="L1220">
        <v>6.4</v>
      </c>
      <c r="M1220">
        <v>1.45</v>
      </c>
      <c r="N1220">
        <v>1.37</v>
      </c>
      <c r="O1220">
        <v>1.37</v>
      </c>
      <c r="P1220" t="s">
        <v>12</v>
      </c>
      <c r="Q1220" t="s">
        <v>8</v>
      </c>
      <c r="R1220" t="s">
        <v>15</v>
      </c>
      <c r="S1220">
        <v>0</v>
      </c>
    </row>
    <row r="1221" spans="1:19" x14ac:dyDescent="0.3">
      <c r="A1221">
        <v>1220</v>
      </c>
      <c r="B1221">
        <v>25.7</v>
      </c>
      <c r="C1221" t="s">
        <v>5</v>
      </c>
      <c r="D1221">
        <v>33248</v>
      </c>
      <c r="E1221" t="s">
        <v>3</v>
      </c>
      <c r="F1221">
        <v>3.32</v>
      </c>
      <c r="G1221">
        <v>75.400000000000006</v>
      </c>
      <c r="H1221">
        <v>2</v>
      </c>
      <c r="I1221">
        <v>44.2</v>
      </c>
      <c r="J1221" t="s">
        <v>4</v>
      </c>
      <c r="K1221" t="s">
        <v>3</v>
      </c>
      <c r="L1221">
        <v>4.8</v>
      </c>
      <c r="M1221">
        <v>1.88</v>
      </c>
      <c r="N1221">
        <v>2.0099999999999998</v>
      </c>
      <c r="O1221">
        <v>1.98</v>
      </c>
      <c r="P1221" t="s">
        <v>7</v>
      </c>
      <c r="Q1221" t="s">
        <v>8</v>
      </c>
      <c r="R1221" t="s">
        <v>16</v>
      </c>
      <c r="S1221">
        <v>1</v>
      </c>
    </row>
    <row r="1222" spans="1:19" x14ac:dyDescent="0.3">
      <c r="A1222">
        <v>1221</v>
      </c>
      <c r="B1222">
        <v>18.399999999999999</v>
      </c>
      <c r="C1222" t="s">
        <v>5</v>
      </c>
      <c r="D1222">
        <v>56197</v>
      </c>
      <c r="E1222" t="s">
        <v>4</v>
      </c>
      <c r="F1222">
        <v>4.47</v>
      </c>
      <c r="G1222">
        <v>72.2</v>
      </c>
      <c r="H1222">
        <v>2</v>
      </c>
      <c r="I1222">
        <v>40.299999999999997</v>
      </c>
      <c r="J1222" t="s">
        <v>4</v>
      </c>
      <c r="K1222" t="s">
        <v>3</v>
      </c>
      <c r="L1222">
        <v>2.8</v>
      </c>
      <c r="M1222">
        <v>2.5499999999999998</v>
      </c>
      <c r="N1222">
        <v>2.52</v>
      </c>
      <c r="O1222">
        <v>2.5099999999999998</v>
      </c>
      <c r="P1222" t="s">
        <v>10</v>
      </c>
      <c r="Q1222" t="s">
        <v>14</v>
      </c>
      <c r="R1222" t="s">
        <v>9</v>
      </c>
      <c r="S1222">
        <v>0</v>
      </c>
    </row>
    <row r="1223" spans="1:19" x14ac:dyDescent="0.3">
      <c r="A1223">
        <v>1222</v>
      </c>
      <c r="B1223">
        <v>21.7</v>
      </c>
      <c r="C1223" t="s">
        <v>11</v>
      </c>
      <c r="D1223">
        <v>35275</v>
      </c>
      <c r="E1223" t="s">
        <v>4</v>
      </c>
      <c r="F1223">
        <v>4.2</v>
      </c>
      <c r="G1223">
        <v>85.9</v>
      </c>
      <c r="H1223">
        <v>3</v>
      </c>
      <c r="I1223">
        <v>53.7</v>
      </c>
      <c r="J1223" t="s">
        <v>3</v>
      </c>
      <c r="K1223" t="s">
        <v>3</v>
      </c>
      <c r="L1223">
        <v>4.2</v>
      </c>
      <c r="M1223">
        <v>2.65</v>
      </c>
      <c r="N1223">
        <v>2.63</v>
      </c>
      <c r="O1223">
        <v>2.68</v>
      </c>
      <c r="P1223" t="s">
        <v>10</v>
      </c>
      <c r="Q1223" t="s">
        <v>8</v>
      </c>
      <c r="R1223" t="s">
        <v>9</v>
      </c>
      <c r="S1223">
        <v>1</v>
      </c>
    </row>
    <row r="1224" spans="1:19" x14ac:dyDescent="0.3">
      <c r="A1224">
        <v>1223</v>
      </c>
      <c r="B1224">
        <v>22.4</v>
      </c>
      <c r="C1224" t="s">
        <v>11</v>
      </c>
      <c r="D1224">
        <v>30797</v>
      </c>
      <c r="E1224" t="s">
        <v>4</v>
      </c>
      <c r="F1224">
        <v>3.33</v>
      </c>
      <c r="G1224">
        <v>93.3</v>
      </c>
      <c r="H1224">
        <v>2</v>
      </c>
      <c r="I1224">
        <v>24.5</v>
      </c>
      <c r="J1224" t="s">
        <v>4</v>
      </c>
      <c r="K1224" t="s">
        <v>4</v>
      </c>
      <c r="L1224">
        <v>7.6</v>
      </c>
      <c r="M1224">
        <v>0.39</v>
      </c>
      <c r="N1224">
        <v>0.42</v>
      </c>
      <c r="O1224">
        <v>0.41</v>
      </c>
      <c r="P1224" t="s">
        <v>10</v>
      </c>
      <c r="Q1224" t="s">
        <v>1</v>
      </c>
      <c r="R1224" t="s">
        <v>9</v>
      </c>
      <c r="S1224">
        <v>1</v>
      </c>
    </row>
    <row r="1225" spans="1:19" x14ac:dyDescent="0.3">
      <c r="A1225">
        <v>1224</v>
      </c>
      <c r="B1225">
        <v>21.9</v>
      </c>
      <c r="C1225" t="s">
        <v>11</v>
      </c>
      <c r="D1225">
        <v>58533</v>
      </c>
      <c r="E1225" t="s">
        <v>4</v>
      </c>
      <c r="F1225">
        <v>3.89</v>
      </c>
      <c r="G1225">
        <v>80.7</v>
      </c>
      <c r="H1225">
        <v>2</v>
      </c>
      <c r="I1225">
        <v>31.9</v>
      </c>
      <c r="J1225" t="s">
        <v>4</v>
      </c>
      <c r="K1225" t="s">
        <v>3</v>
      </c>
      <c r="L1225">
        <v>5.4</v>
      </c>
      <c r="M1225">
        <v>1.87</v>
      </c>
      <c r="N1225">
        <v>1.63</v>
      </c>
      <c r="O1225">
        <v>1.64</v>
      </c>
      <c r="P1225" t="s">
        <v>10</v>
      </c>
      <c r="Q1225" t="s">
        <v>13</v>
      </c>
      <c r="R1225" t="s">
        <v>9</v>
      </c>
      <c r="S1225">
        <v>1</v>
      </c>
    </row>
    <row r="1226" spans="1:19" x14ac:dyDescent="0.3">
      <c r="A1226">
        <v>1225</v>
      </c>
      <c r="B1226">
        <v>20.6</v>
      </c>
      <c r="C1226" t="s">
        <v>5</v>
      </c>
      <c r="E1226" t="s">
        <v>4</v>
      </c>
      <c r="G1226">
        <v>67.5</v>
      </c>
      <c r="H1226">
        <v>2</v>
      </c>
      <c r="I1226">
        <v>32.799999999999997</v>
      </c>
      <c r="J1226" t="s">
        <v>4</v>
      </c>
      <c r="K1226" t="s">
        <v>3</v>
      </c>
      <c r="M1226">
        <v>2.77</v>
      </c>
      <c r="N1226">
        <v>2.75</v>
      </c>
      <c r="O1226">
        <v>2.75</v>
      </c>
      <c r="P1226" t="s">
        <v>2</v>
      </c>
      <c r="Q1226" t="s">
        <v>13</v>
      </c>
      <c r="R1226" t="s">
        <v>9</v>
      </c>
      <c r="S1226">
        <v>0</v>
      </c>
    </row>
    <row r="1227" spans="1:19" x14ac:dyDescent="0.3">
      <c r="A1227">
        <v>1226</v>
      </c>
      <c r="B1227">
        <v>20.7</v>
      </c>
      <c r="C1227" t="s">
        <v>11</v>
      </c>
      <c r="D1227">
        <v>25000</v>
      </c>
      <c r="E1227" t="s">
        <v>4</v>
      </c>
      <c r="F1227">
        <v>4.57</v>
      </c>
      <c r="G1227">
        <v>83.1</v>
      </c>
      <c r="H1227">
        <v>2</v>
      </c>
      <c r="I1227">
        <v>26.1</v>
      </c>
      <c r="J1227" t="s">
        <v>3</v>
      </c>
      <c r="K1227" t="s">
        <v>4</v>
      </c>
      <c r="L1227">
        <v>2.8</v>
      </c>
      <c r="M1227">
        <v>3.08</v>
      </c>
      <c r="N1227">
        <v>2.95</v>
      </c>
      <c r="O1227">
        <v>2.97</v>
      </c>
      <c r="P1227" t="s">
        <v>12</v>
      </c>
      <c r="Q1227" t="s">
        <v>1</v>
      </c>
      <c r="R1227" t="s">
        <v>9</v>
      </c>
      <c r="S1227">
        <v>0</v>
      </c>
    </row>
    <row r="1228" spans="1:19" x14ac:dyDescent="0.3">
      <c r="A1228">
        <v>1227</v>
      </c>
      <c r="B1228">
        <v>21.1</v>
      </c>
      <c r="C1228" t="s">
        <v>11</v>
      </c>
      <c r="D1228">
        <v>25000</v>
      </c>
      <c r="E1228" t="s">
        <v>4</v>
      </c>
      <c r="F1228">
        <v>4.84</v>
      </c>
      <c r="G1228">
        <v>78.2</v>
      </c>
      <c r="H1228">
        <v>4</v>
      </c>
      <c r="I1228">
        <v>34.799999999999997</v>
      </c>
      <c r="J1228" t="s">
        <v>3</v>
      </c>
      <c r="K1228" t="s">
        <v>3</v>
      </c>
      <c r="L1228">
        <v>7.7</v>
      </c>
      <c r="M1228">
        <v>1.1200000000000001</v>
      </c>
      <c r="N1228">
        <v>0.66</v>
      </c>
      <c r="O1228">
        <v>0.66</v>
      </c>
      <c r="P1228" t="s">
        <v>2</v>
      </c>
      <c r="Q1228" t="s">
        <v>14</v>
      </c>
      <c r="R1228" t="s">
        <v>15</v>
      </c>
      <c r="S1228">
        <v>1</v>
      </c>
    </row>
    <row r="1229" spans="1:19" x14ac:dyDescent="0.3">
      <c r="A1229">
        <v>1228</v>
      </c>
      <c r="B1229">
        <v>20.7</v>
      </c>
      <c r="C1229" t="s">
        <v>11</v>
      </c>
      <c r="D1229">
        <v>27907</v>
      </c>
      <c r="E1229" t="s">
        <v>4</v>
      </c>
      <c r="F1229">
        <v>3.43</v>
      </c>
      <c r="G1229">
        <v>72.2</v>
      </c>
      <c r="H1229">
        <v>2</v>
      </c>
      <c r="I1229">
        <v>35.700000000000003</v>
      </c>
      <c r="J1229" t="s">
        <v>4</v>
      </c>
      <c r="K1229" t="s">
        <v>3</v>
      </c>
      <c r="L1229">
        <v>5.0999999999999996</v>
      </c>
      <c r="M1229">
        <v>2.41</v>
      </c>
      <c r="N1229">
        <v>2.62</v>
      </c>
      <c r="O1229">
        <v>2.64</v>
      </c>
      <c r="P1229" t="s">
        <v>12</v>
      </c>
      <c r="Q1229" t="s">
        <v>8</v>
      </c>
      <c r="R1229" t="s">
        <v>16</v>
      </c>
      <c r="S1229">
        <v>0</v>
      </c>
    </row>
    <row r="1230" spans="1:19" x14ac:dyDescent="0.3">
      <c r="A1230">
        <v>1229</v>
      </c>
      <c r="B1230">
        <v>23.1</v>
      </c>
      <c r="C1230" t="s">
        <v>11</v>
      </c>
      <c r="D1230">
        <v>31542</v>
      </c>
      <c r="E1230" t="s">
        <v>4</v>
      </c>
      <c r="F1230">
        <v>2.35</v>
      </c>
      <c r="G1230">
        <v>90.5</v>
      </c>
      <c r="H1230">
        <v>1</v>
      </c>
      <c r="I1230">
        <v>35.700000000000003</v>
      </c>
      <c r="J1230" t="s">
        <v>3</v>
      </c>
      <c r="K1230" t="s">
        <v>3</v>
      </c>
      <c r="L1230">
        <v>7.5</v>
      </c>
      <c r="M1230">
        <v>1.32</v>
      </c>
      <c r="N1230">
        <v>1.1299999999999999</v>
      </c>
      <c r="O1230">
        <v>1.1299999999999999</v>
      </c>
      <c r="P1230" t="s">
        <v>2</v>
      </c>
      <c r="Q1230" t="s">
        <v>1</v>
      </c>
      <c r="R1230" t="s">
        <v>0</v>
      </c>
      <c r="S1230">
        <v>0</v>
      </c>
    </row>
    <row r="1231" spans="1:19" x14ac:dyDescent="0.3">
      <c r="A1231">
        <v>1230</v>
      </c>
      <c r="B1231">
        <v>25.9</v>
      </c>
      <c r="C1231" t="s">
        <v>5</v>
      </c>
      <c r="D1231">
        <v>25963</v>
      </c>
      <c r="E1231" t="s">
        <v>4</v>
      </c>
      <c r="F1231">
        <v>4.32</v>
      </c>
      <c r="G1231">
        <v>83.2</v>
      </c>
      <c r="H1231">
        <v>2</v>
      </c>
      <c r="I1231">
        <v>26.1</v>
      </c>
      <c r="J1231" t="s">
        <v>3</v>
      </c>
      <c r="K1231" t="s">
        <v>3</v>
      </c>
      <c r="L1231">
        <v>6.7</v>
      </c>
      <c r="M1231">
        <v>1.95</v>
      </c>
      <c r="N1231">
        <v>2.02</v>
      </c>
      <c r="O1231">
        <v>1.97</v>
      </c>
      <c r="P1231" t="s">
        <v>10</v>
      </c>
      <c r="Q1231" t="s">
        <v>1</v>
      </c>
      <c r="R1231" t="s">
        <v>9</v>
      </c>
      <c r="S1231">
        <v>0</v>
      </c>
    </row>
    <row r="1232" spans="1:19" x14ac:dyDescent="0.3">
      <c r="A1232">
        <v>1231</v>
      </c>
      <c r="B1232">
        <v>19.8</v>
      </c>
      <c r="C1232" t="s">
        <v>11</v>
      </c>
      <c r="D1232">
        <v>38581</v>
      </c>
      <c r="E1232" t="s">
        <v>4</v>
      </c>
      <c r="F1232">
        <v>5.04</v>
      </c>
      <c r="G1232">
        <v>77.599999999999994</v>
      </c>
      <c r="H1232">
        <v>1</v>
      </c>
      <c r="I1232">
        <v>27.5</v>
      </c>
      <c r="J1232" t="s">
        <v>3</v>
      </c>
      <c r="K1232" t="s">
        <v>3</v>
      </c>
      <c r="L1232">
        <v>6.9</v>
      </c>
      <c r="M1232">
        <v>2.5099999999999998</v>
      </c>
      <c r="N1232">
        <v>2.6</v>
      </c>
      <c r="O1232">
        <v>2.6</v>
      </c>
      <c r="P1232" t="s">
        <v>2</v>
      </c>
      <c r="Q1232" t="s">
        <v>6</v>
      </c>
      <c r="R1232" t="s">
        <v>16</v>
      </c>
      <c r="S1232">
        <v>1</v>
      </c>
    </row>
    <row r="1233" spans="1:19" x14ac:dyDescent="0.3">
      <c r="A1233">
        <v>1232</v>
      </c>
      <c r="B1233">
        <v>18</v>
      </c>
      <c r="C1233" t="s">
        <v>5</v>
      </c>
      <c r="D1233">
        <v>54050</v>
      </c>
      <c r="E1233" t="s">
        <v>3</v>
      </c>
      <c r="F1233">
        <v>3.12</v>
      </c>
      <c r="G1233">
        <v>100</v>
      </c>
      <c r="H1233">
        <v>2</v>
      </c>
      <c r="I1233">
        <v>23.2</v>
      </c>
      <c r="J1233" t="s">
        <v>3</v>
      </c>
      <c r="K1233" t="s">
        <v>4</v>
      </c>
      <c r="L1233">
        <v>8.5</v>
      </c>
      <c r="M1233">
        <v>0.78</v>
      </c>
      <c r="N1233">
        <v>0.53</v>
      </c>
      <c r="O1233">
        <v>0.53</v>
      </c>
      <c r="P1233" t="s">
        <v>7</v>
      </c>
      <c r="Q1233" t="s">
        <v>14</v>
      </c>
      <c r="R1233" t="s">
        <v>9</v>
      </c>
      <c r="S1233">
        <v>0</v>
      </c>
    </row>
    <row r="1234" spans="1:19" x14ac:dyDescent="0.3">
      <c r="A1234">
        <v>1233</v>
      </c>
      <c r="B1234">
        <v>20.8</v>
      </c>
      <c r="C1234" t="s">
        <v>5</v>
      </c>
      <c r="D1234">
        <v>83586</v>
      </c>
      <c r="E1234" t="s">
        <v>4</v>
      </c>
      <c r="F1234">
        <v>4.3</v>
      </c>
      <c r="G1234">
        <v>82</v>
      </c>
      <c r="H1234">
        <v>3</v>
      </c>
      <c r="I1234">
        <v>21</v>
      </c>
      <c r="J1234" t="s">
        <v>4</v>
      </c>
      <c r="K1234" t="s">
        <v>3</v>
      </c>
      <c r="L1234">
        <v>5.7</v>
      </c>
      <c r="M1234">
        <v>2.52</v>
      </c>
      <c r="N1234">
        <v>2.02</v>
      </c>
      <c r="O1234">
        <v>2.02</v>
      </c>
      <c r="P1234" t="s">
        <v>2</v>
      </c>
      <c r="Q1234" t="s">
        <v>8</v>
      </c>
      <c r="R1234" t="s">
        <v>9</v>
      </c>
      <c r="S1234">
        <v>0</v>
      </c>
    </row>
    <row r="1235" spans="1:19" x14ac:dyDescent="0.3">
      <c r="A1235">
        <v>1234</v>
      </c>
      <c r="B1235">
        <v>26.7</v>
      </c>
      <c r="C1235" t="s">
        <v>11</v>
      </c>
      <c r="D1235">
        <v>42081</v>
      </c>
      <c r="E1235" t="s">
        <v>4</v>
      </c>
      <c r="F1235">
        <v>4</v>
      </c>
      <c r="G1235">
        <v>68.3</v>
      </c>
      <c r="H1235">
        <v>2</v>
      </c>
      <c r="I1235">
        <v>29.2</v>
      </c>
      <c r="J1235" t="s">
        <v>3</v>
      </c>
      <c r="K1235" t="s">
        <v>3</v>
      </c>
      <c r="L1235">
        <v>5.3</v>
      </c>
      <c r="M1235">
        <v>0.22</v>
      </c>
      <c r="N1235">
        <v>0.37</v>
      </c>
      <c r="O1235">
        <v>0.36</v>
      </c>
      <c r="P1235" t="s">
        <v>10</v>
      </c>
      <c r="Q1235" t="s">
        <v>6</v>
      </c>
      <c r="R1235" t="s">
        <v>9</v>
      </c>
      <c r="S1235">
        <v>1</v>
      </c>
    </row>
    <row r="1236" spans="1:19" x14ac:dyDescent="0.3">
      <c r="A1236">
        <v>1235</v>
      </c>
      <c r="B1236">
        <v>19.2</v>
      </c>
      <c r="C1236" t="s">
        <v>11</v>
      </c>
      <c r="D1236">
        <v>25000</v>
      </c>
      <c r="E1236" t="s">
        <v>3</v>
      </c>
      <c r="F1236">
        <v>1.84</v>
      </c>
      <c r="G1236">
        <v>87.2</v>
      </c>
      <c r="H1236">
        <v>1</v>
      </c>
      <c r="I1236">
        <v>48.2</v>
      </c>
      <c r="J1236" t="s">
        <v>4</v>
      </c>
      <c r="K1236" t="s">
        <v>4</v>
      </c>
      <c r="L1236">
        <v>8.3000000000000007</v>
      </c>
      <c r="M1236">
        <v>1.01</v>
      </c>
      <c r="N1236">
        <v>0.68</v>
      </c>
      <c r="O1236">
        <v>0.69</v>
      </c>
      <c r="P1236" t="s">
        <v>7</v>
      </c>
      <c r="Q1236" t="s">
        <v>13</v>
      </c>
      <c r="R1236" t="s">
        <v>16</v>
      </c>
      <c r="S1236">
        <v>1</v>
      </c>
    </row>
    <row r="1237" spans="1:19" x14ac:dyDescent="0.3">
      <c r="A1237">
        <v>1236</v>
      </c>
      <c r="B1237">
        <v>24.6</v>
      </c>
      <c r="C1237" t="s">
        <v>11</v>
      </c>
      <c r="D1237">
        <v>27216</v>
      </c>
      <c r="E1237" t="s">
        <v>4</v>
      </c>
      <c r="F1237">
        <v>3.79</v>
      </c>
      <c r="G1237">
        <v>67.3</v>
      </c>
      <c r="H1237">
        <v>1</v>
      </c>
      <c r="I1237">
        <v>54.5</v>
      </c>
      <c r="J1237" t="s">
        <v>3</v>
      </c>
      <c r="K1237" t="s">
        <v>4</v>
      </c>
      <c r="L1237">
        <v>7</v>
      </c>
      <c r="M1237">
        <v>2.78</v>
      </c>
      <c r="N1237">
        <v>3.01</v>
      </c>
      <c r="O1237">
        <v>3.03</v>
      </c>
      <c r="P1237" t="s">
        <v>7</v>
      </c>
      <c r="Q1237" t="s">
        <v>14</v>
      </c>
      <c r="R1237" t="s">
        <v>0</v>
      </c>
      <c r="S1237">
        <v>0</v>
      </c>
    </row>
    <row r="1238" spans="1:19" x14ac:dyDescent="0.3">
      <c r="A1238">
        <v>1237</v>
      </c>
      <c r="B1238">
        <v>24.7</v>
      </c>
      <c r="C1238" t="s">
        <v>11</v>
      </c>
      <c r="D1238">
        <v>28418</v>
      </c>
      <c r="E1238" t="s">
        <v>4</v>
      </c>
      <c r="F1238">
        <v>4.2300000000000004</v>
      </c>
      <c r="G1238">
        <v>85.7</v>
      </c>
      <c r="H1238">
        <v>3</v>
      </c>
      <c r="I1238">
        <v>45.8</v>
      </c>
      <c r="J1238" t="s">
        <v>3</v>
      </c>
      <c r="K1238" t="s">
        <v>4</v>
      </c>
      <c r="L1238">
        <v>4.2</v>
      </c>
      <c r="M1238">
        <v>2</v>
      </c>
      <c r="N1238">
        <v>1.88</v>
      </c>
      <c r="O1238">
        <v>1.88</v>
      </c>
      <c r="P1238" t="s">
        <v>2</v>
      </c>
      <c r="Q1238" t="s">
        <v>14</v>
      </c>
      <c r="R1238" t="s">
        <v>9</v>
      </c>
      <c r="S1238">
        <v>1</v>
      </c>
    </row>
    <row r="1239" spans="1:19" x14ac:dyDescent="0.3">
      <c r="A1239">
        <v>1238</v>
      </c>
      <c r="B1239">
        <v>19.8</v>
      </c>
      <c r="C1239" t="s">
        <v>5</v>
      </c>
      <c r="D1239">
        <v>40489</v>
      </c>
      <c r="E1239" t="s">
        <v>4</v>
      </c>
      <c r="F1239">
        <v>3.4</v>
      </c>
      <c r="G1239">
        <v>85.5</v>
      </c>
      <c r="H1239">
        <v>0</v>
      </c>
      <c r="I1239">
        <v>24.4</v>
      </c>
      <c r="J1239" t="s">
        <v>3</v>
      </c>
      <c r="K1239" t="s">
        <v>4</v>
      </c>
      <c r="L1239">
        <v>7.4</v>
      </c>
      <c r="M1239">
        <v>2.37</v>
      </c>
      <c r="N1239">
        <v>2.99</v>
      </c>
      <c r="O1239">
        <v>3.05</v>
      </c>
      <c r="P1239" t="s">
        <v>12</v>
      </c>
      <c r="Q1239" t="s">
        <v>13</v>
      </c>
      <c r="R1239" t="s">
        <v>0</v>
      </c>
      <c r="S1239">
        <v>1</v>
      </c>
    </row>
    <row r="1240" spans="1:19" x14ac:dyDescent="0.3">
      <c r="A1240">
        <v>1239</v>
      </c>
      <c r="B1240">
        <v>22.3</v>
      </c>
      <c r="C1240" t="s">
        <v>11</v>
      </c>
      <c r="D1240">
        <v>37530</v>
      </c>
      <c r="E1240" t="s">
        <v>3</v>
      </c>
      <c r="F1240">
        <v>5.42</v>
      </c>
      <c r="G1240">
        <v>93</v>
      </c>
      <c r="H1240">
        <v>1</v>
      </c>
      <c r="I1240">
        <v>34.9</v>
      </c>
      <c r="J1240" t="s">
        <v>4</v>
      </c>
      <c r="K1240" t="s">
        <v>3</v>
      </c>
      <c r="L1240">
        <v>8.1999999999999993</v>
      </c>
      <c r="M1240">
        <v>2.09</v>
      </c>
      <c r="N1240">
        <v>1.76</v>
      </c>
      <c r="O1240">
        <v>1.75</v>
      </c>
      <c r="P1240" t="s">
        <v>12</v>
      </c>
      <c r="Q1240" t="s">
        <v>6</v>
      </c>
      <c r="R1240" t="s">
        <v>9</v>
      </c>
      <c r="S1240">
        <v>0</v>
      </c>
    </row>
    <row r="1241" spans="1:19" x14ac:dyDescent="0.3">
      <c r="A1241">
        <v>1240</v>
      </c>
      <c r="B1241">
        <v>24.6</v>
      </c>
      <c r="C1241" t="s">
        <v>5</v>
      </c>
      <c r="D1241">
        <v>101746</v>
      </c>
      <c r="E1241" t="s">
        <v>4</v>
      </c>
      <c r="F1241">
        <v>2.38</v>
      </c>
      <c r="G1241">
        <v>74</v>
      </c>
      <c r="H1241">
        <v>3</v>
      </c>
      <c r="I1241">
        <v>5.4</v>
      </c>
      <c r="J1241" t="s">
        <v>3</v>
      </c>
      <c r="K1241" t="s">
        <v>4</v>
      </c>
      <c r="L1241">
        <v>1.4</v>
      </c>
      <c r="M1241">
        <v>2.91</v>
      </c>
      <c r="N1241">
        <v>3.44</v>
      </c>
      <c r="O1241">
        <v>3.43</v>
      </c>
      <c r="P1241" t="s">
        <v>10</v>
      </c>
      <c r="Q1241" t="s">
        <v>14</v>
      </c>
      <c r="R1241" t="s">
        <v>0</v>
      </c>
      <c r="S1241">
        <v>0</v>
      </c>
    </row>
    <row r="1242" spans="1:19" x14ac:dyDescent="0.3">
      <c r="A1242">
        <v>1241</v>
      </c>
      <c r="B1242">
        <v>20.2</v>
      </c>
      <c r="C1242" t="s">
        <v>11</v>
      </c>
      <c r="D1242">
        <v>25000</v>
      </c>
      <c r="E1242" t="s">
        <v>4</v>
      </c>
      <c r="F1242">
        <v>6.8</v>
      </c>
      <c r="G1242">
        <v>79.7</v>
      </c>
      <c r="H1242">
        <v>2</v>
      </c>
      <c r="I1242">
        <v>28.1</v>
      </c>
      <c r="J1242" t="s">
        <v>3</v>
      </c>
      <c r="K1242" t="s">
        <v>3</v>
      </c>
      <c r="L1242">
        <v>3.3</v>
      </c>
      <c r="M1242">
        <v>3.72</v>
      </c>
      <c r="N1242">
        <v>3.52</v>
      </c>
      <c r="O1242">
        <v>3.52</v>
      </c>
      <c r="P1242" t="s">
        <v>2</v>
      </c>
      <c r="Q1242" t="s">
        <v>1</v>
      </c>
      <c r="R1242" t="s">
        <v>9</v>
      </c>
      <c r="S1242">
        <v>0</v>
      </c>
    </row>
    <row r="1243" spans="1:19" x14ac:dyDescent="0.3">
      <c r="A1243">
        <v>1242</v>
      </c>
      <c r="B1243">
        <v>20.6</v>
      </c>
      <c r="C1243" t="s">
        <v>5</v>
      </c>
      <c r="D1243">
        <v>37453</v>
      </c>
      <c r="E1243" t="s">
        <v>3</v>
      </c>
      <c r="F1243">
        <v>4</v>
      </c>
      <c r="G1243">
        <v>81.400000000000006</v>
      </c>
      <c r="H1243">
        <v>2</v>
      </c>
      <c r="I1243">
        <v>25.3</v>
      </c>
      <c r="J1243" t="s">
        <v>4</v>
      </c>
      <c r="K1243" t="s">
        <v>3</v>
      </c>
      <c r="L1243">
        <v>4</v>
      </c>
      <c r="M1243">
        <v>2.89</v>
      </c>
      <c r="N1243">
        <v>2.87</v>
      </c>
      <c r="O1243">
        <v>2.87</v>
      </c>
      <c r="P1243" t="s">
        <v>2</v>
      </c>
      <c r="Q1243" t="s">
        <v>6</v>
      </c>
      <c r="R1243" t="s">
        <v>0</v>
      </c>
      <c r="S1243">
        <v>0</v>
      </c>
    </row>
    <row r="1244" spans="1:19" x14ac:dyDescent="0.3">
      <c r="A1244">
        <v>1243</v>
      </c>
      <c r="B1244">
        <v>19.7</v>
      </c>
      <c r="C1244" t="s">
        <v>11</v>
      </c>
      <c r="D1244">
        <v>122128</v>
      </c>
      <c r="E1244" t="s">
        <v>4</v>
      </c>
      <c r="F1244">
        <v>3.75</v>
      </c>
      <c r="G1244">
        <v>88.9</v>
      </c>
      <c r="H1244">
        <v>3</v>
      </c>
      <c r="I1244">
        <v>52.5</v>
      </c>
      <c r="J1244" t="s">
        <v>4</v>
      </c>
      <c r="K1244" t="s">
        <v>3</v>
      </c>
      <c r="L1244">
        <v>6.8</v>
      </c>
      <c r="M1244">
        <v>2.86</v>
      </c>
      <c r="N1244">
        <v>2.92</v>
      </c>
      <c r="O1244">
        <v>2.91</v>
      </c>
      <c r="P1244" t="s">
        <v>10</v>
      </c>
      <c r="Q1244" t="s">
        <v>8</v>
      </c>
      <c r="R1244" t="s">
        <v>15</v>
      </c>
      <c r="S1244">
        <v>0</v>
      </c>
    </row>
    <row r="1245" spans="1:19" x14ac:dyDescent="0.3">
      <c r="A1245">
        <v>1244</v>
      </c>
      <c r="B1245">
        <v>18.8</v>
      </c>
      <c r="C1245" t="s">
        <v>5</v>
      </c>
      <c r="D1245">
        <v>25000</v>
      </c>
      <c r="E1245" t="s">
        <v>4</v>
      </c>
      <c r="F1245">
        <v>5.19</v>
      </c>
      <c r="G1245">
        <v>85.5</v>
      </c>
      <c r="H1245">
        <v>4</v>
      </c>
      <c r="I1245">
        <v>33.1</v>
      </c>
      <c r="J1245" t="s">
        <v>4</v>
      </c>
      <c r="K1245" t="s">
        <v>4</v>
      </c>
      <c r="L1245">
        <v>6.9</v>
      </c>
      <c r="M1245">
        <v>2.4500000000000002</v>
      </c>
      <c r="N1245">
        <v>2.2200000000000002</v>
      </c>
      <c r="O1245">
        <v>2.19</v>
      </c>
      <c r="P1245" t="s">
        <v>12</v>
      </c>
      <c r="Q1245" t="s">
        <v>6</v>
      </c>
      <c r="R1245" t="s">
        <v>9</v>
      </c>
      <c r="S1245">
        <v>0</v>
      </c>
    </row>
    <row r="1246" spans="1:19" x14ac:dyDescent="0.3">
      <c r="A1246">
        <v>1245</v>
      </c>
      <c r="B1246">
        <v>19.600000000000001</v>
      </c>
      <c r="C1246" t="s">
        <v>11</v>
      </c>
      <c r="D1246">
        <v>32438</v>
      </c>
      <c r="E1246" t="s">
        <v>3</v>
      </c>
      <c r="F1246">
        <v>2.06</v>
      </c>
      <c r="G1246">
        <v>86.2</v>
      </c>
      <c r="H1246">
        <v>2</v>
      </c>
      <c r="I1246">
        <v>30.6</v>
      </c>
      <c r="J1246" t="s">
        <v>4</v>
      </c>
      <c r="K1246" t="s">
        <v>3</v>
      </c>
      <c r="L1246">
        <v>6.4</v>
      </c>
      <c r="M1246">
        <v>2.52</v>
      </c>
      <c r="N1246">
        <v>2.63</v>
      </c>
      <c r="O1246">
        <v>2.63</v>
      </c>
      <c r="P1246" t="s">
        <v>2</v>
      </c>
      <c r="Q1246" t="s">
        <v>6</v>
      </c>
      <c r="R1246" t="s">
        <v>9</v>
      </c>
      <c r="S1246">
        <v>0</v>
      </c>
    </row>
    <row r="1247" spans="1:19" x14ac:dyDescent="0.3">
      <c r="A1247">
        <v>1246</v>
      </c>
      <c r="B1247">
        <v>18.3</v>
      </c>
      <c r="C1247" t="s">
        <v>11</v>
      </c>
      <c r="D1247">
        <v>25000</v>
      </c>
      <c r="E1247" t="s">
        <v>4</v>
      </c>
      <c r="F1247">
        <v>6.96</v>
      </c>
      <c r="G1247">
        <v>91.8</v>
      </c>
      <c r="H1247">
        <v>2</v>
      </c>
      <c r="I1247">
        <v>29.2</v>
      </c>
      <c r="J1247" t="s">
        <v>4</v>
      </c>
      <c r="K1247" t="s">
        <v>3</v>
      </c>
      <c r="L1247">
        <v>7.1</v>
      </c>
      <c r="M1247">
        <v>3.71</v>
      </c>
      <c r="N1247">
        <v>3.66</v>
      </c>
      <c r="O1247">
        <v>3.67</v>
      </c>
      <c r="P1247" t="s">
        <v>12</v>
      </c>
      <c r="Q1247" t="s">
        <v>8</v>
      </c>
      <c r="R1247" t="s">
        <v>9</v>
      </c>
      <c r="S1247">
        <v>0</v>
      </c>
    </row>
    <row r="1248" spans="1:19" x14ac:dyDescent="0.3">
      <c r="A1248">
        <v>1247</v>
      </c>
      <c r="B1248">
        <v>21.1</v>
      </c>
      <c r="C1248" t="s">
        <v>5</v>
      </c>
      <c r="D1248">
        <v>31234</v>
      </c>
      <c r="E1248" t="s">
        <v>4</v>
      </c>
      <c r="F1248">
        <v>3.11</v>
      </c>
      <c r="G1248">
        <v>80.2</v>
      </c>
      <c r="H1248">
        <v>2</v>
      </c>
      <c r="I1248">
        <v>26.5</v>
      </c>
      <c r="J1248" t="s">
        <v>3</v>
      </c>
      <c r="K1248" t="s">
        <v>4</v>
      </c>
      <c r="L1248">
        <v>3.5</v>
      </c>
      <c r="M1248">
        <v>2.76</v>
      </c>
      <c r="N1248">
        <v>2.9</v>
      </c>
      <c r="O1248">
        <v>2.9</v>
      </c>
      <c r="P1248" t="s">
        <v>2</v>
      </c>
      <c r="Q1248" t="s">
        <v>13</v>
      </c>
      <c r="R1248" t="s">
        <v>9</v>
      </c>
      <c r="S1248">
        <v>0</v>
      </c>
    </row>
    <row r="1249" spans="1:19" x14ac:dyDescent="0.3">
      <c r="A1249">
        <v>1248</v>
      </c>
      <c r="B1249">
        <v>19.3</v>
      </c>
      <c r="C1249" t="s">
        <v>11</v>
      </c>
      <c r="E1249" t="s">
        <v>4</v>
      </c>
      <c r="G1249">
        <v>93.7</v>
      </c>
      <c r="H1249">
        <v>3</v>
      </c>
      <c r="I1249">
        <v>36.4</v>
      </c>
      <c r="J1249" t="s">
        <v>3</v>
      </c>
      <c r="K1249" t="s">
        <v>4</v>
      </c>
      <c r="M1249">
        <v>3.54</v>
      </c>
      <c r="N1249">
        <v>3.49</v>
      </c>
      <c r="O1249">
        <v>3.61</v>
      </c>
      <c r="P1249" t="s">
        <v>12</v>
      </c>
      <c r="Q1249" t="s">
        <v>1</v>
      </c>
      <c r="R1249" t="s">
        <v>15</v>
      </c>
      <c r="S1249">
        <v>0</v>
      </c>
    </row>
    <row r="1250" spans="1:19" x14ac:dyDescent="0.3">
      <c r="A1250">
        <v>1249</v>
      </c>
      <c r="B1250">
        <v>21.5</v>
      </c>
      <c r="C1250" t="s">
        <v>11</v>
      </c>
      <c r="D1250">
        <v>55719</v>
      </c>
      <c r="E1250" t="s">
        <v>4</v>
      </c>
      <c r="F1250">
        <v>4</v>
      </c>
      <c r="G1250">
        <v>81.3</v>
      </c>
      <c r="H1250">
        <v>2</v>
      </c>
      <c r="I1250">
        <v>22.1</v>
      </c>
      <c r="J1250" t="s">
        <v>3</v>
      </c>
      <c r="K1250" t="s">
        <v>3</v>
      </c>
      <c r="L1250">
        <v>7.8</v>
      </c>
      <c r="M1250">
        <v>1.34</v>
      </c>
      <c r="N1250">
        <v>1.46</v>
      </c>
      <c r="O1250">
        <v>1.45</v>
      </c>
      <c r="P1250" t="s">
        <v>10</v>
      </c>
      <c r="Q1250" t="s">
        <v>13</v>
      </c>
      <c r="R1250" t="s">
        <v>15</v>
      </c>
      <c r="S1250">
        <v>0</v>
      </c>
    </row>
    <row r="1251" spans="1:19" x14ac:dyDescent="0.3">
      <c r="A1251">
        <v>1250</v>
      </c>
      <c r="B1251">
        <v>17.600000000000001</v>
      </c>
      <c r="C1251" t="s">
        <v>11</v>
      </c>
      <c r="D1251">
        <v>32480</v>
      </c>
      <c r="E1251" t="s">
        <v>4</v>
      </c>
      <c r="F1251">
        <v>2.68</v>
      </c>
      <c r="G1251">
        <v>89.2</v>
      </c>
      <c r="H1251">
        <v>1</v>
      </c>
      <c r="I1251">
        <v>36.6</v>
      </c>
      <c r="J1251" t="s">
        <v>3</v>
      </c>
      <c r="K1251" t="s">
        <v>3</v>
      </c>
      <c r="L1251">
        <v>5.7</v>
      </c>
      <c r="M1251">
        <v>2.5299999999999998</v>
      </c>
      <c r="N1251">
        <v>2.5499999999999998</v>
      </c>
      <c r="O1251">
        <v>2.57</v>
      </c>
      <c r="P1251" t="s">
        <v>10</v>
      </c>
      <c r="Q1251" t="s">
        <v>1</v>
      </c>
      <c r="R1251" t="s">
        <v>15</v>
      </c>
      <c r="S1251">
        <v>0</v>
      </c>
    </row>
    <row r="1252" spans="1:19" x14ac:dyDescent="0.3">
      <c r="A1252">
        <v>1251</v>
      </c>
      <c r="B1252">
        <v>21.7</v>
      </c>
      <c r="C1252" t="s">
        <v>11</v>
      </c>
      <c r="D1252">
        <v>25000</v>
      </c>
      <c r="E1252" t="s">
        <v>4</v>
      </c>
      <c r="F1252">
        <v>5.32</v>
      </c>
      <c r="G1252">
        <v>78</v>
      </c>
      <c r="H1252">
        <v>0</v>
      </c>
      <c r="I1252">
        <v>47.2</v>
      </c>
      <c r="J1252" t="s">
        <v>4</v>
      </c>
      <c r="K1252" t="s">
        <v>3</v>
      </c>
      <c r="L1252">
        <v>7.7</v>
      </c>
      <c r="M1252">
        <v>1.96</v>
      </c>
      <c r="N1252">
        <v>1.27</v>
      </c>
      <c r="O1252">
        <v>1.29</v>
      </c>
      <c r="P1252" t="s">
        <v>10</v>
      </c>
      <c r="Q1252" t="s">
        <v>6</v>
      </c>
      <c r="R1252" t="s">
        <v>15</v>
      </c>
      <c r="S1252">
        <v>0</v>
      </c>
    </row>
    <row r="1253" spans="1:19" x14ac:dyDescent="0.3">
      <c r="A1253">
        <v>1252</v>
      </c>
      <c r="B1253">
        <v>22.8</v>
      </c>
      <c r="C1253" t="s">
        <v>5</v>
      </c>
      <c r="D1253">
        <v>49234</v>
      </c>
      <c r="E1253" t="s">
        <v>4</v>
      </c>
      <c r="F1253">
        <v>4.6900000000000004</v>
      </c>
      <c r="G1253">
        <v>86.8</v>
      </c>
      <c r="H1253">
        <v>0</v>
      </c>
      <c r="I1253">
        <v>31.4</v>
      </c>
      <c r="J1253" t="s">
        <v>3</v>
      </c>
      <c r="K1253" t="s">
        <v>3</v>
      </c>
      <c r="L1253">
        <v>4.2</v>
      </c>
      <c r="M1253">
        <v>2.5499999999999998</v>
      </c>
      <c r="N1253">
        <v>2.2400000000000002</v>
      </c>
      <c r="O1253">
        <v>2.2400000000000002</v>
      </c>
      <c r="P1253" t="s">
        <v>2</v>
      </c>
      <c r="Q1253" t="s">
        <v>1</v>
      </c>
      <c r="R1253" t="s">
        <v>15</v>
      </c>
      <c r="S1253">
        <v>0</v>
      </c>
    </row>
    <row r="1254" spans="1:19" x14ac:dyDescent="0.3">
      <c r="A1254">
        <v>1253</v>
      </c>
      <c r="B1254">
        <v>17</v>
      </c>
      <c r="C1254" t="s">
        <v>5</v>
      </c>
      <c r="D1254">
        <v>33117</v>
      </c>
      <c r="E1254" t="s">
        <v>4</v>
      </c>
      <c r="F1254">
        <v>7.97</v>
      </c>
      <c r="G1254">
        <v>91.3</v>
      </c>
      <c r="H1254">
        <v>2</v>
      </c>
      <c r="I1254">
        <v>26.2</v>
      </c>
      <c r="J1254" t="s">
        <v>3</v>
      </c>
      <c r="K1254" t="s">
        <v>3</v>
      </c>
      <c r="L1254">
        <v>3.6</v>
      </c>
      <c r="M1254">
        <v>3.24</v>
      </c>
      <c r="N1254">
        <v>3.55</v>
      </c>
      <c r="O1254">
        <v>3.55</v>
      </c>
      <c r="P1254" t="s">
        <v>2</v>
      </c>
      <c r="Q1254" t="s">
        <v>6</v>
      </c>
      <c r="R1254" t="s">
        <v>9</v>
      </c>
      <c r="S1254">
        <v>0</v>
      </c>
    </row>
    <row r="1255" spans="1:19" x14ac:dyDescent="0.3">
      <c r="A1255">
        <v>1254</v>
      </c>
      <c r="B1255">
        <v>21.8</v>
      </c>
      <c r="C1255" t="s">
        <v>5</v>
      </c>
      <c r="E1255" t="s">
        <v>4</v>
      </c>
      <c r="G1255">
        <v>73.3</v>
      </c>
      <c r="H1255">
        <v>5</v>
      </c>
      <c r="I1255">
        <v>29.1</v>
      </c>
      <c r="J1255" t="s">
        <v>3</v>
      </c>
      <c r="K1255" t="s">
        <v>3</v>
      </c>
      <c r="M1255">
        <v>2.65</v>
      </c>
      <c r="N1255">
        <v>2.82</v>
      </c>
      <c r="O1255">
        <v>2.82</v>
      </c>
      <c r="P1255" t="s">
        <v>2</v>
      </c>
      <c r="Q1255" t="s">
        <v>1</v>
      </c>
      <c r="R1255" t="s">
        <v>15</v>
      </c>
      <c r="S1255">
        <v>0</v>
      </c>
    </row>
    <row r="1256" spans="1:19" x14ac:dyDescent="0.3">
      <c r="A1256">
        <v>1255</v>
      </c>
      <c r="B1256">
        <v>23.7</v>
      </c>
      <c r="C1256" t="s">
        <v>5</v>
      </c>
      <c r="D1256">
        <v>25000</v>
      </c>
      <c r="E1256" t="s">
        <v>4</v>
      </c>
      <c r="F1256">
        <v>3.18</v>
      </c>
      <c r="G1256">
        <v>89.6</v>
      </c>
      <c r="H1256">
        <v>5</v>
      </c>
      <c r="I1256">
        <v>44.4</v>
      </c>
      <c r="J1256" t="s">
        <v>4</v>
      </c>
      <c r="K1256" t="s">
        <v>3</v>
      </c>
      <c r="L1256">
        <v>6.9</v>
      </c>
      <c r="M1256">
        <v>0.02</v>
      </c>
      <c r="N1256">
        <v>0.06</v>
      </c>
      <c r="O1256">
        <v>0.03</v>
      </c>
      <c r="P1256" t="s">
        <v>10</v>
      </c>
      <c r="Q1256" t="s">
        <v>6</v>
      </c>
      <c r="R1256" t="s">
        <v>9</v>
      </c>
      <c r="S1256">
        <v>1</v>
      </c>
    </row>
    <row r="1257" spans="1:19" x14ac:dyDescent="0.3">
      <c r="A1257">
        <v>1256</v>
      </c>
      <c r="B1257">
        <v>18.3</v>
      </c>
      <c r="C1257" t="s">
        <v>5</v>
      </c>
      <c r="D1257">
        <v>37097</v>
      </c>
      <c r="E1257" t="s">
        <v>4</v>
      </c>
      <c r="F1257">
        <v>1.59</v>
      </c>
      <c r="G1257">
        <v>83.4</v>
      </c>
      <c r="H1257">
        <v>1</v>
      </c>
      <c r="I1257">
        <v>31.7</v>
      </c>
      <c r="J1257" t="s">
        <v>3</v>
      </c>
      <c r="K1257" t="s">
        <v>4</v>
      </c>
      <c r="L1257">
        <v>7.5</v>
      </c>
      <c r="M1257">
        <v>0.3</v>
      </c>
      <c r="N1257">
        <v>0.36</v>
      </c>
      <c r="O1257">
        <v>0.37</v>
      </c>
      <c r="P1257" t="s">
        <v>12</v>
      </c>
      <c r="Q1257" t="s">
        <v>14</v>
      </c>
      <c r="R1257" t="s">
        <v>9</v>
      </c>
      <c r="S1257">
        <v>1</v>
      </c>
    </row>
    <row r="1258" spans="1:19" x14ac:dyDescent="0.3">
      <c r="A1258">
        <v>1257</v>
      </c>
      <c r="B1258">
        <v>24.7</v>
      </c>
      <c r="C1258" t="s">
        <v>11</v>
      </c>
      <c r="D1258">
        <v>47288</v>
      </c>
      <c r="E1258" t="s">
        <v>4</v>
      </c>
      <c r="F1258">
        <v>3.03</v>
      </c>
      <c r="G1258">
        <v>98.3</v>
      </c>
      <c r="H1258">
        <v>2</v>
      </c>
      <c r="I1258">
        <v>22.7</v>
      </c>
      <c r="J1258" t="s">
        <v>4</v>
      </c>
      <c r="K1258" t="s">
        <v>4</v>
      </c>
      <c r="L1258">
        <v>6.5</v>
      </c>
      <c r="M1258">
        <v>2.62</v>
      </c>
      <c r="N1258">
        <v>3.02</v>
      </c>
      <c r="O1258">
        <v>3.02</v>
      </c>
      <c r="P1258" t="s">
        <v>2</v>
      </c>
      <c r="Q1258" t="s">
        <v>6</v>
      </c>
      <c r="R1258" t="s">
        <v>15</v>
      </c>
      <c r="S1258">
        <v>0</v>
      </c>
    </row>
    <row r="1259" spans="1:19" x14ac:dyDescent="0.3">
      <c r="A1259">
        <v>1258</v>
      </c>
      <c r="B1259">
        <v>21.9</v>
      </c>
      <c r="C1259" t="s">
        <v>5</v>
      </c>
      <c r="D1259">
        <v>25000</v>
      </c>
      <c r="E1259" t="s">
        <v>4</v>
      </c>
      <c r="F1259">
        <v>4.33</v>
      </c>
      <c r="G1259">
        <v>79.900000000000006</v>
      </c>
      <c r="H1259">
        <v>1</v>
      </c>
      <c r="I1259">
        <v>39.700000000000003</v>
      </c>
      <c r="J1259" t="s">
        <v>4</v>
      </c>
      <c r="K1259" t="s">
        <v>3</v>
      </c>
      <c r="L1259">
        <v>4.5999999999999996</v>
      </c>
      <c r="M1259">
        <v>2.85</v>
      </c>
      <c r="N1259">
        <v>2.87</v>
      </c>
      <c r="O1259">
        <v>2.78</v>
      </c>
      <c r="P1259" t="s">
        <v>12</v>
      </c>
      <c r="Q1259" t="s">
        <v>14</v>
      </c>
      <c r="R1259" t="s">
        <v>0</v>
      </c>
      <c r="S1259">
        <v>0</v>
      </c>
    </row>
    <row r="1260" spans="1:19" x14ac:dyDescent="0.3">
      <c r="A1260">
        <v>1259</v>
      </c>
      <c r="B1260">
        <v>19.399999999999999</v>
      </c>
      <c r="C1260" t="s">
        <v>5</v>
      </c>
      <c r="D1260">
        <v>25000</v>
      </c>
      <c r="E1260" t="s">
        <v>4</v>
      </c>
      <c r="F1260">
        <v>3.51</v>
      </c>
      <c r="G1260">
        <v>84.3</v>
      </c>
      <c r="H1260">
        <v>2</v>
      </c>
      <c r="I1260">
        <v>21.5</v>
      </c>
      <c r="J1260" t="s">
        <v>3</v>
      </c>
      <c r="K1260" t="s">
        <v>4</v>
      </c>
      <c r="L1260">
        <v>6.6</v>
      </c>
      <c r="M1260">
        <v>1.64</v>
      </c>
      <c r="N1260">
        <v>1.92</v>
      </c>
      <c r="O1260">
        <v>1.96</v>
      </c>
      <c r="P1260" t="s">
        <v>7</v>
      </c>
      <c r="Q1260" t="s">
        <v>14</v>
      </c>
      <c r="R1260" t="s">
        <v>15</v>
      </c>
      <c r="S1260">
        <v>1</v>
      </c>
    </row>
    <row r="1261" spans="1:19" x14ac:dyDescent="0.3">
      <c r="A1261">
        <v>1260</v>
      </c>
      <c r="B1261">
        <v>20.9</v>
      </c>
      <c r="C1261" t="s">
        <v>5</v>
      </c>
      <c r="D1261">
        <v>29000</v>
      </c>
      <c r="E1261" t="s">
        <v>4</v>
      </c>
      <c r="F1261">
        <v>4.99</v>
      </c>
      <c r="G1261">
        <v>80.8</v>
      </c>
      <c r="H1261">
        <v>3</v>
      </c>
      <c r="I1261">
        <v>27.2</v>
      </c>
      <c r="J1261" t="s">
        <v>3</v>
      </c>
      <c r="K1261" t="s">
        <v>3</v>
      </c>
      <c r="L1261">
        <v>6.6</v>
      </c>
      <c r="M1261">
        <v>2.3199999999999998</v>
      </c>
      <c r="N1261">
        <v>2.77</v>
      </c>
      <c r="O1261">
        <v>2.77</v>
      </c>
      <c r="P1261" t="s">
        <v>2</v>
      </c>
      <c r="Q1261" t="s">
        <v>6</v>
      </c>
      <c r="R1261" t="s">
        <v>17</v>
      </c>
      <c r="S1261">
        <v>1</v>
      </c>
    </row>
    <row r="1262" spans="1:19" x14ac:dyDescent="0.3">
      <c r="A1262">
        <v>1261</v>
      </c>
      <c r="B1262">
        <v>22.2</v>
      </c>
      <c r="C1262" t="s">
        <v>11</v>
      </c>
      <c r="D1262">
        <v>62123</v>
      </c>
      <c r="E1262" t="s">
        <v>4</v>
      </c>
      <c r="F1262">
        <v>4.47</v>
      </c>
      <c r="G1262">
        <v>87.3</v>
      </c>
      <c r="H1262">
        <v>3</v>
      </c>
      <c r="I1262">
        <v>32.700000000000003</v>
      </c>
      <c r="J1262" t="s">
        <v>4</v>
      </c>
      <c r="K1262" t="s">
        <v>4</v>
      </c>
      <c r="L1262">
        <v>1.9</v>
      </c>
      <c r="M1262">
        <v>4</v>
      </c>
      <c r="N1262">
        <v>3.28</v>
      </c>
      <c r="O1262">
        <v>3.27</v>
      </c>
      <c r="P1262" t="s">
        <v>12</v>
      </c>
      <c r="Q1262" t="s">
        <v>1</v>
      </c>
      <c r="R1262" t="s">
        <v>0</v>
      </c>
      <c r="S1262">
        <v>0</v>
      </c>
    </row>
    <row r="1263" spans="1:19" x14ac:dyDescent="0.3">
      <c r="A1263">
        <v>1262</v>
      </c>
      <c r="B1263">
        <v>21.2</v>
      </c>
      <c r="C1263" t="s">
        <v>11</v>
      </c>
      <c r="E1263" t="s">
        <v>4</v>
      </c>
      <c r="G1263">
        <v>64.5</v>
      </c>
      <c r="H1263">
        <v>6</v>
      </c>
      <c r="I1263">
        <v>20.3</v>
      </c>
      <c r="J1263" t="s">
        <v>3</v>
      </c>
      <c r="K1263" t="s">
        <v>3</v>
      </c>
      <c r="M1263">
        <v>2.04</v>
      </c>
      <c r="N1263">
        <v>2.13</v>
      </c>
      <c r="O1263">
        <v>2.0499999999999998</v>
      </c>
      <c r="P1263" t="s">
        <v>7</v>
      </c>
      <c r="Q1263" t="s">
        <v>13</v>
      </c>
      <c r="R1263" t="s">
        <v>9</v>
      </c>
      <c r="S1263">
        <v>1</v>
      </c>
    </row>
    <row r="1264" spans="1:19" x14ac:dyDescent="0.3">
      <c r="A1264">
        <v>1263</v>
      </c>
      <c r="B1264">
        <v>22.2</v>
      </c>
      <c r="C1264" t="s">
        <v>5</v>
      </c>
      <c r="D1264">
        <v>25000</v>
      </c>
      <c r="E1264" t="s">
        <v>4</v>
      </c>
      <c r="F1264">
        <v>3.47</v>
      </c>
      <c r="G1264">
        <v>70.7</v>
      </c>
      <c r="H1264">
        <v>1</v>
      </c>
      <c r="I1264">
        <v>8.6</v>
      </c>
      <c r="J1264" t="s">
        <v>3</v>
      </c>
      <c r="K1264" t="s">
        <v>3</v>
      </c>
      <c r="L1264">
        <v>6</v>
      </c>
      <c r="M1264">
        <v>1.46</v>
      </c>
      <c r="N1264">
        <v>1.62</v>
      </c>
      <c r="O1264">
        <v>1.61</v>
      </c>
      <c r="P1264" t="s">
        <v>12</v>
      </c>
      <c r="Q1264" t="s">
        <v>6</v>
      </c>
      <c r="R1264" t="s">
        <v>15</v>
      </c>
      <c r="S1264">
        <v>0</v>
      </c>
    </row>
    <row r="1265" spans="1:19" x14ac:dyDescent="0.3">
      <c r="A1265">
        <v>1264</v>
      </c>
      <c r="B1265">
        <v>19</v>
      </c>
      <c r="C1265" t="s">
        <v>11</v>
      </c>
      <c r="D1265">
        <v>25000</v>
      </c>
      <c r="E1265" t="s">
        <v>4</v>
      </c>
      <c r="F1265">
        <v>2.87</v>
      </c>
      <c r="G1265">
        <v>87.3</v>
      </c>
      <c r="H1265">
        <v>3</v>
      </c>
      <c r="I1265">
        <v>35.4</v>
      </c>
      <c r="J1265" t="s">
        <v>3</v>
      </c>
      <c r="K1265" t="s">
        <v>3</v>
      </c>
      <c r="L1265">
        <v>7.5</v>
      </c>
      <c r="M1265">
        <v>1.0900000000000001</v>
      </c>
      <c r="N1265">
        <v>0.76</v>
      </c>
      <c r="O1265">
        <v>0.75</v>
      </c>
      <c r="P1265" t="s">
        <v>12</v>
      </c>
      <c r="Q1265" t="s">
        <v>13</v>
      </c>
      <c r="R1265" t="s">
        <v>9</v>
      </c>
      <c r="S1265">
        <v>0</v>
      </c>
    </row>
    <row r="1266" spans="1:19" x14ac:dyDescent="0.3">
      <c r="A1266">
        <v>1265</v>
      </c>
      <c r="B1266">
        <v>21.4</v>
      </c>
      <c r="C1266" t="s">
        <v>5</v>
      </c>
      <c r="D1266">
        <v>25000</v>
      </c>
      <c r="E1266" t="s">
        <v>4</v>
      </c>
      <c r="F1266">
        <v>4.45</v>
      </c>
      <c r="G1266">
        <v>82.2</v>
      </c>
      <c r="H1266">
        <v>0</v>
      </c>
      <c r="I1266">
        <v>5</v>
      </c>
      <c r="J1266" t="s">
        <v>4</v>
      </c>
      <c r="K1266" t="s">
        <v>3</v>
      </c>
      <c r="L1266">
        <v>5.3</v>
      </c>
      <c r="M1266">
        <v>2.79</v>
      </c>
      <c r="N1266">
        <v>3.09</v>
      </c>
      <c r="O1266">
        <v>3.09</v>
      </c>
      <c r="P1266" t="s">
        <v>2</v>
      </c>
      <c r="Q1266" t="s">
        <v>1</v>
      </c>
      <c r="R1266" t="s">
        <v>0</v>
      </c>
      <c r="S1266">
        <v>0</v>
      </c>
    </row>
    <row r="1267" spans="1:19" x14ac:dyDescent="0.3">
      <c r="A1267">
        <v>1266</v>
      </c>
      <c r="B1267">
        <v>17.899999999999999</v>
      </c>
      <c r="C1267" t="s">
        <v>11</v>
      </c>
      <c r="D1267">
        <v>25000</v>
      </c>
      <c r="E1267" t="s">
        <v>4</v>
      </c>
      <c r="F1267">
        <v>4.5599999999999996</v>
      </c>
      <c r="G1267">
        <v>66</v>
      </c>
      <c r="H1267">
        <v>0</v>
      </c>
      <c r="I1267">
        <v>18.899999999999999</v>
      </c>
      <c r="J1267" t="s">
        <v>4</v>
      </c>
      <c r="K1267" t="s">
        <v>3</v>
      </c>
      <c r="L1267">
        <v>5.8</v>
      </c>
      <c r="M1267">
        <v>0.94</v>
      </c>
      <c r="N1267">
        <v>0.95</v>
      </c>
      <c r="O1267">
        <v>0.95</v>
      </c>
      <c r="P1267" t="s">
        <v>2</v>
      </c>
      <c r="Q1267" t="s">
        <v>8</v>
      </c>
      <c r="R1267" t="s">
        <v>15</v>
      </c>
      <c r="S1267">
        <v>1</v>
      </c>
    </row>
    <row r="1268" spans="1:19" x14ac:dyDescent="0.3">
      <c r="A1268">
        <v>1267</v>
      </c>
      <c r="B1268">
        <v>20.8</v>
      </c>
      <c r="C1268" t="s">
        <v>11</v>
      </c>
      <c r="D1268">
        <v>38866</v>
      </c>
      <c r="E1268" t="s">
        <v>4</v>
      </c>
      <c r="F1268">
        <v>3.22</v>
      </c>
      <c r="G1268">
        <v>76.900000000000006</v>
      </c>
      <c r="H1268">
        <v>3</v>
      </c>
      <c r="I1268">
        <v>39.299999999999997</v>
      </c>
      <c r="J1268" t="s">
        <v>3</v>
      </c>
      <c r="K1268" t="s">
        <v>3</v>
      </c>
      <c r="L1268">
        <v>5.4</v>
      </c>
      <c r="M1268">
        <v>2.02</v>
      </c>
      <c r="N1268">
        <v>1.73</v>
      </c>
      <c r="O1268">
        <v>1.73</v>
      </c>
      <c r="P1268" t="s">
        <v>7</v>
      </c>
      <c r="Q1268" t="s">
        <v>6</v>
      </c>
      <c r="R1268" t="s">
        <v>9</v>
      </c>
      <c r="S1268">
        <v>1</v>
      </c>
    </row>
    <row r="1269" spans="1:19" x14ac:dyDescent="0.3">
      <c r="A1269">
        <v>1268</v>
      </c>
      <c r="B1269">
        <v>19</v>
      </c>
      <c r="C1269" t="s">
        <v>5</v>
      </c>
      <c r="D1269">
        <v>27917</v>
      </c>
      <c r="E1269" t="s">
        <v>4</v>
      </c>
      <c r="F1269">
        <v>1.87</v>
      </c>
      <c r="G1269">
        <v>78.900000000000006</v>
      </c>
      <c r="H1269">
        <v>1</v>
      </c>
      <c r="I1269">
        <v>35</v>
      </c>
      <c r="J1269" t="s">
        <v>3</v>
      </c>
      <c r="K1269" t="s">
        <v>4</v>
      </c>
      <c r="L1269">
        <v>6</v>
      </c>
      <c r="M1269">
        <v>0.51</v>
      </c>
      <c r="N1269">
        <v>0.81</v>
      </c>
      <c r="O1269">
        <v>0.76</v>
      </c>
      <c r="P1269" t="s">
        <v>12</v>
      </c>
      <c r="Q1269" t="s">
        <v>14</v>
      </c>
      <c r="R1269" t="s">
        <v>9</v>
      </c>
      <c r="S1269">
        <v>1</v>
      </c>
    </row>
    <row r="1270" spans="1:19" x14ac:dyDescent="0.3">
      <c r="A1270">
        <v>1269</v>
      </c>
      <c r="B1270">
        <v>19.399999999999999</v>
      </c>
      <c r="C1270" t="s">
        <v>11</v>
      </c>
      <c r="D1270">
        <v>25000</v>
      </c>
      <c r="E1270" t="s">
        <v>4</v>
      </c>
      <c r="F1270">
        <v>7.66</v>
      </c>
      <c r="G1270">
        <v>78.099999999999994</v>
      </c>
      <c r="H1270">
        <v>4</v>
      </c>
      <c r="I1270">
        <v>28.1</v>
      </c>
      <c r="J1270" t="s">
        <v>4</v>
      </c>
      <c r="K1270" t="s">
        <v>3</v>
      </c>
      <c r="L1270">
        <v>3</v>
      </c>
      <c r="M1270">
        <v>3.11</v>
      </c>
      <c r="N1270">
        <v>3.16</v>
      </c>
      <c r="O1270">
        <v>3.16</v>
      </c>
      <c r="P1270" t="s">
        <v>12</v>
      </c>
      <c r="Q1270" t="s">
        <v>14</v>
      </c>
      <c r="R1270" t="s">
        <v>17</v>
      </c>
      <c r="S1270">
        <v>0</v>
      </c>
    </row>
    <row r="1271" spans="1:19" x14ac:dyDescent="0.3">
      <c r="A1271">
        <v>1270</v>
      </c>
      <c r="B1271">
        <v>23.7</v>
      </c>
      <c r="C1271" t="s">
        <v>11</v>
      </c>
      <c r="D1271">
        <v>57674</v>
      </c>
      <c r="E1271" t="s">
        <v>4</v>
      </c>
      <c r="F1271">
        <v>4.42</v>
      </c>
      <c r="G1271">
        <v>89.5</v>
      </c>
      <c r="H1271">
        <v>0</v>
      </c>
      <c r="I1271">
        <v>19.3</v>
      </c>
      <c r="J1271" t="s">
        <v>3</v>
      </c>
      <c r="K1271" t="s">
        <v>3</v>
      </c>
      <c r="L1271">
        <v>4.4000000000000004</v>
      </c>
      <c r="M1271">
        <v>2.77</v>
      </c>
      <c r="N1271">
        <v>2.97</v>
      </c>
      <c r="O1271">
        <v>3</v>
      </c>
      <c r="P1271" t="s">
        <v>12</v>
      </c>
      <c r="Q1271" t="s">
        <v>14</v>
      </c>
      <c r="R1271" t="s">
        <v>0</v>
      </c>
      <c r="S1271">
        <v>0</v>
      </c>
    </row>
    <row r="1272" spans="1:19" x14ac:dyDescent="0.3">
      <c r="A1272">
        <v>1271</v>
      </c>
      <c r="B1272">
        <v>23.4</v>
      </c>
      <c r="C1272" t="s">
        <v>5</v>
      </c>
      <c r="D1272">
        <v>32346</v>
      </c>
      <c r="E1272" t="s">
        <v>4</v>
      </c>
      <c r="F1272">
        <v>4.42</v>
      </c>
      <c r="G1272">
        <v>92.1</v>
      </c>
      <c r="H1272">
        <v>3</v>
      </c>
      <c r="I1272">
        <v>24.8</v>
      </c>
      <c r="J1272" t="s">
        <v>4</v>
      </c>
      <c r="K1272" t="s">
        <v>4</v>
      </c>
      <c r="L1272">
        <v>1.5</v>
      </c>
      <c r="M1272">
        <v>3.92</v>
      </c>
      <c r="N1272">
        <v>4</v>
      </c>
      <c r="O1272">
        <v>3.98</v>
      </c>
      <c r="P1272" t="s">
        <v>12</v>
      </c>
      <c r="Q1272" t="s">
        <v>13</v>
      </c>
      <c r="R1272" t="s">
        <v>15</v>
      </c>
      <c r="S1272">
        <v>0</v>
      </c>
    </row>
    <row r="1273" spans="1:19" x14ac:dyDescent="0.3">
      <c r="A1273">
        <v>1272</v>
      </c>
      <c r="B1273">
        <v>22.3</v>
      </c>
      <c r="C1273" t="s">
        <v>11</v>
      </c>
      <c r="D1273">
        <v>38609</v>
      </c>
      <c r="E1273" t="s">
        <v>4</v>
      </c>
      <c r="F1273">
        <v>1.56</v>
      </c>
      <c r="G1273">
        <v>64.099999999999994</v>
      </c>
      <c r="H1273">
        <v>1</v>
      </c>
      <c r="I1273">
        <v>36.9</v>
      </c>
      <c r="J1273" t="s">
        <v>4</v>
      </c>
      <c r="K1273" t="s">
        <v>3</v>
      </c>
      <c r="L1273">
        <v>4.7</v>
      </c>
      <c r="M1273">
        <v>2.2400000000000002</v>
      </c>
      <c r="N1273">
        <v>2.21</v>
      </c>
      <c r="O1273">
        <v>2.21</v>
      </c>
      <c r="P1273" t="s">
        <v>2</v>
      </c>
      <c r="Q1273" t="s">
        <v>14</v>
      </c>
      <c r="R1273" t="s">
        <v>9</v>
      </c>
      <c r="S1273">
        <v>0</v>
      </c>
    </row>
    <row r="1274" spans="1:19" x14ac:dyDescent="0.3">
      <c r="A1274">
        <v>1273</v>
      </c>
      <c r="B1274">
        <v>18.600000000000001</v>
      </c>
      <c r="C1274" t="s">
        <v>5</v>
      </c>
      <c r="D1274">
        <v>25000</v>
      </c>
      <c r="E1274" t="s">
        <v>4</v>
      </c>
      <c r="F1274">
        <v>4.9400000000000004</v>
      </c>
      <c r="G1274">
        <v>81</v>
      </c>
      <c r="H1274">
        <v>3</v>
      </c>
      <c r="I1274">
        <v>28.4</v>
      </c>
      <c r="J1274" t="s">
        <v>3</v>
      </c>
      <c r="K1274" t="s">
        <v>3</v>
      </c>
      <c r="L1274">
        <v>6.4</v>
      </c>
      <c r="M1274">
        <v>2.2400000000000002</v>
      </c>
      <c r="N1274">
        <v>1.77</v>
      </c>
      <c r="O1274">
        <v>1.71</v>
      </c>
      <c r="P1274" t="s">
        <v>12</v>
      </c>
      <c r="Q1274" t="s">
        <v>13</v>
      </c>
      <c r="R1274" t="s">
        <v>9</v>
      </c>
      <c r="S1274">
        <v>0</v>
      </c>
    </row>
    <row r="1275" spans="1:19" x14ac:dyDescent="0.3">
      <c r="A1275">
        <v>1274</v>
      </c>
      <c r="B1275">
        <v>20.3</v>
      </c>
      <c r="C1275" t="s">
        <v>5</v>
      </c>
      <c r="D1275">
        <v>25000</v>
      </c>
      <c r="E1275" t="s">
        <v>4</v>
      </c>
      <c r="F1275">
        <v>5.38</v>
      </c>
      <c r="G1275">
        <v>82.9</v>
      </c>
      <c r="H1275">
        <v>3</v>
      </c>
      <c r="I1275">
        <v>15.2</v>
      </c>
      <c r="J1275" t="s">
        <v>4</v>
      </c>
      <c r="K1275" t="s">
        <v>3</v>
      </c>
      <c r="L1275">
        <v>4.0999999999999996</v>
      </c>
      <c r="M1275">
        <v>3.69</v>
      </c>
      <c r="N1275">
        <v>3.54</v>
      </c>
      <c r="O1275">
        <v>3.54</v>
      </c>
      <c r="P1275" t="s">
        <v>2</v>
      </c>
      <c r="Q1275" t="s">
        <v>8</v>
      </c>
      <c r="R1275" t="s">
        <v>17</v>
      </c>
      <c r="S1275">
        <v>0</v>
      </c>
    </row>
    <row r="1276" spans="1:19" x14ac:dyDescent="0.3">
      <c r="A1276">
        <v>1275</v>
      </c>
      <c r="B1276">
        <v>23.7</v>
      </c>
      <c r="C1276" t="s">
        <v>5</v>
      </c>
      <c r="D1276">
        <v>25000</v>
      </c>
      <c r="E1276" t="s">
        <v>4</v>
      </c>
      <c r="F1276">
        <v>4.4400000000000004</v>
      </c>
      <c r="G1276">
        <v>70.099999999999994</v>
      </c>
      <c r="H1276">
        <v>1</v>
      </c>
      <c r="I1276">
        <v>19.399999999999999</v>
      </c>
      <c r="J1276" t="s">
        <v>3</v>
      </c>
      <c r="K1276" t="s">
        <v>3</v>
      </c>
      <c r="L1276">
        <v>5</v>
      </c>
      <c r="M1276">
        <v>1.57</v>
      </c>
      <c r="N1276">
        <v>1.71</v>
      </c>
      <c r="O1276">
        <v>1.7</v>
      </c>
      <c r="P1276" t="s">
        <v>7</v>
      </c>
      <c r="Q1276" t="s">
        <v>6</v>
      </c>
      <c r="R1276" t="s">
        <v>0</v>
      </c>
      <c r="S1276">
        <v>0</v>
      </c>
    </row>
    <row r="1277" spans="1:19" x14ac:dyDescent="0.3">
      <c r="A1277">
        <v>1276</v>
      </c>
      <c r="B1277">
        <v>21.3</v>
      </c>
      <c r="C1277" t="s">
        <v>5</v>
      </c>
      <c r="D1277">
        <v>25000</v>
      </c>
      <c r="E1277" t="s">
        <v>4</v>
      </c>
      <c r="F1277">
        <v>4.17</v>
      </c>
      <c r="G1277">
        <v>92</v>
      </c>
      <c r="H1277">
        <v>3</v>
      </c>
      <c r="I1277">
        <v>24.8</v>
      </c>
      <c r="J1277" t="s">
        <v>4</v>
      </c>
      <c r="K1277" t="s">
        <v>3</v>
      </c>
      <c r="L1277">
        <v>6.2</v>
      </c>
      <c r="M1277">
        <v>3.19</v>
      </c>
      <c r="N1277">
        <v>3.5</v>
      </c>
      <c r="O1277">
        <v>3.5</v>
      </c>
      <c r="P1277" t="s">
        <v>2</v>
      </c>
      <c r="Q1277" t="s">
        <v>6</v>
      </c>
      <c r="R1277" t="s">
        <v>9</v>
      </c>
      <c r="S1277">
        <v>0</v>
      </c>
    </row>
    <row r="1278" spans="1:19" x14ac:dyDescent="0.3">
      <c r="A1278">
        <v>1277</v>
      </c>
      <c r="B1278">
        <v>26.1</v>
      </c>
      <c r="C1278" t="s">
        <v>5</v>
      </c>
      <c r="D1278">
        <v>42016</v>
      </c>
      <c r="E1278" t="s">
        <v>4</v>
      </c>
      <c r="F1278">
        <v>4.18</v>
      </c>
      <c r="G1278">
        <v>85</v>
      </c>
      <c r="H1278">
        <v>3</v>
      </c>
      <c r="I1278">
        <v>34.4</v>
      </c>
      <c r="J1278" t="s">
        <v>4</v>
      </c>
      <c r="K1278" t="s">
        <v>4</v>
      </c>
      <c r="L1278">
        <v>10</v>
      </c>
      <c r="M1278">
        <v>0</v>
      </c>
      <c r="N1278">
        <v>0.57999999999999996</v>
      </c>
      <c r="O1278">
        <v>0.57999999999999996</v>
      </c>
      <c r="P1278" t="s">
        <v>2</v>
      </c>
      <c r="Q1278" t="s">
        <v>14</v>
      </c>
      <c r="R1278" t="s">
        <v>15</v>
      </c>
      <c r="S1278">
        <v>1</v>
      </c>
    </row>
    <row r="1279" spans="1:19" x14ac:dyDescent="0.3">
      <c r="A1279">
        <v>1278</v>
      </c>
      <c r="B1279">
        <v>21.9</v>
      </c>
      <c r="C1279" t="s">
        <v>11</v>
      </c>
      <c r="D1279">
        <v>25000</v>
      </c>
      <c r="E1279" t="s">
        <v>4</v>
      </c>
      <c r="F1279">
        <v>2.85</v>
      </c>
      <c r="G1279">
        <v>88.8</v>
      </c>
      <c r="H1279">
        <v>4</v>
      </c>
      <c r="I1279">
        <v>31.3</v>
      </c>
      <c r="J1279" t="s">
        <v>3</v>
      </c>
      <c r="K1279" t="s">
        <v>3</v>
      </c>
      <c r="L1279">
        <v>5.4</v>
      </c>
      <c r="M1279">
        <v>3.94</v>
      </c>
      <c r="N1279">
        <v>3.8</v>
      </c>
      <c r="O1279">
        <v>3.71</v>
      </c>
      <c r="P1279" t="s">
        <v>7</v>
      </c>
      <c r="Q1279" t="s">
        <v>13</v>
      </c>
      <c r="R1279" t="s">
        <v>9</v>
      </c>
      <c r="S1279">
        <v>0</v>
      </c>
    </row>
    <row r="1280" spans="1:19" x14ac:dyDescent="0.3">
      <c r="A1280">
        <v>1279</v>
      </c>
      <c r="B1280">
        <v>21.4</v>
      </c>
      <c r="C1280" t="s">
        <v>5</v>
      </c>
      <c r="D1280">
        <v>77320</v>
      </c>
      <c r="E1280" t="s">
        <v>4</v>
      </c>
      <c r="F1280">
        <v>3.09</v>
      </c>
      <c r="G1280">
        <v>78.400000000000006</v>
      </c>
      <c r="H1280">
        <v>4</v>
      </c>
      <c r="I1280">
        <v>15</v>
      </c>
      <c r="J1280" t="s">
        <v>3</v>
      </c>
      <c r="K1280" t="s">
        <v>3</v>
      </c>
      <c r="L1280">
        <v>6.8</v>
      </c>
      <c r="M1280">
        <v>1.37</v>
      </c>
      <c r="N1280">
        <v>1.52</v>
      </c>
      <c r="O1280">
        <v>1.52</v>
      </c>
      <c r="P1280" t="s">
        <v>2</v>
      </c>
      <c r="Q1280" t="s">
        <v>1</v>
      </c>
      <c r="R1280" t="s">
        <v>15</v>
      </c>
      <c r="S1280">
        <v>1</v>
      </c>
    </row>
    <row r="1281" spans="1:19" x14ac:dyDescent="0.3">
      <c r="A1281">
        <v>1280</v>
      </c>
      <c r="B1281">
        <v>20.3</v>
      </c>
      <c r="C1281" t="s">
        <v>5</v>
      </c>
      <c r="D1281">
        <v>32937</v>
      </c>
      <c r="E1281" t="s">
        <v>4</v>
      </c>
      <c r="F1281">
        <v>3.7</v>
      </c>
      <c r="G1281">
        <v>75.8</v>
      </c>
      <c r="H1281">
        <v>2</v>
      </c>
      <c r="I1281">
        <v>46.2</v>
      </c>
      <c r="J1281" t="s">
        <v>3</v>
      </c>
      <c r="K1281" t="s">
        <v>3</v>
      </c>
      <c r="L1281">
        <v>5.2</v>
      </c>
      <c r="M1281">
        <v>2.4300000000000002</v>
      </c>
      <c r="N1281">
        <v>2.54</v>
      </c>
      <c r="O1281">
        <v>2.54</v>
      </c>
      <c r="P1281" t="s">
        <v>2</v>
      </c>
      <c r="Q1281" t="s">
        <v>6</v>
      </c>
      <c r="R1281" t="s">
        <v>15</v>
      </c>
      <c r="S1281">
        <v>0</v>
      </c>
    </row>
    <row r="1282" spans="1:19" x14ac:dyDescent="0.3">
      <c r="A1282">
        <v>1281</v>
      </c>
      <c r="B1282">
        <v>21.3</v>
      </c>
      <c r="C1282" t="s">
        <v>11</v>
      </c>
      <c r="D1282">
        <v>67250</v>
      </c>
      <c r="E1282" t="s">
        <v>4</v>
      </c>
      <c r="F1282">
        <v>5.43</v>
      </c>
      <c r="G1282">
        <v>77.400000000000006</v>
      </c>
      <c r="H1282">
        <v>2</v>
      </c>
      <c r="I1282">
        <v>21.1</v>
      </c>
      <c r="J1282" t="s">
        <v>3</v>
      </c>
      <c r="K1282" t="s">
        <v>4</v>
      </c>
      <c r="L1282">
        <v>6.1</v>
      </c>
      <c r="M1282">
        <v>1.72</v>
      </c>
      <c r="N1282">
        <v>1.52</v>
      </c>
      <c r="O1282">
        <v>1.53</v>
      </c>
      <c r="P1282" t="s">
        <v>12</v>
      </c>
      <c r="Q1282" t="s">
        <v>6</v>
      </c>
      <c r="R1282" t="s">
        <v>15</v>
      </c>
      <c r="S1282">
        <v>0</v>
      </c>
    </row>
    <row r="1283" spans="1:19" x14ac:dyDescent="0.3">
      <c r="A1283">
        <v>1282</v>
      </c>
      <c r="B1283">
        <v>20.7</v>
      </c>
      <c r="C1283" t="s">
        <v>11</v>
      </c>
      <c r="D1283">
        <v>25000</v>
      </c>
      <c r="E1283" t="s">
        <v>4</v>
      </c>
      <c r="F1283">
        <v>4.3499999999999996</v>
      </c>
      <c r="G1283">
        <v>81.099999999999994</v>
      </c>
      <c r="H1283">
        <v>1</v>
      </c>
      <c r="I1283">
        <v>35.299999999999997</v>
      </c>
      <c r="J1283" t="s">
        <v>4</v>
      </c>
      <c r="K1283" t="s">
        <v>4</v>
      </c>
      <c r="L1283">
        <v>5.4</v>
      </c>
      <c r="M1283">
        <v>2.36</v>
      </c>
      <c r="N1283">
        <v>2.31</v>
      </c>
      <c r="O1283">
        <v>2.31</v>
      </c>
      <c r="P1283" t="s">
        <v>2</v>
      </c>
      <c r="Q1283" t="s">
        <v>14</v>
      </c>
      <c r="R1283" t="s">
        <v>15</v>
      </c>
      <c r="S1283">
        <v>1</v>
      </c>
    </row>
    <row r="1284" spans="1:19" x14ac:dyDescent="0.3">
      <c r="A1284">
        <v>1283</v>
      </c>
      <c r="B1284">
        <v>22.6</v>
      </c>
      <c r="C1284" t="s">
        <v>11</v>
      </c>
      <c r="D1284">
        <v>40228</v>
      </c>
      <c r="E1284" t="s">
        <v>4</v>
      </c>
      <c r="F1284">
        <v>3.04</v>
      </c>
      <c r="G1284">
        <v>78.599999999999994</v>
      </c>
      <c r="H1284">
        <v>0</v>
      </c>
      <c r="I1284">
        <v>18.600000000000001</v>
      </c>
      <c r="J1284" t="s">
        <v>3</v>
      </c>
      <c r="K1284" t="s">
        <v>3</v>
      </c>
      <c r="L1284">
        <v>4.7</v>
      </c>
      <c r="M1284">
        <v>1.26</v>
      </c>
      <c r="N1284">
        <v>2.11</v>
      </c>
      <c r="O1284">
        <v>2.11</v>
      </c>
      <c r="P1284" t="s">
        <v>2</v>
      </c>
      <c r="Q1284" t="s">
        <v>8</v>
      </c>
      <c r="R1284" t="s">
        <v>9</v>
      </c>
      <c r="S1284">
        <v>0</v>
      </c>
    </row>
    <row r="1285" spans="1:19" x14ac:dyDescent="0.3">
      <c r="A1285">
        <v>1284</v>
      </c>
      <c r="B1285">
        <v>23.1</v>
      </c>
      <c r="C1285" t="s">
        <v>11</v>
      </c>
      <c r="D1285">
        <v>31292</v>
      </c>
      <c r="E1285" t="s">
        <v>4</v>
      </c>
      <c r="F1285">
        <v>3.16</v>
      </c>
      <c r="G1285">
        <v>89.2</v>
      </c>
      <c r="H1285">
        <v>0</v>
      </c>
      <c r="I1285">
        <v>59.8</v>
      </c>
      <c r="J1285" t="s">
        <v>4</v>
      </c>
      <c r="K1285" t="s">
        <v>3</v>
      </c>
      <c r="L1285">
        <v>5.0999999999999996</v>
      </c>
      <c r="M1285">
        <v>2.4500000000000002</v>
      </c>
      <c r="N1285">
        <v>2.56</v>
      </c>
      <c r="O1285">
        <v>2.5499999999999998</v>
      </c>
      <c r="P1285" t="s">
        <v>10</v>
      </c>
      <c r="Q1285" t="s">
        <v>8</v>
      </c>
      <c r="R1285" t="s">
        <v>9</v>
      </c>
      <c r="S1285">
        <v>0</v>
      </c>
    </row>
    <row r="1286" spans="1:19" x14ac:dyDescent="0.3">
      <c r="A1286">
        <v>1285</v>
      </c>
      <c r="B1286">
        <v>19.3</v>
      </c>
      <c r="C1286" t="s">
        <v>11</v>
      </c>
      <c r="D1286">
        <v>48563</v>
      </c>
      <c r="E1286" t="s">
        <v>4</v>
      </c>
      <c r="F1286">
        <v>1.19</v>
      </c>
      <c r="G1286">
        <v>100</v>
      </c>
      <c r="H1286">
        <v>2</v>
      </c>
      <c r="I1286">
        <v>45.9</v>
      </c>
      <c r="J1286" t="s">
        <v>3</v>
      </c>
      <c r="K1286" t="s">
        <v>4</v>
      </c>
      <c r="L1286">
        <v>7.7</v>
      </c>
      <c r="M1286">
        <v>1.79</v>
      </c>
      <c r="N1286">
        <v>1.54</v>
      </c>
      <c r="O1286">
        <v>1.51</v>
      </c>
      <c r="P1286" t="s">
        <v>7</v>
      </c>
      <c r="Q1286" t="s">
        <v>13</v>
      </c>
      <c r="R1286" t="s">
        <v>16</v>
      </c>
      <c r="S1286">
        <v>0</v>
      </c>
    </row>
    <row r="1287" spans="1:19" x14ac:dyDescent="0.3">
      <c r="A1287">
        <v>1286</v>
      </c>
      <c r="B1287">
        <v>18.100000000000001</v>
      </c>
      <c r="C1287" t="s">
        <v>11</v>
      </c>
      <c r="D1287">
        <v>25841</v>
      </c>
      <c r="E1287" t="s">
        <v>4</v>
      </c>
      <c r="F1287">
        <v>4.58</v>
      </c>
      <c r="G1287">
        <v>86.7</v>
      </c>
      <c r="H1287">
        <v>0</v>
      </c>
      <c r="I1287">
        <v>20.7</v>
      </c>
      <c r="J1287" t="s">
        <v>3</v>
      </c>
      <c r="K1287" t="s">
        <v>4</v>
      </c>
      <c r="L1287">
        <v>6</v>
      </c>
      <c r="M1287">
        <v>2.3199999999999998</v>
      </c>
      <c r="N1287">
        <v>2.3199999999999998</v>
      </c>
      <c r="O1287">
        <v>2.2200000000000002</v>
      </c>
      <c r="P1287" t="s">
        <v>10</v>
      </c>
      <c r="Q1287" t="s">
        <v>13</v>
      </c>
      <c r="R1287" t="s">
        <v>9</v>
      </c>
      <c r="S1287">
        <v>0</v>
      </c>
    </row>
    <row r="1288" spans="1:19" x14ac:dyDescent="0.3">
      <c r="A1288">
        <v>1287</v>
      </c>
      <c r="B1288">
        <v>17</v>
      </c>
      <c r="C1288" t="s">
        <v>11</v>
      </c>
      <c r="D1288">
        <v>39495</v>
      </c>
      <c r="E1288" t="s">
        <v>4</v>
      </c>
      <c r="F1288">
        <v>3.73</v>
      </c>
      <c r="G1288">
        <v>66.400000000000006</v>
      </c>
      <c r="H1288">
        <v>1</v>
      </c>
      <c r="I1288">
        <v>31.1</v>
      </c>
      <c r="J1288" t="s">
        <v>4</v>
      </c>
      <c r="K1288" t="s">
        <v>3</v>
      </c>
      <c r="L1288">
        <v>3.3</v>
      </c>
      <c r="M1288">
        <v>1.9</v>
      </c>
      <c r="N1288">
        <v>1.67</v>
      </c>
      <c r="O1288">
        <v>1.72</v>
      </c>
      <c r="P1288" t="s">
        <v>12</v>
      </c>
      <c r="Q1288" t="s">
        <v>8</v>
      </c>
      <c r="R1288" t="s">
        <v>15</v>
      </c>
      <c r="S1288">
        <v>1</v>
      </c>
    </row>
    <row r="1289" spans="1:19" x14ac:dyDescent="0.3">
      <c r="A1289">
        <v>1288</v>
      </c>
      <c r="B1289">
        <v>22.1</v>
      </c>
      <c r="C1289" t="s">
        <v>11</v>
      </c>
      <c r="D1289">
        <v>57602</v>
      </c>
      <c r="E1289" t="s">
        <v>4</v>
      </c>
      <c r="F1289">
        <v>4.24</v>
      </c>
      <c r="G1289">
        <v>83.2</v>
      </c>
      <c r="H1289">
        <v>0</v>
      </c>
      <c r="I1289">
        <v>17.600000000000001</v>
      </c>
      <c r="J1289" t="s">
        <v>3</v>
      </c>
      <c r="K1289" t="s">
        <v>3</v>
      </c>
      <c r="L1289">
        <v>4.7</v>
      </c>
      <c r="M1289">
        <v>2.87</v>
      </c>
      <c r="N1289">
        <v>2.8</v>
      </c>
      <c r="O1289">
        <v>2.71</v>
      </c>
      <c r="P1289" t="s">
        <v>10</v>
      </c>
      <c r="Q1289" t="s">
        <v>13</v>
      </c>
      <c r="R1289" t="s">
        <v>15</v>
      </c>
      <c r="S1289">
        <v>0</v>
      </c>
    </row>
    <row r="1290" spans="1:19" x14ac:dyDescent="0.3">
      <c r="A1290">
        <v>1289</v>
      </c>
      <c r="B1290">
        <v>18.600000000000001</v>
      </c>
      <c r="C1290" t="s">
        <v>5</v>
      </c>
      <c r="D1290">
        <v>25000</v>
      </c>
      <c r="E1290" t="s">
        <v>4</v>
      </c>
      <c r="F1290">
        <v>7.94</v>
      </c>
      <c r="G1290">
        <v>72.5</v>
      </c>
      <c r="H1290">
        <v>1</v>
      </c>
      <c r="I1290">
        <v>25.7</v>
      </c>
      <c r="J1290" t="s">
        <v>3</v>
      </c>
      <c r="K1290" t="s">
        <v>3</v>
      </c>
      <c r="L1290">
        <v>3.9</v>
      </c>
      <c r="M1290">
        <v>2.35</v>
      </c>
      <c r="N1290">
        <v>2.09</v>
      </c>
      <c r="O1290">
        <v>2.02</v>
      </c>
      <c r="P1290" t="s">
        <v>7</v>
      </c>
      <c r="Q1290" t="s">
        <v>6</v>
      </c>
      <c r="R1290" t="s">
        <v>15</v>
      </c>
      <c r="S1290">
        <v>0</v>
      </c>
    </row>
    <row r="1291" spans="1:19" x14ac:dyDescent="0.3">
      <c r="A1291">
        <v>1290</v>
      </c>
      <c r="B1291">
        <v>17</v>
      </c>
      <c r="C1291" t="s">
        <v>5</v>
      </c>
      <c r="D1291">
        <v>34384</v>
      </c>
      <c r="E1291" t="s">
        <v>4</v>
      </c>
      <c r="F1291">
        <v>3.42</v>
      </c>
      <c r="G1291">
        <v>78.7</v>
      </c>
      <c r="H1291">
        <v>2</v>
      </c>
      <c r="I1291">
        <v>35.1</v>
      </c>
      <c r="J1291" t="s">
        <v>3</v>
      </c>
      <c r="K1291" t="s">
        <v>4</v>
      </c>
      <c r="L1291">
        <v>7.2</v>
      </c>
      <c r="M1291">
        <v>1.73</v>
      </c>
      <c r="N1291">
        <v>1.44</v>
      </c>
      <c r="O1291">
        <v>1.37</v>
      </c>
      <c r="P1291" t="s">
        <v>10</v>
      </c>
      <c r="Q1291" t="s">
        <v>6</v>
      </c>
      <c r="R1291" t="s">
        <v>15</v>
      </c>
      <c r="S1291">
        <v>0</v>
      </c>
    </row>
    <row r="1292" spans="1:19" x14ac:dyDescent="0.3">
      <c r="A1292">
        <v>1291</v>
      </c>
      <c r="B1292">
        <v>21.9</v>
      </c>
      <c r="C1292" t="s">
        <v>11</v>
      </c>
      <c r="D1292">
        <v>25000</v>
      </c>
      <c r="E1292" t="s">
        <v>4</v>
      </c>
      <c r="F1292">
        <v>4.28</v>
      </c>
      <c r="G1292">
        <v>81.7</v>
      </c>
      <c r="H1292">
        <v>1</v>
      </c>
      <c r="I1292">
        <v>40.1</v>
      </c>
      <c r="J1292" t="s">
        <v>4</v>
      </c>
      <c r="K1292" t="s">
        <v>3</v>
      </c>
      <c r="L1292">
        <v>4.0999999999999996</v>
      </c>
      <c r="M1292">
        <v>1.04</v>
      </c>
      <c r="N1292">
        <v>1.45</v>
      </c>
      <c r="O1292">
        <v>1.48</v>
      </c>
      <c r="P1292" t="s">
        <v>10</v>
      </c>
      <c r="Q1292" t="s">
        <v>1</v>
      </c>
      <c r="R1292" t="s">
        <v>15</v>
      </c>
      <c r="S1292">
        <v>0</v>
      </c>
    </row>
    <row r="1293" spans="1:19" x14ac:dyDescent="0.3">
      <c r="A1293">
        <v>1292</v>
      </c>
      <c r="B1293">
        <v>26.5</v>
      </c>
      <c r="C1293" t="s">
        <v>5</v>
      </c>
      <c r="D1293">
        <v>45320</v>
      </c>
      <c r="E1293" t="s">
        <v>4</v>
      </c>
      <c r="F1293">
        <v>3.18</v>
      </c>
      <c r="G1293">
        <v>79.900000000000006</v>
      </c>
      <c r="H1293">
        <v>3</v>
      </c>
      <c r="I1293">
        <v>15.1</v>
      </c>
      <c r="J1293" t="s">
        <v>3</v>
      </c>
      <c r="K1293" t="s">
        <v>3</v>
      </c>
      <c r="L1293">
        <v>7.1</v>
      </c>
      <c r="M1293">
        <v>3.71</v>
      </c>
      <c r="N1293">
        <v>3.55</v>
      </c>
      <c r="O1293">
        <v>3.59</v>
      </c>
      <c r="P1293" t="s">
        <v>12</v>
      </c>
      <c r="Q1293" t="s">
        <v>14</v>
      </c>
      <c r="R1293" t="s">
        <v>15</v>
      </c>
      <c r="S1293">
        <v>0</v>
      </c>
    </row>
    <row r="1294" spans="1:19" x14ac:dyDescent="0.3">
      <c r="A1294">
        <v>1293</v>
      </c>
      <c r="B1294">
        <v>21</v>
      </c>
      <c r="C1294" t="s">
        <v>5</v>
      </c>
      <c r="D1294">
        <v>96067</v>
      </c>
      <c r="E1294" t="s">
        <v>3</v>
      </c>
      <c r="F1294">
        <v>3.78</v>
      </c>
      <c r="G1294">
        <v>73.7</v>
      </c>
      <c r="H1294">
        <v>1</v>
      </c>
      <c r="I1294">
        <v>21</v>
      </c>
      <c r="J1294" t="s">
        <v>3</v>
      </c>
      <c r="K1294" t="s">
        <v>3</v>
      </c>
      <c r="L1294">
        <v>7.3</v>
      </c>
      <c r="M1294">
        <v>2.0099999999999998</v>
      </c>
      <c r="N1294">
        <v>2.23</v>
      </c>
      <c r="O1294">
        <v>2.29</v>
      </c>
      <c r="P1294" t="s">
        <v>12</v>
      </c>
      <c r="Q1294" t="s">
        <v>13</v>
      </c>
      <c r="R1294" t="s">
        <v>9</v>
      </c>
      <c r="S1294">
        <v>0</v>
      </c>
    </row>
    <row r="1295" spans="1:19" x14ac:dyDescent="0.3">
      <c r="A1295">
        <v>1294</v>
      </c>
      <c r="B1295">
        <v>22.8</v>
      </c>
      <c r="C1295" t="s">
        <v>11</v>
      </c>
      <c r="D1295">
        <v>25000</v>
      </c>
      <c r="E1295" t="s">
        <v>4</v>
      </c>
      <c r="F1295">
        <v>2.73</v>
      </c>
      <c r="G1295">
        <v>86.2</v>
      </c>
      <c r="H1295">
        <v>2</v>
      </c>
      <c r="I1295">
        <v>41.3</v>
      </c>
      <c r="J1295" t="s">
        <v>3</v>
      </c>
      <c r="K1295" t="s">
        <v>4</v>
      </c>
      <c r="L1295">
        <v>5.8</v>
      </c>
      <c r="M1295">
        <v>2.15</v>
      </c>
      <c r="N1295">
        <v>1.98</v>
      </c>
      <c r="O1295">
        <v>1.96</v>
      </c>
      <c r="P1295" t="s">
        <v>10</v>
      </c>
      <c r="Q1295" t="s">
        <v>6</v>
      </c>
      <c r="R1295" t="s">
        <v>16</v>
      </c>
      <c r="S1295">
        <v>1</v>
      </c>
    </row>
    <row r="1296" spans="1:19" x14ac:dyDescent="0.3">
      <c r="A1296">
        <v>1295</v>
      </c>
      <c r="B1296">
        <v>21.2</v>
      </c>
      <c r="C1296" t="s">
        <v>11</v>
      </c>
      <c r="D1296">
        <v>28146</v>
      </c>
      <c r="E1296" t="s">
        <v>3</v>
      </c>
      <c r="F1296">
        <v>2.57</v>
      </c>
      <c r="G1296">
        <v>66</v>
      </c>
      <c r="H1296">
        <v>0</v>
      </c>
      <c r="I1296">
        <v>45.9</v>
      </c>
      <c r="J1296" t="s">
        <v>3</v>
      </c>
      <c r="K1296" t="s">
        <v>3</v>
      </c>
      <c r="L1296">
        <v>6.5</v>
      </c>
      <c r="M1296">
        <v>1.88</v>
      </c>
      <c r="N1296">
        <v>1.92</v>
      </c>
      <c r="O1296">
        <v>1.82</v>
      </c>
      <c r="P1296" t="s">
        <v>10</v>
      </c>
      <c r="Q1296" t="s">
        <v>14</v>
      </c>
      <c r="R1296" t="s">
        <v>9</v>
      </c>
      <c r="S1296">
        <v>1</v>
      </c>
    </row>
    <row r="1297" spans="1:19" x14ac:dyDescent="0.3">
      <c r="A1297">
        <v>1296</v>
      </c>
      <c r="B1297">
        <v>20.8</v>
      </c>
      <c r="C1297" t="s">
        <v>5</v>
      </c>
      <c r="D1297">
        <v>50427</v>
      </c>
      <c r="E1297" t="s">
        <v>4</v>
      </c>
      <c r="F1297">
        <v>1.65</v>
      </c>
      <c r="G1297">
        <v>85.1</v>
      </c>
      <c r="H1297">
        <v>2</v>
      </c>
      <c r="I1297">
        <v>20.7</v>
      </c>
      <c r="J1297" t="s">
        <v>4</v>
      </c>
      <c r="K1297" t="s">
        <v>4</v>
      </c>
      <c r="L1297">
        <v>4.5999999999999996</v>
      </c>
      <c r="M1297">
        <v>2.77</v>
      </c>
      <c r="N1297">
        <v>2.7</v>
      </c>
      <c r="O1297">
        <v>2.7</v>
      </c>
      <c r="P1297" t="s">
        <v>2</v>
      </c>
      <c r="Q1297" t="s">
        <v>1</v>
      </c>
      <c r="R1297" t="s">
        <v>9</v>
      </c>
      <c r="S1297">
        <v>0</v>
      </c>
    </row>
    <row r="1298" spans="1:19" x14ac:dyDescent="0.3">
      <c r="A1298">
        <v>1297</v>
      </c>
      <c r="B1298">
        <v>23</v>
      </c>
      <c r="C1298" t="s">
        <v>11</v>
      </c>
      <c r="D1298">
        <v>30298</v>
      </c>
      <c r="E1298" t="s">
        <v>4</v>
      </c>
      <c r="F1298">
        <v>2.59</v>
      </c>
      <c r="G1298">
        <v>74.8</v>
      </c>
      <c r="H1298">
        <v>1</v>
      </c>
      <c r="I1298">
        <v>41.5</v>
      </c>
      <c r="J1298" t="s">
        <v>4</v>
      </c>
      <c r="K1298" t="s">
        <v>3</v>
      </c>
      <c r="L1298">
        <v>7</v>
      </c>
      <c r="M1298">
        <v>0.65</v>
      </c>
      <c r="N1298">
        <v>0.51</v>
      </c>
      <c r="O1298">
        <v>0.52</v>
      </c>
      <c r="P1298" t="s">
        <v>7</v>
      </c>
      <c r="Q1298" t="s">
        <v>14</v>
      </c>
      <c r="R1298" t="s">
        <v>0</v>
      </c>
      <c r="S1298">
        <v>1</v>
      </c>
    </row>
    <row r="1299" spans="1:19" x14ac:dyDescent="0.3">
      <c r="A1299">
        <v>1298</v>
      </c>
      <c r="B1299">
        <v>20.399999999999999</v>
      </c>
      <c r="C1299" t="s">
        <v>11</v>
      </c>
      <c r="D1299">
        <v>32829</v>
      </c>
      <c r="E1299" t="s">
        <v>4</v>
      </c>
      <c r="F1299">
        <v>4.3</v>
      </c>
      <c r="G1299">
        <v>84.2</v>
      </c>
      <c r="H1299">
        <v>1</v>
      </c>
      <c r="I1299">
        <v>15.2</v>
      </c>
      <c r="J1299" t="s">
        <v>3</v>
      </c>
      <c r="K1299" t="s">
        <v>3</v>
      </c>
      <c r="L1299">
        <v>3.3</v>
      </c>
      <c r="M1299">
        <v>1.59</v>
      </c>
      <c r="N1299">
        <v>1.22</v>
      </c>
      <c r="O1299">
        <v>1.27</v>
      </c>
      <c r="P1299" t="s">
        <v>12</v>
      </c>
      <c r="Q1299" t="s">
        <v>13</v>
      </c>
      <c r="R1299" t="s">
        <v>9</v>
      </c>
      <c r="S1299">
        <v>0</v>
      </c>
    </row>
    <row r="1300" spans="1:19" x14ac:dyDescent="0.3">
      <c r="A1300">
        <v>1299</v>
      </c>
      <c r="B1300">
        <v>21.6</v>
      </c>
      <c r="C1300" t="s">
        <v>11</v>
      </c>
      <c r="D1300">
        <v>25000</v>
      </c>
      <c r="E1300" t="s">
        <v>4</v>
      </c>
      <c r="F1300">
        <v>3.59</v>
      </c>
      <c r="G1300">
        <v>71.2</v>
      </c>
      <c r="H1300">
        <v>0</v>
      </c>
      <c r="I1300">
        <v>26.4</v>
      </c>
      <c r="J1300" t="s">
        <v>4</v>
      </c>
      <c r="K1300" t="s">
        <v>3</v>
      </c>
      <c r="L1300">
        <v>4.7</v>
      </c>
      <c r="M1300">
        <v>1.72</v>
      </c>
      <c r="N1300">
        <v>1.84</v>
      </c>
      <c r="O1300">
        <v>1.89</v>
      </c>
      <c r="P1300" t="s">
        <v>10</v>
      </c>
      <c r="Q1300" t="s">
        <v>13</v>
      </c>
      <c r="R1300" t="s">
        <v>0</v>
      </c>
      <c r="S1300">
        <v>1</v>
      </c>
    </row>
    <row r="1301" spans="1:19" x14ac:dyDescent="0.3">
      <c r="A1301">
        <v>1300</v>
      </c>
      <c r="B1301">
        <v>21.7</v>
      </c>
      <c r="C1301" t="s">
        <v>11</v>
      </c>
      <c r="D1301">
        <v>25000</v>
      </c>
      <c r="E1301" t="s">
        <v>4</v>
      </c>
      <c r="F1301">
        <v>3.71</v>
      </c>
      <c r="G1301">
        <v>83.9</v>
      </c>
      <c r="H1301">
        <v>0</v>
      </c>
      <c r="I1301">
        <v>16.3</v>
      </c>
      <c r="J1301" t="s">
        <v>3</v>
      </c>
      <c r="K1301" t="s">
        <v>3</v>
      </c>
      <c r="L1301">
        <v>4.9000000000000004</v>
      </c>
      <c r="M1301">
        <v>2.44</v>
      </c>
      <c r="N1301">
        <v>2.34</v>
      </c>
      <c r="O1301">
        <v>2.35</v>
      </c>
      <c r="P1301" t="s">
        <v>10</v>
      </c>
      <c r="Q1301" t="s">
        <v>14</v>
      </c>
      <c r="R1301" t="s">
        <v>15</v>
      </c>
      <c r="S1301">
        <v>1</v>
      </c>
    </row>
    <row r="1302" spans="1:19" x14ac:dyDescent="0.3">
      <c r="A1302">
        <v>1301</v>
      </c>
      <c r="B1302">
        <v>19.5</v>
      </c>
      <c r="C1302" t="s">
        <v>11</v>
      </c>
      <c r="D1302">
        <v>28226</v>
      </c>
      <c r="E1302" t="s">
        <v>4</v>
      </c>
      <c r="F1302">
        <v>3.41</v>
      </c>
      <c r="G1302">
        <v>93</v>
      </c>
      <c r="H1302">
        <v>3</v>
      </c>
      <c r="I1302">
        <v>25.1</v>
      </c>
      <c r="J1302" t="s">
        <v>4</v>
      </c>
      <c r="K1302" t="s">
        <v>3</v>
      </c>
      <c r="L1302">
        <v>7.3</v>
      </c>
      <c r="M1302">
        <v>2.81</v>
      </c>
      <c r="N1302">
        <v>2.57</v>
      </c>
      <c r="O1302">
        <v>2.4900000000000002</v>
      </c>
      <c r="P1302" t="s">
        <v>12</v>
      </c>
      <c r="Q1302" t="s">
        <v>13</v>
      </c>
      <c r="R1302" t="s">
        <v>15</v>
      </c>
      <c r="S1302">
        <v>0</v>
      </c>
    </row>
    <row r="1303" spans="1:19" x14ac:dyDescent="0.3">
      <c r="A1303">
        <v>1302</v>
      </c>
      <c r="B1303">
        <v>23.2</v>
      </c>
      <c r="C1303" t="s">
        <v>11</v>
      </c>
      <c r="D1303">
        <v>30485</v>
      </c>
      <c r="E1303" t="s">
        <v>4</v>
      </c>
      <c r="F1303">
        <v>4.2</v>
      </c>
      <c r="G1303">
        <v>77.2</v>
      </c>
      <c r="H1303">
        <v>3</v>
      </c>
      <c r="I1303">
        <v>52.9</v>
      </c>
      <c r="J1303" t="s">
        <v>3</v>
      </c>
      <c r="K1303" t="s">
        <v>3</v>
      </c>
      <c r="L1303">
        <v>8.6</v>
      </c>
      <c r="M1303">
        <v>0.67</v>
      </c>
      <c r="N1303">
        <v>0.49</v>
      </c>
      <c r="O1303">
        <v>0.48</v>
      </c>
      <c r="P1303" t="s">
        <v>12</v>
      </c>
      <c r="Q1303" t="s">
        <v>6</v>
      </c>
      <c r="R1303" t="s">
        <v>9</v>
      </c>
      <c r="S1303">
        <v>0</v>
      </c>
    </row>
    <row r="1304" spans="1:19" x14ac:dyDescent="0.3">
      <c r="A1304">
        <v>1303</v>
      </c>
      <c r="B1304">
        <v>20.6</v>
      </c>
      <c r="C1304" t="s">
        <v>5</v>
      </c>
      <c r="D1304">
        <v>25000</v>
      </c>
      <c r="E1304" t="s">
        <v>4</v>
      </c>
      <c r="F1304">
        <v>4.12</v>
      </c>
      <c r="G1304">
        <v>77.099999999999994</v>
      </c>
      <c r="H1304">
        <v>2</v>
      </c>
      <c r="I1304">
        <v>29.3</v>
      </c>
      <c r="J1304" t="s">
        <v>4</v>
      </c>
      <c r="K1304" t="s">
        <v>3</v>
      </c>
      <c r="L1304">
        <v>4.7</v>
      </c>
      <c r="M1304">
        <v>3.49</v>
      </c>
      <c r="N1304">
        <v>3.63</v>
      </c>
      <c r="O1304">
        <v>3.61</v>
      </c>
      <c r="P1304" t="s">
        <v>10</v>
      </c>
      <c r="Q1304" t="s">
        <v>1</v>
      </c>
      <c r="R1304" t="s">
        <v>17</v>
      </c>
      <c r="S1304">
        <v>0</v>
      </c>
    </row>
    <row r="1305" spans="1:19" x14ac:dyDescent="0.3">
      <c r="A1305">
        <v>1304</v>
      </c>
      <c r="B1305">
        <v>19.3</v>
      </c>
      <c r="C1305" t="s">
        <v>11</v>
      </c>
      <c r="D1305">
        <v>28578</v>
      </c>
      <c r="E1305" t="s">
        <v>4</v>
      </c>
      <c r="F1305">
        <v>4.04</v>
      </c>
      <c r="G1305">
        <v>85.5</v>
      </c>
      <c r="H1305">
        <v>5</v>
      </c>
      <c r="I1305">
        <v>26.6</v>
      </c>
      <c r="J1305" t="s">
        <v>4</v>
      </c>
      <c r="K1305" t="s">
        <v>3</v>
      </c>
      <c r="L1305">
        <v>5.3</v>
      </c>
      <c r="M1305">
        <v>1.48</v>
      </c>
      <c r="N1305">
        <v>1.26</v>
      </c>
      <c r="O1305">
        <v>1.26</v>
      </c>
      <c r="P1305" t="s">
        <v>2</v>
      </c>
      <c r="Q1305" t="s">
        <v>8</v>
      </c>
      <c r="R1305" t="s">
        <v>15</v>
      </c>
      <c r="S1305">
        <v>0</v>
      </c>
    </row>
    <row r="1306" spans="1:19" x14ac:dyDescent="0.3">
      <c r="A1306">
        <v>1305</v>
      </c>
      <c r="B1306">
        <v>22.2</v>
      </c>
      <c r="C1306" t="s">
        <v>11</v>
      </c>
      <c r="D1306">
        <v>76200</v>
      </c>
      <c r="E1306" t="s">
        <v>4</v>
      </c>
      <c r="F1306">
        <v>3.58</v>
      </c>
      <c r="G1306">
        <v>83.7</v>
      </c>
      <c r="H1306">
        <v>2</v>
      </c>
      <c r="I1306">
        <v>23.2</v>
      </c>
      <c r="J1306" t="s">
        <v>3</v>
      </c>
      <c r="K1306" t="s">
        <v>3</v>
      </c>
      <c r="L1306">
        <v>3.4</v>
      </c>
      <c r="M1306">
        <v>1.82</v>
      </c>
      <c r="N1306">
        <v>1.92</v>
      </c>
      <c r="O1306">
        <v>1.94</v>
      </c>
      <c r="P1306" t="s">
        <v>10</v>
      </c>
      <c r="Q1306" t="s">
        <v>8</v>
      </c>
      <c r="R1306" t="s">
        <v>9</v>
      </c>
      <c r="S1306">
        <v>0</v>
      </c>
    </row>
    <row r="1307" spans="1:19" x14ac:dyDescent="0.3">
      <c r="A1307">
        <v>1306</v>
      </c>
      <c r="B1307">
        <v>19</v>
      </c>
      <c r="C1307" t="s">
        <v>11</v>
      </c>
      <c r="D1307">
        <v>25000</v>
      </c>
      <c r="E1307" t="s">
        <v>4</v>
      </c>
      <c r="F1307">
        <v>4.95</v>
      </c>
      <c r="G1307">
        <v>70.900000000000006</v>
      </c>
      <c r="H1307">
        <v>2</v>
      </c>
      <c r="I1307">
        <v>26.4</v>
      </c>
      <c r="J1307" t="s">
        <v>3</v>
      </c>
      <c r="K1307" t="s">
        <v>3</v>
      </c>
      <c r="L1307">
        <v>5.4</v>
      </c>
      <c r="M1307">
        <v>0.59</v>
      </c>
      <c r="N1307">
        <v>0.41</v>
      </c>
      <c r="O1307">
        <v>0.41</v>
      </c>
      <c r="P1307" t="s">
        <v>2</v>
      </c>
      <c r="Q1307" t="s">
        <v>8</v>
      </c>
      <c r="R1307" t="s">
        <v>9</v>
      </c>
      <c r="S1307">
        <v>1</v>
      </c>
    </row>
    <row r="1308" spans="1:19" x14ac:dyDescent="0.3">
      <c r="A1308">
        <v>1307</v>
      </c>
      <c r="B1308">
        <v>21.1</v>
      </c>
      <c r="C1308" t="s">
        <v>11</v>
      </c>
      <c r="D1308">
        <v>25000</v>
      </c>
      <c r="E1308" t="s">
        <v>3</v>
      </c>
      <c r="F1308">
        <v>1.39</v>
      </c>
      <c r="G1308">
        <v>90.9</v>
      </c>
      <c r="H1308">
        <v>0</v>
      </c>
      <c r="I1308">
        <v>20.3</v>
      </c>
      <c r="J1308" t="s">
        <v>3</v>
      </c>
      <c r="K1308" t="s">
        <v>3</v>
      </c>
      <c r="L1308">
        <v>7.5</v>
      </c>
      <c r="M1308">
        <v>0</v>
      </c>
      <c r="N1308">
        <v>0</v>
      </c>
      <c r="O1308">
        <v>0</v>
      </c>
      <c r="P1308" t="s">
        <v>10</v>
      </c>
      <c r="Q1308" t="s">
        <v>13</v>
      </c>
      <c r="R1308" t="s">
        <v>15</v>
      </c>
      <c r="S1308">
        <v>0</v>
      </c>
    </row>
    <row r="1309" spans="1:19" x14ac:dyDescent="0.3">
      <c r="A1309">
        <v>1308</v>
      </c>
      <c r="B1309">
        <v>21</v>
      </c>
      <c r="C1309" t="s">
        <v>5</v>
      </c>
      <c r="D1309">
        <v>27150</v>
      </c>
      <c r="E1309" t="s">
        <v>4</v>
      </c>
      <c r="F1309">
        <v>3.01</v>
      </c>
      <c r="G1309">
        <v>88.5</v>
      </c>
      <c r="H1309">
        <v>1</v>
      </c>
      <c r="I1309">
        <v>31.6</v>
      </c>
      <c r="J1309" t="s">
        <v>4</v>
      </c>
      <c r="K1309" t="s">
        <v>4</v>
      </c>
      <c r="L1309">
        <v>2.2999999999999998</v>
      </c>
      <c r="M1309">
        <v>4</v>
      </c>
      <c r="N1309">
        <v>4</v>
      </c>
      <c r="O1309">
        <v>4</v>
      </c>
      <c r="P1309" t="s">
        <v>2</v>
      </c>
      <c r="Q1309" t="s">
        <v>8</v>
      </c>
      <c r="R1309" t="s">
        <v>9</v>
      </c>
      <c r="S1309">
        <v>0</v>
      </c>
    </row>
    <row r="1310" spans="1:19" x14ac:dyDescent="0.3">
      <c r="A1310">
        <v>1309</v>
      </c>
      <c r="B1310">
        <v>23.4</v>
      </c>
      <c r="C1310" t="s">
        <v>11</v>
      </c>
      <c r="D1310">
        <v>25000</v>
      </c>
      <c r="E1310" t="s">
        <v>4</v>
      </c>
      <c r="F1310">
        <v>2.96</v>
      </c>
      <c r="G1310">
        <v>92.3</v>
      </c>
      <c r="H1310">
        <v>3</v>
      </c>
      <c r="I1310">
        <v>29.6</v>
      </c>
      <c r="J1310" t="s">
        <v>4</v>
      </c>
      <c r="K1310" t="s">
        <v>3</v>
      </c>
      <c r="L1310">
        <v>5.5</v>
      </c>
      <c r="M1310">
        <v>3.4</v>
      </c>
      <c r="N1310">
        <v>3.46</v>
      </c>
      <c r="O1310">
        <v>3.46</v>
      </c>
      <c r="P1310" t="s">
        <v>2</v>
      </c>
      <c r="Q1310" t="s">
        <v>1</v>
      </c>
      <c r="R1310" t="s">
        <v>15</v>
      </c>
      <c r="S1310">
        <v>0</v>
      </c>
    </row>
    <row r="1311" spans="1:19" x14ac:dyDescent="0.3">
      <c r="A1311">
        <v>1310</v>
      </c>
      <c r="B1311">
        <v>22</v>
      </c>
      <c r="C1311" t="s">
        <v>5</v>
      </c>
      <c r="D1311">
        <v>25000</v>
      </c>
      <c r="E1311" t="s">
        <v>4</v>
      </c>
      <c r="F1311">
        <v>4.84</v>
      </c>
      <c r="G1311">
        <v>86.4</v>
      </c>
      <c r="H1311">
        <v>5</v>
      </c>
      <c r="I1311">
        <v>24.5</v>
      </c>
      <c r="J1311" t="s">
        <v>3</v>
      </c>
      <c r="K1311" t="s">
        <v>4</v>
      </c>
      <c r="L1311">
        <v>6.8</v>
      </c>
      <c r="M1311">
        <v>2.2000000000000002</v>
      </c>
      <c r="N1311">
        <v>2.4900000000000002</v>
      </c>
      <c r="O1311">
        <v>2.46</v>
      </c>
      <c r="P1311" t="s">
        <v>12</v>
      </c>
      <c r="Q1311" t="s">
        <v>13</v>
      </c>
      <c r="R1311" t="s">
        <v>9</v>
      </c>
      <c r="S1311">
        <v>0</v>
      </c>
    </row>
    <row r="1312" spans="1:19" x14ac:dyDescent="0.3">
      <c r="A1312">
        <v>1311</v>
      </c>
      <c r="B1312">
        <v>20.9</v>
      </c>
      <c r="C1312" t="s">
        <v>5</v>
      </c>
      <c r="D1312">
        <v>32322</v>
      </c>
      <c r="E1312" t="s">
        <v>4</v>
      </c>
      <c r="F1312">
        <v>3.3</v>
      </c>
      <c r="G1312">
        <v>97.1</v>
      </c>
      <c r="H1312">
        <v>0</v>
      </c>
      <c r="I1312">
        <v>23.5</v>
      </c>
      <c r="J1312" t="s">
        <v>3</v>
      </c>
      <c r="K1312" t="s">
        <v>3</v>
      </c>
      <c r="L1312">
        <v>5.6</v>
      </c>
      <c r="M1312">
        <v>4</v>
      </c>
      <c r="N1312">
        <v>4</v>
      </c>
      <c r="O1312">
        <v>4</v>
      </c>
      <c r="P1312" t="s">
        <v>7</v>
      </c>
      <c r="Q1312" t="s">
        <v>8</v>
      </c>
      <c r="R1312" t="s">
        <v>15</v>
      </c>
      <c r="S1312">
        <v>0</v>
      </c>
    </row>
    <row r="1313" spans="1:19" x14ac:dyDescent="0.3">
      <c r="A1313">
        <v>1312</v>
      </c>
      <c r="B1313">
        <v>22.8</v>
      </c>
      <c r="C1313" t="s">
        <v>5</v>
      </c>
      <c r="D1313">
        <v>25000</v>
      </c>
      <c r="E1313" t="s">
        <v>4</v>
      </c>
      <c r="F1313">
        <v>2.73</v>
      </c>
      <c r="G1313">
        <v>67</v>
      </c>
      <c r="H1313">
        <v>2</v>
      </c>
      <c r="I1313">
        <v>32.200000000000003</v>
      </c>
      <c r="J1313" t="s">
        <v>3</v>
      </c>
      <c r="K1313" t="s">
        <v>3</v>
      </c>
      <c r="L1313">
        <v>5.2</v>
      </c>
      <c r="M1313">
        <v>2.0699999999999998</v>
      </c>
      <c r="N1313">
        <v>1.48</v>
      </c>
      <c r="O1313">
        <v>1.48</v>
      </c>
      <c r="P1313" t="s">
        <v>2</v>
      </c>
      <c r="Q1313" t="s">
        <v>8</v>
      </c>
      <c r="R1313" t="s">
        <v>15</v>
      </c>
      <c r="S1313">
        <v>0</v>
      </c>
    </row>
    <row r="1314" spans="1:19" x14ac:dyDescent="0.3">
      <c r="A1314">
        <v>1313</v>
      </c>
      <c r="B1314">
        <v>24.1</v>
      </c>
      <c r="C1314" t="s">
        <v>5</v>
      </c>
      <c r="D1314">
        <v>25000</v>
      </c>
      <c r="E1314" t="s">
        <v>4</v>
      </c>
      <c r="F1314">
        <v>4.22</v>
      </c>
      <c r="G1314">
        <v>94.2</v>
      </c>
      <c r="H1314">
        <v>1</v>
      </c>
      <c r="I1314">
        <v>21.2</v>
      </c>
      <c r="J1314" t="s">
        <v>4</v>
      </c>
      <c r="K1314" t="s">
        <v>4</v>
      </c>
      <c r="L1314">
        <v>7.1</v>
      </c>
      <c r="M1314">
        <v>3.82</v>
      </c>
      <c r="N1314">
        <v>3.72</v>
      </c>
      <c r="O1314">
        <v>3.65</v>
      </c>
      <c r="P1314" t="s">
        <v>7</v>
      </c>
      <c r="Q1314" t="s">
        <v>1</v>
      </c>
      <c r="R1314" t="s">
        <v>9</v>
      </c>
      <c r="S1314">
        <v>0</v>
      </c>
    </row>
    <row r="1315" spans="1:19" x14ac:dyDescent="0.3">
      <c r="A1315">
        <v>1314</v>
      </c>
      <c r="B1315">
        <v>22.2</v>
      </c>
      <c r="C1315" t="s">
        <v>11</v>
      </c>
      <c r="D1315">
        <v>32600</v>
      </c>
      <c r="E1315" t="s">
        <v>3</v>
      </c>
      <c r="F1315">
        <v>5.04</v>
      </c>
      <c r="G1315">
        <v>78.900000000000006</v>
      </c>
      <c r="H1315">
        <v>3</v>
      </c>
      <c r="I1315">
        <v>27.1</v>
      </c>
      <c r="J1315" t="s">
        <v>3</v>
      </c>
      <c r="K1315" t="s">
        <v>4</v>
      </c>
      <c r="L1315">
        <v>4</v>
      </c>
      <c r="M1315">
        <v>3.04</v>
      </c>
      <c r="N1315">
        <v>3.19</v>
      </c>
      <c r="O1315">
        <v>3.23</v>
      </c>
      <c r="P1315" t="s">
        <v>12</v>
      </c>
      <c r="Q1315" t="s">
        <v>14</v>
      </c>
      <c r="R1315" t="s">
        <v>15</v>
      </c>
      <c r="S1315">
        <v>0</v>
      </c>
    </row>
    <row r="1316" spans="1:19" x14ac:dyDescent="0.3">
      <c r="A1316">
        <v>1315</v>
      </c>
      <c r="B1316">
        <v>21</v>
      </c>
      <c r="C1316" t="s">
        <v>5</v>
      </c>
      <c r="D1316">
        <v>25000</v>
      </c>
      <c r="E1316" t="s">
        <v>4</v>
      </c>
      <c r="F1316">
        <v>4.96</v>
      </c>
      <c r="G1316">
        <v>77.599999999999994</v>
      </c>
      <c r="H1316">
        <v>2</v>
      </c>
      <c r="I1316">
        <v>24.6</v>
      </c>
      <c r="J1316" t="s">
        <v>4</v>
      </c>
      <c r="K1316" t="s">
        <v>3</v>
      </c>
      <c r="L1316">
        <v>4.0999999999999996</v>
      </c>
      <c r="M1316">
        <v>4</v>
      </c>
      <c r="N1316">
        <v>3.93</v>
      </c>
      <c r="O1316">
        <v>3.95</v>
      </c>
      <c r="P1316" t="s">
        <v>12</v>
      </c>
      <c r="Q1316" t="s">
        <v>1</v>
      </c>
      <c r="R1316" t="s">
        <v>15</v>
      </c>
      <c r="S1316">
        <v>0</v>
      </c>
    </row>
    <row r="1317" spans="1:19" x14ac:dyDescent="0.3">
      <c r="A1317">
        <v>1316</v>
      </c>
      <c r="B1317">
        <v>18.100000000000001</v>
      </c>
      <c r="C1317" t="s">
        <v>5</v>
      </c>
      <c r="E1317" t="s">
        <v>4</v>
      </c>
      <c r="G1317">
        <v>61.3</v>
      </c>
      <c r="H1317">
        <v>1</v>
      </c>
      <c r="I1317">
        <v>5</v>
      </c>
      <c r="J1317" t="s">
        <v>3</v>
      </c>
      <c r="K1317" t="s">
        <v>3</v>
      </c>
      <c r="M1317">
        <v>2.35</v>
      </c>
      <c r="N1317">
        <v>2.25</v>
      </c>
      <c r="O1317">
        <v>2.27</v>
      </c>
      <c r="P1317" t="s">
        <v>7</v>
      </c>
      <c r="Q1317" t="s">
        <v>13</v>
      </c>
      <c r="R1317" t="s">
        <v>16</v>
      </c>
      <c r="S1317">
        <v>0</v>
      </c>
    </row>
    <row r="1318" spans="1:19" x14ac:dyDescent="0.3">
      <c r="A1318">
        <v>1317</v>
      </c>
      <c r="B1318">
        <v>18.7</v>
      </c>
      <c r="C1318" t="s">
        <v>11</v>
      </c>
      <c r="D1318">
        <v>44468</v>
      </c>
      <c r="E1318" t="s">
        <v>4</v>
      </c>
      <c r="F1318">
        <v>4.1500000000000004</v>
      </c>
      <c r="G1318">
        <v>86.1</v>
      </c>
      <c r="H1318">
        <v>0</v>
      </c>
      <c r="I1318">
        <v>40.299999999999997</v>
      </c>
      <c r="J1318" t="s">
        <v>4</v>
      </c>
      <c r="K1318" t="s">
        <v>3</v>
      </c>
      <c r="L1318">
        <v>6.1</v>
      </c>
      <c r="M1318">
        <v>1.39</v>
      </c>
      <c r="N1318">
        <v>1.38</v>
      </c>
      <c r="O1318">
        <v>1.38</v>
      </c>
      <c r="P1318" t="s">
        <v>12</v>
      </c>
      <c r="Q1318" t="s">
        <v>8</v>
      </c>
      <c r="R1318" t="s">
        <v>15</v>
      </c>
      <c r="S1318">
        <v>1</v>
      </c>
    </row>
    <row r="1319" spans="1:19" x14ac:dyDescent="0.3">
      <c r="A1319">
        <v>1318</v>
      </c>
      <c r="B1319">
        <v>20.3</v>
      </c>
      <c r="C1319" t="s">
        <v>5</v>
      </c>
      <c r="D1319">
        <v>25000</v>
      </c>
      <c r="E1319" t="s">
        <v>4</v>
      </c>
      <c r="F1319">
        <v>4.3600000000000003</v>
      </c>
      <c r="G1319">
        <v>88.4</v>
      </c>
      <c r="H1319">
        <v>0</v>
      </c>
      <c r="I1319">
        <v>8</v>
      </c>
      <c r="J1319" t="s">
        <v>4</v>
      </c>
      <c r="K1319" t="s">
        <v>4</v>
      </c>
      <c r="L1319">
        <v>5.9</v>
      </c>
      <c r="M1319">
        <v>2.76</v>
      </c>
      <c r="N1319">
        <v>2.46</v>
      </c>
      <c r="O1319">
        <v>2.46</v>
      </c>
      <c r="P1319" t="s">
        <v>2</v>
      </c>
      <c r="Q1319" t="s">
        <v>13</v>
      </c>
      <c r="R1319" t="s">
        <v>9</v>
      </c>
      <c r="S1319">
        <v>0</v>
      </c>
    </row>
    <row r="1320" spans="1:19" x14ac:dyDescent="0.3">
      <c r="A1320">
        <v>1319</v>
      </c>
      <c r="B1320">
        <v>19.7</v>
      </c>
      <c r="C1320" t="s">
        <v>5</v>
      </c>
      <c r="D1320">
        <v>25000</v>
      </c>
      <c r="E1320" t="s">
        <v>4</v>
      </c>
      <c r="F1320">
        <v>3.66</v>
      </c>
      <c r="G1320">
        <v>78.3</v>
      </c>
      <c r="H1320">
        <v>1</v>
      </c>
      <c r="I1320">
        <v>8.8000000000000007</v>
      </c>
      <c r="J1320" t="s">
        <v>3</v>
      </c>
      <c r="K1320" t="s">
        <v>4</v>
      </c>
      <c r="L1320">
        <v>4.5</v>
      </c>
      <c r="M1320">
        <v>2.94</v>
      </c>
      <c r="N1320">
        <v>2.54</v>
      </c>
      <c r="O1320">
        <v>2.52</v>
      </c>
      <c r="P1320" t="s">
        <v>12</v>
      </c>
      <c r="Q1320" t="s">
        <v>8</v>
      </c>
      <c r="R1320" t="s">
        <v>9</v>
      </c>
      <c r="S1320">
        <v>0</v>
      </c>
    </row>
    <row r="1321" spans="1:19" x14ac:dyDescent="0.3">
      <c r="A1321">
        <v>1320</v>
      </c>
      <c r="B1321">
        <v>20.6</v>
      </c>
      <c r="C1321" t="s">
        <v>5</v>
      </c>
      <c r="D1321">
        <v>25000</v>
      </c>
      <c r="E1321" t="s">
        <v>4</v>
      </c>
      <c r="F1321">
        <v>3.58</v>
      </c>
      <c r="G1321">
        <v>84.2</v>
      </c>
      <c r="H1321">
        <v>1</v>
      </c>
      <c r="I1321">
        <v>40.700000000000003</v>
      </c>
      <c r="J1321" t="s">
        <v>4</v>
      </c>
      <c r="K1321" t="s">
        <v>3</v>
      </c>
      <c r="L1321">
        <v>3.9</v>
      </c>
      <c r="M1321">
        <v>1.55</v>
      </c>
      <c r="N1321">
        <v>2.17</v>
      </c>
      <c r="O1321">
        <v>2.17</v>
      </c>
      <c r="P1321" t="s">
        <v>7</v>
      </c>
      <c r="Q1321" t="s">
        <v>14</v>
      </c>
      <c r="R1321" t="s">
        <v>15</v>
      </c>
      <c r="S1321">
        <v>0</v>
      </c>
    </row>
    <row r="1322" spans="1:19" x14ac:dyDescent="0.3">
      <c r="A1322">
        <v>1321</v>
      </c>
      <c r="B1322">
        <v>21.1</v>
      </c>
      <c r="C1322" t="s">
        <v>5</v>
      </c>
      <c r="D1322">
        <v>25000</v>
      </c>
      <c r="E1322" t="s">
        <v>4</v>
      </c>
      <c r="F1322">
        <v>2.73</v>
      </c>
      <c r="G1322">
        <v>100</v>
      </c>
      <c r="H1322">
        <v>0</v>
      </c>
      <c r="I1322">
        <v>16.7</v>
      </c>
      <c r="J1322" t="s">
        <v>3</v>
      </c>
      <c r="K1322" t="s">
        <v>3</v>
      </c>
      <c r="L1322">
        <v>5.4</v>
      </c>
      <c r="M1322">
        <v>3.53</v>
      </c>
      <c r="N1322">
        <v>3.56</v>
      </c>
      <c r="O1322">
        <v>3.56</v>
      </c>
      <c r="P1322" t="s">
        <v>2</v>
      </c>
      <c r="Q1322" t="s">
        <v>6</v>
      </c>
      <c r="R1322" t="s">
        <v>15</v>
      </c>
      <c r="S1322">
        <v>0</v>
      </c>
    </row>
    <row r="1323" spans="1:19" x14ac:dyDescent="0.3">
      <c r="A1323">
        <v>1322</v>
      </c>
      <c r="B1323">
        <v>22.2</v>
      </c>
      <c r="C1323" t="s">
        <v>5</v>
      </c>
      <c r="D1323">
        <v>38439</v>
      </c>
      <c r="E1323" t="s">
        <v>4</v>
      </c>
      <c r="F1323">
        <v>4.9000000000000004</v>
      </c>
      <c r="G1323">
        <v>76.599999999999994</v>
      </c>
      <c r="H1323">
        <v>0</v>
      </c>
      <c r="I1323">
        <v>5.0999999999999996</v>
      </c>
      <c r="J1323" t="s">
        <v>3</v>
      </c>
      <c r="K1323" t="s">
        <v>3</v>
      </c>
      <c r="L1323">
        <v>5.7</v>
      </c>
      <c r="M1323">
        <v>0.2</v>
      </c>
      <c r="N1323">
        <v>0</v>
      </c>
      <c r="O1323">
        <v>0</v>
      </c>
      <c r="P1323" t="s">
        <v>2</v>
      </c>
      <c r="Q1323" t="s">
        <v>6</v>
      </c>
      <c r="R1323" t="s">
        <v>15</v>
      </c>
      <c r="S1323">
        <v>1</v>
      </c>
    </row>
    <row r="1324" spans="1:19" x14ac:dyDescent="0.3">
      <c r="A1324">
        <v>1323</v>
      </c>
      <c r="B1324">
        <v>20.8</v>
      </c>
      <c r="C1324" t="s">
        <v>5</v>
      </c>
      <c r="D1324">
        <v>31806</v>
      </c>
      <c r="E1324" t="s">
        <v>4</v>
      </c>
      <c r="F1324">
        <v>1.66</v>
      </c>
      <c r="G1324">
        <v>78.8</v>
      </c>
      <c r="H1324">
        <v>2</v>
      </c>
      <c r="I1324">
        <v>46</v>
      </c>
      <c r="J1324" t="s">
        <v>3</v>
      </c>
      <c r="K1324" t="s">
        <v>3</v>
      </c>
      <c r="L1324">
        <v>3.3</v>
      </c>
      <c r="M1324">
        <v>2.33</v>
      </c>
      <c r="N1324">
        <v>2.74</v>
      </c>
      <c r="O1324">
        <v>2.74</v>
      </c>
      <c r="P1324" t="s">
        <v>10</v>
      </c>
      <c r="Q1324" t="s">
        <v>1</v>
      </c>
      <c r="R1324" t="s">
        <v>9</v>
      </c>
      <c r="S1324">
        <v>0</v>
      </c>
    </row>
    <row r="1325" spans="1:19" x14ac:dyDescent="0.3">
      <c r="A1325">
        <v>1324</v>
      </c>
      <c r="B1325">
        <v>22.1</v>
      </c>
      <c r="C1325" t="s">
        <v>11</v>
      </c>
      <c r="D1325">
        <v>124882</v>
      </c>
      <c r="E1325" t="s">
        <v>3</v>
      </c>
      <c r="F1325">
        <v>2.2999999999999998</v>
      </c>
      <c r="G1325">
        <v>93.4</v>
      </c>
      <c r="H1325">
        <v>0</v>
      </c>
      <c r="I1325">
        <v>22.3</v>
      </c>
      <c r="J1325" t="s">
        <v>4</v>
      </c>
      <c r="K1325" t="s">
        <v>3</v>
      </c>
      <c r="L1325">
        <v>2</v>
      </c>
      <c r="M1325">
        <v>3.9</v>
      </c>
      <c r="N1325">
        <v>3.79</v>
      </c>
      <c r="O1325">
        <v>3.83</v>
      </c>
      <c r="P1325" t="s">
        <v>10</v>
      </c>
      <c r="Q1325" t="s">
        <v>13</v>
      </c>
      <c r="R1325" t="s">
        <v>15</v>
      </c>
      <c r="S1325">
        <v>0</v>
      </c>
    </row>
    <row r="1326" spans="1:19" x14ac:dyDescent="0.3">
      <c r="A1326">
        <v>1325</v>
      </c>
      <c r="B1326">
        <v>21.1</v>
      </c>
      <c r="C1326" t="s">
        <v>5</v>
      </c>
      <c r="D1326">
        <v>57077</v>
      </c>
      <c r="E1326" t="s">
        <v>4</v>
      </c>
      <c r="F1326">
        <v>6.43</v>
      </c>
      <c r="G1326">
        <v>69.400000000000006</v>
      </c>
      <c r="H1326">
        <v>1</v>
      </c>
      <c r="I1326">
        <v>44.6</v>
      </c>
      <c r="J1326" t="s">
        <v>4</v>
      </c>
      <c r="K1326" t="s">
        <v>3</v>
      </c>
      <c r="L1326">
        <v>2.4</v>
      </c>
      <c r="M1326">
        <v>3.19</v>
      </c>
      <c r="N1326">
        <v>3.45</v>
      </c>
      <c r="O1326">
        <v>3.45</v>
      </c>
      <c r="P1326" t="s">
        <v>10</v>
      </c>
      <c r="Q1326" t="s">
        <v>13</v>
      </c>
      <c r="R1326" t="s">
        <v>0</v>
      </c>
      <c r="S1326">
        <v>0</v>
      </c>
    </row>
    <row r="1327" spans="1:19" x14ac:dyDescent="0.3">
      <c r="A1327">
        <v>1326</v>
      </c>
      <c r="B1327">
        <v>17</v>
      </c>
      <c r="C1327" t="s">
        <v>5</v>
      </c>
      <c r="D1327">
        <v>25000</v>
      </c>
      <c r="E1327" t="s">
        <v>4</v>
      </c>
      <c r="F1327">
        <v>3.85</v>
      </c>
      <c r="G1327">
        <v>84</v>
      </c>
      <c r="H1327">
        <v>0</v>
      </c>
      <c r="I1327">
        <v>19</v>
      </c>
      <c r="J1327" t="s">
        <v>3</v>
      </c>
      <c r="K1327" t="s">
        <v>3</v>
      </c>
      <c r="L1327">
        <v>2.9</v>
      </c>
      <c r="M1327">
        <v>4</v>
      </c>
      <c r="N1327">
        <v>4</v>
      </c>
      <c r="O1327">
        <v>3.94</v>
      </c>
      <c r="P1327" t="s">
        <v>12</v>
      </c>
      <c r="Q1327" t="s">
        <v>13</v>
      </c>
      <c r="R1327" t="s">
        <v>15</v>
      </c>
      <c r="S1327">
        <v>0</v>
      </c>
    </row>
    <row r="1328" spans="1:19" x14ac:dyDescent="0.3">
      <c r="A1328">
        <v>1327</v>
      </c>
      <c r="B1328">
        <v>18.899999999999999</v>
      </c>
      <c r="C1328" t="s">
        <v>11</v>
      </c>
      <c r="D1328">
        <v>25000</v>
      </c>
      <c r="E1328" t="s">
        <v>4</v>
      </c>
      <c r="F1328">
        <v>4.18</v>
      </c>
      <c r="G1328">
        <v>62.7</v>
      </c>
      <c r="H1328">
        <v>4</v>
      </c>
      <c r="I1328">
        <v>10.3</v>
      </c>
      <c r="J1328" t="s">
        <v>4</v>
      </c>
      <c r="K1328" t="s">
        <v>3</v>
      </c>
      <c r="L1328">
        <v>3.3</v>
      </c>
      <c r="M1328">
        <v>2.57</v>
      </c>
      <c r="N1328">
        <v>3</v>
      </c>
      <c r="O1328">
        <v>3</v>
      </c>
      <c r="P1328" t="s">
        <v>7</v>
      </c>
      <c r="Q1328" t="s">
        <v>13</v>
      </c>
      <c r="R1328" t="s">
        <v>15</v>
      </c>
      <c r="S1328">
        <v>0</v>
      </c>
    </row>
    <row r="1329" spans="1:19" x14ac:dyDescent="0.3">
      <c r="A1329">
        <v>1328</v>
      </c>
      <c r="B1329">
        <v>20.7</v>
      </c>
      <c r="C1329" t="s">
        <v>5</v>
      </c>
      <c r="D1329">
        <v>150846</v>
      </c>
      <c r="E1329" t="s">
        <v>4</v>
      </c>
      <c r="F1329">
        <v>2.42</v>
      </c>
      <c r="G1329">
        <v>71</v>
      </c>
      <c r="H1329">
        <v>3</v>
      </c>
      <c r="I1329">
        <v>26.1</v>
      </c>
      <c r="J1329" t="s">
        <v>4</v>
      </c>
      <c r="K1329" t="s">
        <v>4</v>
      </c>
      <c r="L1329">
        <v>5.3</v>
      </c>
      <c r="M1329">
        <v>0.92</v>
      </c>
      <c r="N1329">
        <v>0.75</v>
      </c>
      <c r="O1329">
        <v>0.73</v>
      </c>
      <c r="P1329" t="s">
        <v>7</v>
      </c>
      <c r="Q1329" t="s">
        <v>13</v>
      </c>
      <c r="R1329" t="s">
        <v>9</v>
      </c>
      <c r="S1329">
        <v>1</v>
      </c>
    </row>
    <row r="1330" spans="1:19" x14ac:dyDescent="0.3">
      <c r="A1330">
        <v>1329</v>
      </c>
      <c r="B1330">
        <v>18.3</v>
      </c>
      <c r="C1330" t="s">
        <v>11</v>
      </c>
      <c r="D1330">
        <v>56249</v>
      </c>
      <c r="E1330" t="s">
        <v>3</v>
      </c>
      <c r="F1330">
        <v>4.63</v>
      </c>
      <c r="G1330">
        <v>72.5</v>
      </c>
      <c r="H1330">
        <v>2</v>
      </c>
      <c r="I1330">
        <v>15.5</v>
      </c>
      <c r="J1330" t="s">
        <v>3</v>
      </c>
      <c r="K1330" t="s">
        <v>3</v>
      </c>
      <c r="L1330">
        <v>5.7</v>
      </c>
      <c r="M1330">
        <v>3.2</v>
      </c>
      <c r="N1330">
        <v>3.31</v>
      </c>
      <c r="O1330">
        <v>3.31</v>
      </c>
      <c r="P1330" t="s">
        <v>2</v>
      </c>
      <c r="Q1330" t="s">
        <v>14</v>
      </c>
      <c r="R1330" t="s">
        <v>15</v>
      </c>
      <c r="S1330">
        <v>0</v>
      </c>
    </row>
    <row r="1331" spans="1:19" x14ac:dyDescent="0.3">
      <c r="A1331">
        <v>1330</v>
      </c>
      <c r="B1331">
        <v>22.3</v>
      </c>
      <c r="C1331" t="s">
        <v>5</v>
      </c>
      <c r="D1331">
        <v>42346</v>
      </c>
      <c r="E1331" t="s">
        <v>4</v>
      </c>
      <c r="F1331">
        <v>5.79</v>
      </c>
      <c r="G1331">
        <v>75</v>
      </c>
      <c r="H1331">
        <v>1</v>
      </c>
      <c r="I1331">
        <v>34.9</v>
      </c>
      <c r="J1331" t="s">
        <v>3</v>
      </c>
      <c r="K1331" t="s">
        <v>3</v>
      </c>
      <c r="L1331">
        <v>5.2</v>
      </c>
      <c r="M1331">
        <v>0.48</v>
      </c>
      <c r="N1331">
        <v>0.52</v>
      </c>
      <c r="O1331">
        <v>0.56000000000000005</v>
      </c>
      <c r="P1331" t="s">
        <v>7</v>
      </c>
      <c r="Q1331" t="s">
        <v>13</v>
      </c>
      <c r="R1331" t="s">
        <v>9</v>
      </c>
      <c r="S1331">
        <v>1</v>
      </c>
    </row>
    <row r="1332" spans="1:19" x14ac:dyDescent="0.3">
      <c r="A1332">
        <v>1331</v>
      </c>
      <c r="B1332">
        <v>24.4</v>
      </c>
      <c r="C1332" t="s">
        <v>5</v>
      </c>
      <c r="D1332">
        <v>31098</v>
      </c>
      <c r="E1332" t="s">
        <v>3</v>
      </c>
      <c r="F1332">
        <v>5.89</v>
      </c>
      <c r="G1332">
        <v>72</v>
      </c>
      <c r="H1332">
        <v>4</v>
      </c>
      <c r="I1332">
        <v>38.1</v>
      </c>
      <c r="J1332" t="s">
        <v>3</v>
      </c>
      <c r="K1332" t="s">
        <v>4</v>
      </c>
      <c r="L1332">
        <v>6.1</v>
      </c>
      <c r="M1332">
        <v>3.83</v>
      </c>
      <c r="N1332">
        <v>3.71</v>
      </c>
      <c r="O1332">
        <v>3.7</v>
      </c>
      <c r="P1332" t="s">
        <v>7</v>
      </c>
      <c r="Q1332" t="s">
        <v>14</v>
      </c>
      <c r="R1332" t="s">
        <v>0</v>
      </c>
      <c r="S1332">
        <v>0</v>
      </c>
    </row>
    <row r="1333" spans="1:19" x14ac:dyDescent="0.3">
      <c r="A1333">
        <v>1332</v>
      </c>
      <c r="B1333">
        <v>23.7</v>
      </c>
      <c r="C1333" t="s">
        <v>11</v>
      </c>
      <c r="D1333">
        <v>35035</v>
      </c>
      <c r="E1333" t="s">
        <v>4</v>
      </c>
      <c r="F1333">
        <v>2.0299999999999998</v>
      </c>
      <c r="G1333">
        <v>83.6</v>
      </c>
      <c r="H1333">
        <v>3</v>
      </c>
      <c r="I1333">
        <v>41.2</v>
      </c>
      <c r="J1333" t="s">
        <v>3</v>
      </c>
      <c r="K1333" t="s">
        <v>3</v>
      </c>
      <c r="L1333">
        <v>6.2</v>
      </c>
      <c r="M1333">
        <v>1.59</v>
      </c>
      <c r="N1333">
        <v>1.45</v>
      </c>
      <c r="O1333">
        <v>1.45</v>
      </c>
      <c r="P1333" t="s">
        <v>12</v>
      </c>
      <c r="Q1333" t="s">
        <v>1</v>
      </c>
      <c r="R1333" t="s">
        <v>15</v>
      </c>
      <c r="S1333">
        <v>0</v>
      </c>
    </row>
    <row r="1334" spans="1:19" x14ac:dyDescent="0.3">
      <c r="A1334">
        <v>1333</v>
      </c>
      <c r="B1334">
        <v>20.5</v>
      </c>
      <c r="C1334" t="s">
        <v>5</v>
      </c>
      <c r="D1334">
        <v>25000</v>
      </c>
      <c r="E1334" t="s">
        <v>4</v>
      </c>
      <c r="F1334">
        <v>5.52</v>
      </c>
      <c r="G1334">
        <v>93.2</v>
      </c>
      <c r="H1334">
        <v>1</v>
      </c>
      <c r="I1334">
        <v>26.3</v>
      </c>
      <c r="J1334" t="s">
        <v>3</v>
      </c>
      <c r="K1334" t="s">
        <v>3</v>
      </c>
      <c r="L1334">
        <v>6.1</v>
      </c>
      <c r="M1334">
        <v>1.56</v>
      </c>
      <c r="N1334">
        <v>1.32</v>
      </c>
      <c r="O1334">
        <v>1.3</v>
      </c>
      <c r="P1334" t="s">
        <v>12</v>
      </c>
      <c r="Q1334" t="s">
        <v>8</v>
      </c>
      <c r="R1334" t="s">
        <v>9</v>
      </c>
      <c r="S1334">
        <v>0</v>
      </c>
    </row>
    <row r="1335" spans="1:19" x14ac:dyDescent="0.3">
      <c r="A1335">
        <v>1334</v>
      </c>
      <c r="B1335">
        <v>24.3</v>
      </c>
      <c r="C1335" t="s">
        <v>5</v>
      </c>
      <c r="D1335">
        <v>32670</v>
      </c>
      <c r="E1335" t="s">
        <v>4</v>
      </c>
      <c r="F1335">
        <v>4.01</v>
      </c>
      <c r="G1335">
        <v>98.3</v>
      </c>
      <c r="H1335">
        <v>3</v>
      </c>
      <c r="I1335">
        <v>46.6</v>
      </c>
      <c r="J1335" t="s">
        <v>4</v>
      </c>
      <c r="K1335" t="s">
        <v>3</v>
      </c>
      <c r="L1335">
        <v>5.7</v>
      </c>
      <c r="M1335">
        <v>2.4300000000000002</v>
      </c>
      <c r="N1335">
        <v>2.83</v>
      </c>
      <c r="O1335">
        <v>2.78</v>
      </c>
      <c r="P1335" t="s">
        <v>10</v>
      </c>
      <c r="Q1335" t="s">
        <v>8</v>
      </c>
      <c r="R1335" t="s">
        <v>15</v>
      </c>
      <c r="S1335">
        <v>0</v>
      </c>
    </row>
    <row r="1336" spans="1:19" x14ac:dyDescent="0.3">
      <c r="A1336">
        <v>1335</v>
      </c>
      <c r="B1336">
        <v>21.3</v>
      </c>
      <c r="C1336" t="s">
        <v>11</v>
      </c>
      <c r="D1336">
        <v>31031</v>
      </c>
      <c r="E1336" t="s">
        <v>4</v>
      </c>
      <c r="F1336">
        <v>0.72</v>
      </c>
      <c r="G1336">
        <v>73.8</v>
      </c>
      <c r="H1336">
        <v>4</v>
      </c>
      <c r="I1336">
        <v>18.899999999999999</v>
      </c>
      <c r="J1336" t="s">
        <v>3</v>
      </c>
      <c r="K1336" t="s">
        <v>4</v>
      </c>
      <c r="L1336">
        <v>3.6</v>
      </c>
      <c r="M1336">
        <v>1.72</v>
      </c>
      <c r="N1336">
        <v>2.08</v>
      </c>
      <c r="O1336">
        <v>2.04</v>
      </c>
      <c r="P1336" t="s">
        <v>12</v>
      </c>
      <c r="Q1336" t="s">
        <v>6</v>
      </c>
      <c r="R1336" t="s">
        <v>16</v>
      </c>
      <c r="S1336">
        <v>1</v>
      </c>
    </row>
    <row r="1337" spans="1:19" x14ac:dyDescent="0.3">
      <c r="A1337">
        <v>1336</v>
      </c>
      <c r="B1337">
        <v>20.3</v>
      </c>
      <c r="C1337" t="s">
        <v>5</v>
      </c>
      <c r="D1337">
        <v>25000</v>
      </c>
      <c r="E1337" t="s">
        <v>4</v>
      </c>
      <c r="F1337">
        <v>2</v>
      </c>
      <c r="G1337">
        <v>87.8</v>
      </c>
      <c r="H1337">
        <v>2</v>
      </c>
      <c r="I1337">
        <v>31.6</v>
      </c>
      <c r="J1337" t="s">
        <v>3</v>
      </c>
      <c r="K1337" t="s">
        <v>4</v>
      </c>
      <c r="L1337">
        <v>3.1</v>
      </c>
      <c r="M1337">
        <v>1.89</v>
      </c>
      <c r="N1337">
        <v>2.04</v>
      </c>
      <c r="O1337">
        <v>2.02</v>
      </c>
      <c r="P1337" t="s">
        <v>7</v>
      </c>
      <c r="Q1337" t="s">
        <v>14</v>
      </c>
      <c r="R1337" t="s">
        <v>9</v>
      </c>
      <c r="S1337">
        <v>0</v>
      </c>
    </row>
    <row r="1338" spans="1:19" x14ac:dyDescent="0.3">
      <c r="A1338">
        <v>1337</v>
      </c>
      <c r="B1338">
        <v>19.7</v>
      </c>
      <c r="C1338" t="s">
        <v>11</v>
      </c>
      <c r="D1338">
        <v>25000</v>
      </c>
      <c r="E1338" t="s">
        <v>3</v>
      </c>
      <c r="F1338">
        <v>1.55</v>
      </c>
      <c r="G1338">
        <v>91.7</v>
      </c>
      <c r="H1338">
        <v>1</v>
      </c>
      <c r="I1338">
        <v>28.3</v>
      </c>
      <c r="J1338" t="s">
        <v>3</v>
      </c>
      <c r="K1338" t="s">
        <v>4</v>
      </c>
      <c r="L1338">
        <v>4.5</v>
      </c>
      <c r="M1338">
        <v>1.89</v>
      </c>
      <c r="N1338">
        <v>1.54</v>
      </c>
      <c r="O1338">
        <v>1.51</v>
      </c>
      <c r="P1338" t="s">
        <v>12</v>
      </c>
      <c r="Q1338" t="s">
        <v>13</v>
      </c>
      <c r="R1338" t="s">
        <v>9</v>
      </c>
      <c r="S1338">
        <v>0</v>
      </c>
    </row>
    <row r="1339" spans="1:19" x14ac:dyDescent="0.3">
      <c r="A1339">
        <v>1338</v>
      </c>
      <c r="B1339">
        <v>20.3</v>
      </c>
      <c r="C1339" t="s">
        <v>11</v>
      </c>
      <c r="D1339">
        <v>73799</v>
      </c>
      <c r="E1339" t="s">
        <v>4</v>
      </c>
      <c r="F1339">
        <v>4.78</v>
      </c>
      <c r="G1339">
        <v>83</v>
      </c>
      <c r="H1339">
        <v>2</v>
      </c>
      <c r="I1339">
        <v>53.7</v>
      </c>
      <c r="J1339" t="s">
        <v>3</v>
      </c>
      <c r="K1339" t="s">
        <v>3</v>
      </c>
      <c r="L1339">
        <v>7.5</v>
      </c>
      <c r="M1339">
        <v>1.72</v>
      </c>
      <c r="N1339">
        <v>1.3</v>
      </c>
      <c r="O1339">
        <v>1.32</v>
      </c>
      <c r="P1339" t="s">
        <v>12</v>
      </c>
      <c r="Q1339" t="s">
        <v>14</v>
      </c>
      <c r="R1339" t="s">
        <v>9</v>
      </c>
      <c r="S1339">
        <v>0</v>
      </c>
    </row>
    <row r="1340" spans="1:19" x14ac:dyDescent="0.3">
      <c r="A1340">
        <v>1339</v>
      </c>
      <c r="B1340">
        <v>20.100000000000001</v>
      </c>
      <c r="C1340" t="s">
        <v>5</v>
      </c>
      <c r="D1340">
        <v>27581</v>
      </c>
      <c r="E1340" t="s">
        <v>4</v>
      </c>
      <c r="F1340">
        <v>3.76</v>
      </c>
      <c r="G1340">
        <v>87.7</v>
      </c>
      <c r="H1340">
        <v>2</v>
      </c>
      <c r="I1340">
        <v>44.5</v>
      </c>
      <c r="J1340" t="s">
        <v>3</v>
      </c>
      <c r="K1340" t="s">
        <v>3</v>
      </c>
      <c r="L1340">
        <v>9.6999999999999993</v>
      </c>
      <c r="M1340">
        <v>3.45</v>
      </c>
      <c r="N1340">
        <v>3.74</v>
      </c>
      <c r="O1340">
        <v>3.7</v>
      </c>
      <c r="P1340" t="s">
        <v>10</v>
      </c>
      <c r="Q1340" t="s">
        <v>14</v>
      </c>
      <c r="R1340" t="s">
        <v>16</v>
      </c>
      <c r="S1340">
        <v>0</v>
      </c>
    </row>
    <row r="1341" spans="1:19" x14ac:dyDescent="0.3">
      <c r="A1341">
        <v>1340</v>
      </c>
      <c r="B1341">
        <v>21.4</v>
      </c>
      <c r="C1341" t="s">
        <v>11</v>
      </c>
      <c r="D1341">
        <v>103023</v>
      </c>
      <c r="E1341" t="s">
        <v>4</v>
      </c>
      <c r="F1341">
        <v>3.15</v>
      </c>
      <c r="G1341">
        <v>85.7</v>
      </c>
      <c r="H1341">
        <v>0</v>
      </c>
      <c r="I1341">
        <v>30.4</v>
      </c>
      <c r="J1341" t="s">
        <v>3</v>
      </c>
      <c r="K1341" t="s">
        <v>3</v>
      </c>
      <c r="L1341">
        <v>6.5</v>
      </c>
      <c r="M1341">
        <v>0.82</v>
      </c>
      <c r="N1341">
        <v>0.98</v>
      </c>
      <c r="O1341">
        <v>0.9</v>
      </c>
      <c r="P1341" t="s">
        <v>10</v>
      </c>
      <c r="Q1341" t="s">
        <v>8</v>
      </c>
      <c r="R1341" t="s">
        <v>9</v>
      </c>
      <c r="S1341">
        <v>1</v>
      </c>
    </row>
    <row r="1342" spans="1:19" x14ac:dyDescent="0.3">
      <c r="A1342">
        <v>1341</v>
      </c>
      <c r="B1342">
        <v>21.4</v>
      </c>
      <c r="C1342" t="s">
        <v>5</v>
      </c>
      <c r="D1342">
        <v>25000</v>
      </c>
      <c r="E1342" t="s">
        <v>4</v>
      </c>
      <c r="F1342">
        <v>3.88</v>
      </c>
      <c r="G1342">
        <v>85.7</v>
      </c>
      <c r="H1342">
        <v>2</v>
      </c>
      <c r="I1342">
        <v>32.4</v>
      </c>
      <c r="J1342" t="s">
        <v>4</v>
      </c>
      <c r="K1342" t="s">
        <v>3</v>
      </c>
      <c r="L1342">
        <v>6.1</v>
      </c>
      <c r="M1342">
        <v>1.63</v>
      </c>
      <c r="N1342">
        <v>1.74</v>
      </c>
      <c r="O1342">
        <v>1.75</v>
      </c>
      <c r="P1342" t="s">
        <v>7</v>
      </c>
      <c r="Q1342" t="s">
        <v>14</v>
      </c>
      <c r="R1342" t="s">
        <v>15</v>
      </c>
      <c r="S1342">
        <v>0</v>
      </c>
    </row>
    <row r="1343" spans="1:19" x14ac:dyDescent="0.3">
      <c r="A1343">
        <v>1342</v>
      </c>
      <c r="B1343">
        <v>21</v>
      </c>
      <c r="C1343" t="s">
        <v>11</v>
      </c>
      <c r="D1343">
        <v>25000</v>
      </c>
      <c r="E1343" t="s">
        <v>4</v>
      </c>
      <c r="F1343">
        <v>6.28</v>
      </c>
      <c r="G1343">
        <v>76.099999999999994</v>
      </c>
      <c r="H1343">
        <v>2</v>
      </c>
      <c r="I1343">
        <v>48.4</v>
      </c>
      <c r="J1343" t="s">
        <v>3</v>
      </c>
      <c r="K1343" t="s">
        <v>4</v>
      </c>
      <c r="L1343">
        <v>7.4</v>
      </c>
      <c r="M1343">
        <v>2.04</v>
      </c>
      <c r="N1343">
        <v>2.0699999999999998</v>
      </c>
      <c r="O1343">
        <v>2.13</v>
      </c>
      <c r="P1343" t="s">
        <v>7</v>
      </c>
      <c r="Q1343" t="s">
        <v>13</v>
      </c>
      <c r="R1343" t="s">
        <v>9</v>
      </c>
      <c r="S1343">
        <v>0</v>
      </c>
    </row>
    <row r="1344" spans="1:19" x14ac:dyDescent="0.3">
      <c r="A1344">
        <v>1343</v>
      </c>
      <c r="B1344">
        <v>22</v>
      </c>
      <c r="C1344" t="s">
        <v>11</v>
      </c>
      <c r="D1344">
        <v>25000</v>
      </c>
      <c r="E1344" t="s">
        <v>4</v>
      </c>
      <c r="F1344">
        <v>3.62</v>
      </c>
      <c r="G1344">
        <v>66</v>
      </c>
      <c r="H1344">
        <v>3</v>
      </c>
      <c r="I1344">
        <v>21</v>
      </c>
      <c r="J1344" t="s">
        <v>3</v>
      </c>
      <c r="K1344" t="s">
        <v>3</v>
      </c>
      <c r="L1344">
        <v>8.1999999999999993</v>
      </c>
      <c r="M1344">
        <v>2.06</v>
      </c>
      <c r="N1344">
        <v>2.68</v>
      </c>
      <c r="O1344">
        <v>2.72</v>
      </c>
      <c r="P1344" t="s">
        <v>10</v>
      </c>
      <c r="Q1344" t="s">
        <v>14</v>
      </c>
      <c r="R1344" t="s">
        <v>15</v>
      </c>
      <c r="S1344">
        <v>0</v>
      </c>
    </row>
    <row r="1345" spans="1:19" x14ac:dyDescent="0.3">
      <c r="A1345">
        <v>1344</v>
      </c>
      <c r="B1345">
        <v>23.6</v>
      </c>
      <c r="C1345" t="s">
        <v>11</v>
      </c>
      <c r="D1345">
        <v>25000</v>
      </c>
      <c r="E1345" t="s">
        <v>4</v>
      </c>
      <c r="F1345">
        <v>4.43</v>
      </c>
      <c r="G1345">
        <v>79.2</v>
      </c>
      <c r="H1345">
        <v>3</v>
      </c>
      <c r="I1345">
        <v>5.6</v>
      </c>
      <c r="J1345" t="s">
        <v>4</v>
      </c>
      <c r="K1345" t="s">
        <v>3</v>
      </c>
      <c r="L1345">
        <v>3.8</v>
      </c>
      <c r="M1345">
        <v>1.7</v>
      </c>
      <c r="N1345">
        <v>1.52</v>
      </c>
      <c r="O1345">
        <v>1.49</v>
      </c>
      <c r="P1345" t="s">
        <v>12</v>
      </c>
      <c r="Q1345" t="s">
        <v>13</v>
      </c>
      <c r="R1345" t="s">
        <v>0</v>
      </c>
      <c r="S1345">
        <v>0</v>
      </c>
    </row>
    <row r="1346" spans="1:19" x14ac:dyDescent="0.3">
      <c r="A1346">
        <v>1345</v>
      </c>
      <c r="B1346">
        <v>23.1</v>
      </c>
      <c r="C1346" t="s">
        <v>5</v>
      </c>
      <c r="D1346">
        <v>25000</v>
      </c>
      <c r="E1346" t="s">
        <v>4</v>
      </c>
      <c r="F1346">
        <v>4.82</v>
      </c>
      <c r="G1346">
        <v>75.900000000000006</v>
      </c>
      <c r="H1346">
        <v>1</v>
      </c>
      <c r="I1346">
        <v>18.399999999999999</v>
      </c>
      <c r="J1346" t="s">
        <v>4</v>
      </c>
      <c r="K1346" t="s">
        <v>4</v>
      </c>
      <c r="L1346">
        <v>10</v>
      </c>
      <c r="M1346">
        <v>0.35</v>
      </c>
      <c r="N1346">
        <v>0.79</v>
      </c>
      <c r="O1346">
        <v>0.91</v>
      </c>
      <c r="P1346" t="s">
        <v>10</v>
      </c>
      <c r="Q1346" t="s">
        <v>6</v>
      </c>
      <c r="R1346" t="s">
        <v>15</v>
      </c>
      <c r="S1346">
        <v>1</v>
      </c>
    </row>
    <row r="1347" spans="1:19" x14ac:dyDescent="0.3">
      <c r="A1347">
        <v>1346</v>
      </c>
      <c r="B1347">
        <v>17.7</v>
      </c>
      <c r="C1347" t="s">
        <v>11</v>
      </c>
      <c r="D1347">
        <v>35925</v>
      </c>
      <c r="E1347" t="s">
        <v>4</v>
      </c>
      <c r="F1347">
        <v>2.42</v>
      </c>
      <c r="G1347">
        <v>79.8</v>
      </c>
      <c r="H1347">
        <v>1</v>
      </c>
      <c r="I1347">
        <v>25</v>
      </c>
      <c r="J1347" t="s">
        <v>4</v>
      </c>
      <c r="K1347" t="s">
        <v>3</v>
      </c>
      <c r="L1347">
        <v>8.4</v>
      </c>
      <c r="M1347">
        <v>0.15</v>
      </c>
      <c r="N1347">
        <v>0.35</v>
      </c>
      <c r="O1347">
        <v>0.34</v>
      </c>
      <c r="P1347" t="s">
        <v>10</v>
      </c>
      <c r="Q1347" t="s">
        <v>14</v>
      </c>
      <c r="R1347" t="s">
        <v>0</v>
      </c>
      <c r="S1347">
        <v>1</v>
      </c>
    </row>
    <row r="1348" spans="1:19" x14ac:dyDescent="0.3">
      <c r="A1348">
        <v>1347</v>
      </c>
      <c r="B1348">
        <v>17</v>
      </c>
      <c r="C1348" t="s">
        <v>5</v>
      </c>
      <c r="D1348">
        <v>34895</v>
      </c>
      <c r="E1348" t="s">
        <v>4</v>
      </c>
      <c r="F1348">
        <v>4.7300000000000004</v>
      </c>
      <c r="G1348">
        <v>89.7</v>
      </c>
      <c r="H1348">
        <v>0</v>
      </c>
      <c r="I1348">
        <v>46.3</v>
      </c>
      <c r="J1348" t="s">
        <v>4</v>
      </c>
      <c r="K1348" t="s">
        <v>4</v>
      </c>
      <c r="L1348">
        <v>3</v>
      </c>
      <c r="M1348">
        <v>4</v>
      </c>
      <c r="N1348">
        <v>3.57</v>
      </c>
      <c r="O1348">
        <v>3.6</v>
      </c>
      <c r="P1348" t="s">
        <v>7</v>
      </c>
      <c r="Q1348" t="s">
        <v>13</v>
      </c>
      <c r="R1348" t="s">
        <v>9</v>
      </c>
      <c r="S1348">
        <v>0</v>
      </c>
    </row>
    <row r="1349" spans="1:19" x14ac:dyDescent="0.3">
      <c r="A1349">
        <v>1348</v>
      </c>
      <c r="B1349">
        <v>23.1</v>
      </c>
      <c r="C1349" t="s">
        <v>5</v>
      </c>
      <c r="E1349" t="s">
        <v>4</v>
      </c>
      <c r="G1349">
        <v>78.5</v>
      </c>
      <c r="H1349">
        <v>4</v>
      </c>
      <c r="I1349">
        <v>42.4</v>
      </c>
      <c r="J1349" t="s">
        <v>3</v>
      </c>
      <c r="K1349" t="s">
        <v>3</v>
      </c>
      <c r="M1349">
        <v>4</v>
      </c>
      <c r="N1349">
        <v>3.9</v>
      </c>
      <c r="O1349">
        <v>3.85</v>
      </c>
      <c r="P1349" t="s">
        <v>12</v>
      </c>
      <c r="Q1349" t="s">
        <v>14</v>
      </c>
      <c r="R1349" t="s">
        <v>9</v>
      </c>
      <c r="S1349">
        <v>0</v>
      </c>
    </row>
    <row r="1350" spans="1:19" x14ac:dyDescent="0.3">
      <c r="A1350">
        <v>1349</v>
      </c>
      <c r="B1350">
        <v>18</v>
      </c>
      <c r="C1350" t="s">
        <v>11</v>
      </c>
      <c r="D1350">
        <v>25000</v>
      </c>
      <c r="E1350" t="s">
        <v>4</v>
      </c>
      <c r="F1350">
        <v>5.3</v>
      </c>
      <c r="G1350">
        <v>83.2</v>
      </c>
      <c r="H1350">
        <v>3</v>
      </c>
      <c r="I1350">
        <v>29.5</v>
      </c>
      <c r="J1350" t="s">
        <v>4</v>
      </c>
      <c r="K1350" t="s">
        <v>3</v>
      </c>
      <c r="L1350">
        <v>10</v>
      </c>
      <c r="M1350">
        <v>1.81</v>
      </c>
      <c r="N1350">
        <v>1.78</v>
      </c>
      <c r="O1350">
        <v>1.77</v>
      </c>
      <c r="P1350" t="s">
        <v>10</v>
      </c>
      <c r="Q1350" t="s">
        <v>8</v>
      </c>
      <c r="R1350" t="s">
        <v>0</v>
      </c>
      <c r="S1350">
        <v>1</v>
      </c>
    </row>
    <row r="1351" spans="1:19" x14ac:dyDescent="0.3">
      <c r="A1351">
        <v>1350</v>
      </c>
      <c r="B1351">
        <v>20.5</v>
      </c>
      <c r="C1351" t="s">
        <v>5</v>
      </c>
      <c r="D1351">
        <v>72158</v>
      </c>
      <c r="E1351" t="s">
        <v>4</v>
      </c>
      <c r="F1351">
        <v>3.81</v>
      </c>
      <c r="G1351">
        <v>72.5</v>
      </c>
      <c r="H1351">
        <v>3</v>
      </c>
      <c r="I1351">
        <v>35.6</v>
      </c>
      <c r="J1351" t="s">
        <v>3</v>
      </c>
      <c r="K1351" t="s">
        <v>3</v>
      </c>
      <c r="L1351">
        <v>7.4</v>
      </c>
      <c r="M1351">
        <v>2.13</v>
      </c>
      <c r="N1351">
        <v>2.4</v>
      </c>
      <c r="O1351">
        <v>2.4</v>
      </c>
      <c r="P1351" t="s">
        <v>2</v>
      </c>
      <c r="Q1351" t="s">
        <v>8</v>
      </c>
      <c r="R1351" t="s">
        <v>15</v>
      </c>
      <c r="S1351">
        <v>0</v>
      </c>
    </row>
    <row r="1352" spans="1:19" x14ac:dyDescent="0.3">
      <c r="A1352">
        <v>1351</v>
      </c>
      <c r="B1352">
        <v>18.399999999999999</v>
      </c>
      <c r="C1352" t="s">
        <v>11</v>
      </c>
      <c r="D1352">
        <v>25048</v>
      </c>
      <c r="E1352" t="s">
        <v>4</v>
      </c>
      <c r="F1352">
        <v>5.22</v>
      </c>
      <c r="G1352">
        <v>78.900000000000006</v>
      </c>
      <c r="H1352">
        <v>0</v>
      </c>
      <c r="I1352">
        <v>21.5</v>
      </c>
      <c r="J1352" t="s">
        <v>3</v>
      </c>
      <c r="K1352" t="s">
        <v>4</v>
      </c>
      <c r="L1352">
        <v>4.4000000000000004</v>
      </c>
      <c r="M1352">
        <v>3.9</v>
      </c>
      <c r="N1352">
        <v>3.75</v>
      </c>
      <c r="O1352">
        <v>3.75</v>
      </c>
      <c r="P1352" t="s">
        <v>7</v>
      </c>
      <c r="Q1352" t="s">
        <v>8</v>
      </c>
      <c r="R1352" t="s">
        <v>17</v>
      </c>
      <c r="S1352">
        <v>0</v>
      </c>
    </row>
    <row r="1353" spans="1:19" x14ac:dyDescent="0.3">
      <c r="A1353">
        <v>1352</v>
      </c>
      <c r="B1353">
        <v>17</v>
      </c>
      <c r="C1353" t="s">
        <v>5</v>
      </c>
      <c r="D1353">
        <v>25000</v>
      </c>
      <c r="E1353" t="s">
        <v>4</v>
      </c>
      <c r="F1353">
        <v>4.6399999999999997</v>
      </c>
      <c r="G1353">
        <v>75.8</v>
      </c>
      <c r="H1353">
        <v>2</v>
      </c>
      <c r="I1353">
        <v>55.1</v>
      </c>
      <c r="J1353" t="s">
        <v>4</v>
      </c>
      <c r="K1353" t="s">
        <v>4</v>
      </c>
      <c r="L1353">
        <v>5.6</v>
      </c>
      <c r="M1353">
        <v>3.52</v>
      </c>
      <c r="N1353">
        <v>3.56</v>
      </c>
      <c r="O1353">
        <v>3.56</v>
      </c>
      <c r="P1353" t="s">
        <v>2</v>
      </c>
      <c r="Q1353" t="s">
        <v>6</v>
      </c>
      <c r="R1353" t="s">
        <v>15</v>
      </c>
      <c r="S1353">
        <v>1</v>
      </c>
    </row>
    <row r="1354" spans="1:19" x14ac:dyDescent="0.3">
      <c r="A1354">
        <v>1353</v>
      </c>
      <c r="B1354">
        <v>22.2</v>
      </c>
      <c r="C1354" t="s">
        <v>11</v>
      </c>
      <c r="D1354">
        <v>35065</v>
      </c>
      <c r="E1354" t="s">
        <v>4</v>
      </c>
      <c r="F1354">
        <v>4.09</v>
      </c>
      <c r="G1354">
        <v>83</v>
      </c>
      <c r="H1354">
        <v>2</v>
      </c>
      <c r="I1354">
        <v>44.6</v>
      </c>
      <c r="J1354" t="s">
        <v>4</v>
      </c>
      <c r="K1354" t="s">
        <v>3</v>
      </c>
      <c r="L1354">
        <v>6.9</v>
      </c>
      <c r="M1354">
        <v>3.58</v>
      </c>
      <c r="N1354">
        <v>3.34</v>
      </c>
      <c r="O1354">
        <v>3.38</v>
      </c>
      <c r="P1354" t="s">
        <v>12</v>
      </c>
      <c r="Q1354" t="s">
        <v>13</v>
      </c>
      <c r="R1354" t="s">
        <v>15</v>
      </c>
      <c r="S1354">
        <v>0</v>
      </c>
    </row>
    <row r="1355" spans="1:19" x14ac:dyDescent="0.3">
      <c r="A1355">
        <v>1354</v>
      </c>
      <c r="B1355">
        <v>22.7</v>
      </c>
      <c r="C1355" t="s">
        <v>5</v>
      </c>
      <c r="D1355">
        <v>33613</v>
      </c>
      <c r="E1355" t="s">
        <v>4</v>
      </c>
      <c r="F1355">
        <v>5.19</v>
      </c>
      <c r="G1355">
        <v>78.3</v>
      </c>
      <c r="H1355">
        <v>3</v>
      </c>
      <c r="I1355">
        <v>30.6</v>
      </c>
      <c r="J1355" t="s">
        <v>4</v>
      </c>
      <c r="K1355" t="s">
        <v>4</v>
      </c>
      <c r="L1355">
        <v>7.1</v>
      </c>
      <c r="M1355">
        <v>0.75</v>
      </c>
      <c r="N1355">
        <v>0.83</v>
      </c>
      <c r="O1355">
        <v>0.84</v>
      </c>
      <c r="P1355" t="s">
        <v>12</v>
      </c>
      <c r="Q1355" t="s">
        <v>13</v>
      </c>
      <c r="R1355" t="s">
        <v>0</v>
      </c>
      <c r="S1355">
        <v>1</v>
      </c>
    </row>
    <row r="1356" spans="1:19" x14ac:dyDescent="0.3">
      <c r="A1356">
        <v>1355</v>
      </c>
      <c r="B1356">
        <v>19.7</v>
      </c>
      <c r="C1356" t="s">
        <v>5</v>
      </c>
      <c r="D1356">
        <v>25000</v>
      </c>
      <c r="E1356" t="s">
        <v>4</v>
      </c>
      <c r="F1356">
        <v>6.27</v>
      </c>
      <c r="G1356">
        <v>89.2</v>
      </c>
      <c r="H1356">
        <v>0</v>
      </c>
      <c r="I1356">
        <v>29.1</v>
      </c>
      <c r="J1356" t="s">
        <v>4</v>
      </c>
      <c r="K1356" t="s">
        <v>3</v>
      </c>
      <c r="L1356">
        <v>8</v>
      </c>
      <c r="M1356">
        <v>1.2</v>
      </c>
      <c r="N1356">
        <v>0.94</v>
      </c>
      <c r="O1356">
        <v>1.04</v>
      </c>
      <c r="P1356" t="s">
        <v>10</v>
      </c>
      <c r="Q1356" t="s">
        <v>8</v>
      </c>
      <c r="R1356" t="s">
        <v>0</v>
      </c>
      <c r="S1356">
        <v>1</v>
      </c>
    </row>
    <row r="1357" spans="1:19" x14ac:dyDescent="0.3">
      <c r="A1357">
        <v>1356</v>
      </c>
      <c r="B1357">
        <v>17</v>
      </c>
      <c r="C1357" t="s">
        <v>5</v>
      </c>
      <c r="D1357">
        <v>32504</v>
      </c>
      <c r="E1357" t="s">
        <v>4</v>
      </c>
      <c r="F1357">
        <v>5.2</v>
      </c>
      <c r="G1357">
        <v>75.2</v>
      </c>
      <c r="H1357">
        <v>1</v>
      </c>
      <c r="I1357">
        <v>38.4</v>
      </c>
      <c r="J1357" t="s">
        <v>4</v>
      </c>
      <c r="K1357" t="s">
        <v>3</v>
      </c>
      <c r="L1357">
        <v>5.9</v>
      </c>
      <c r="M1357">
        <v>2.69</v>
      </c>
      <c r="N1357">
        <v>2.89</v>
      </c>
      <c r="O1357">
        <v>2.89</v>
      </c>
      <c r="P1357" t="s">
        <v>2</v>
      </c>
      <c r="Q1357" t="s">
        <v>14</v>
      </c>
      <c r="R1357" t="s">
        <v>15</v>
      </c>
      <c r="S1357">
        <v>0</v>
      </c>
    </row>
    <row r="1358" spans="1:19" x14ac:dyDescent="0.3">
      <c r="A1358">
        <v>1357</v>
      </c>
      <c r="B1358">
        <v>19.8</v>
      </c>
      <c r="C1358" t="s">
        <v>11</v>
      </c>
      <c r="D1358">
        <v>25000</v>
      </c>
      <c r="E1358" t="s">
        <v>4</v>
      </c>
      <c r="F1358">
        <v>3.9</v>
      </c>
      <c r="G1358">
        <v>99.5</v>
      </c>
      <c r="H1358">
        <v>1</v>
      </c>
      <c r="I1358">
        <v>29.3</v>
      </c>
      <c r="J1358" t="s">
        <v>3</v>
      </c>
      <c r="K1358" t="s">
        <v>3</v>
      </c>
      <c r="L1358">
        <v>6</v>
      </c>
      <c r="M1358">
        <v>2.78</v>
      </c>
      <c r="N1358">
        <v>2.61</v>
      </c>
      <c r="O1358">
        <v>2.5299999999999998</v>
      </c>
      <c r="P1358" t="s">
        <v>10</v>
      </c>
      <c r="Q1358" t="s">
        <v>1</v>
      </c>
      <c r="R1358" t="s">
        <v>0</v>
      </c>
      <c r="S1358">
        <v>0</v>
      </c>
    </row>
    <row r="1359" spans="1:19" x14ac:dyDescent="0.3">
      <c r="A1359">
        <v>1358</v>
      </c>
      <c r="B1359">
        <v>21.9</v>
      </c>
      <c r="C1359" t="s">
        <v>5</v>
      </c>
      <c r="D1359">
        <v>46908</v>
      </c>
      <c r="E1359" t="s">
        <v>4</v>
      </c>
      <c r="F1359">
        <v>3.37</v>
      </c>
      <c r="G1359">
        <v>70.2</v>
      </c>
      <c r="H1359">
        <v>2</v>
      </c>
      <c r="I1359">
        <v>8.1</v>
      </c>
      <c r="J1359" t="s">
        <v>3</v>
      </c>
      <c r="K1359" t="s">
        <v>3</v>
      </c>
      <c r="L1359">
        <v>4.8</v>
      </c>
      <c r="M1359">
        <v>2.35</v>
      </c>
      <c r="N1359">
        <v>2.69</v>
      </c>
      <c r="O1359">
        <v>2.66</v>
      </c>
      <c r="P1359" t="s">
        <v>10</v>
      </c>
      <c r="Q1359" t="s">
        <v>14</v>
      </c>
      <c r="R1359" t="s">
        <v>15</v>
      </c>
      <c r="S1359">
        <v>0</v>
      </c>
    </row>
    <row r="1360" spans="1:19" x14ac:dyDescent="0.3">
      <c r="A1360">
        <v>1359</v>
      </c>
      <c r="B1360">
        <v>17.7</v>
      </c>
      <c r="C1360" t="s">
        <v>11</v>
      </c>
      <c r="D1360">
        <v>25000</v>
      </c>
      <c r="E1360" t="s">
        <v>4</v>
      </c>
      <c r="F1360">
        <v>4.6900000000000004</v>
      </c>
      <c r="G1360">
        <v>84.4</v>
      </c>
      <c r="H1360">
        <v>3</v>
      </c>
      <c r="I1360">
        <v>48.4</v>
      </c>
      <c r="J1360" t="s">
        <v>3</v>
      </c>
      <c r="K1360" t="s">
        <v>3</v>
      </c>
      <c r="L1360">
        <v>3.8</v>
      </c>
      <c r="M1360">
        <v>3.77</v>
      </c>
      <c r="N1360">
        <v>3.71</v>
      </c>
      <c r="O1360">
        <v>3.66</v>
      </c>
      <c r="P1360" t="s">
        <v>12</v>
      </c>
      <c r="Q1360" t="s">
        <v>6</v>
      </c>
      <c r="R1360" t="s">
        <v>15</v>
      </c>
      <c r="S1360">
        <v>0</v>
      </c>
    </row>
    <row r="1361" spans="1:19" x14ac:dyDescent="0.3">
      <c r="A1361">
        <v>1360</v>
      </c>
      <c r="B1361">
        <v>21.4</v>
      </c>
      <c r="C1361" t="s">
        <v>5</v>
      </c>
      <c r="D1361">
        <v>25000</v>
      </c>
      <c r="E1361" t="s">
        <v>4</v>
      </c>
      <c r="F1361">
        <v>4.2</v>
      </c>
      <c r="G1361">
        <v>69.099999999999994</v>
      </c>
      <c r="H1361">
        <v>1</v>
      </c>
      <c r="I1361">
        <v>44</v>
      </c>
      <c r="J1361" t="s">
        <v>3</v>
      </c>
      <c r="K1361" t="s">
        <v>4</v>
      </c>
      <c r="L1361">
        <v>3.7</v>
      </c>
      <c r="M1361">
        <v>2.4</v>
      </c>
      <c r="N1361">
        <v>2.98</v>
      </c>
      <c r="O1361">
        <v>2.9</v>
      </c>
      <c r="P1361" t="s">
        <v>7</v>
      </c>
      <c r="Q1361" t="s">
        <v>14</v>
      </c>
      <c r="R1361" t="s">
        <v>0</v>
      </c>
      <c r="S1361">
        <v>0</v>
      </c>
    </row>
    <row r="1362" spans="1:19" x14ac:dyDescent="0.3">
      <c r="A1362">
        <v>1361</v>
      </c>
      <c r="B1362">
        <v>21</v>
      </c>
      <c r="C1362" t="s">
        <v>5</v>
      </c>
      <c r="D1362">
        <v>43883</v>
      </c>
      <c r="E1362" t="s">
        <v>4</v>
      </c>
      <c r="F1362">
        <v>5.46</v>
      </c>
      <c r="G1362">
        <v>90.4</v>
      </c>
      <c r="H1362">
        <v>5</v>
      </c>
      <c r="I1362">
        <v>34.5</v>
      </c>
      <c r="J1362" t="s">
        <v>3</v>
      </c>
      <c r="K1362" t="s">
        <v>3</v>
      </c>
      <c r="L1362">
        <v>5.2</v>
      </c>
      <c r="M1362">
        <v>2.61</v>
      </c>
      <c r="N1362">
        <v>2.21</v>
      </c>
      <c r="O1362">
        <v>2.15</v>
      </c>
      <c r="P1362" t="s">
        <v>10</v>
      </c>
      <c r="Q1362" t="s">
        <v>8</v>
      </c>
      <c r="R1362" t="s">
        <v>0</v>
      </c>
      <c r="S1362">
        <v>0</v>
      </c>
    </row>
    <row r="1363" spans="1:19" x14ac:dyDescent="0.3">
      <c r="A1363">
        <v>1362</v>
      </c>
      <c r="B1363">
        <v>22.3</v>
      </c>
      <c r="C1363" t="s">
        <v>5</v>
      </c>
      <c r="D1363">
        <v>61229</v>
      </c>
      <c r="E1363" t="s">
        <v>4</v>
      </c>
      <c r="F1363">
        <v>2.76</v>
      </c>
      <c r="G1363">
        <v>82.4</v>
      </c>
      <c r="H1363">
        <v>0</v>
      </c>
      <c r="I1363">
        <v>25</v>
      </c>
      <c r="J1363" t="s">
        <v>3</v>
      </c>
      <c r="K1363" t="s">
        <v>3</v>
      </c>
      <c r="L1363">
        <v>6.1</v>
      </c>
      <c r="M1363">
        <v>3.46</v>
      </c>
      <c r="N1363">
        <v>3.6</v>
      </c>
      <c r="O1363">
        <v>3.53</v>
      </c>
      <c r="P1363" t="s">
        <v>7</v>
      </c>
      <c r="Q1363" t="s">
        <v>1</v>
      </c>
      <c r="R1363" t="s">
        <v>9</v>
      </c>
      <c r="S1363">
        <v>0</v>
      </c>
    </row>
    <row r="1364" spans="1:19" x14ac:dyDescent="0.3">
      <c r="A1364">
        <v>1363</v>
      </c>
      <c r="B1364">
        <v>21.3</v>
      </c>
      <c r="C1364" t="s">
        <v>5</v>
      </c>
      <c r="D1364">
        <v>76993</v>
      </c>
      <c r="E1364" t="s">
        <v>4</v>
      </c>
      <c r="F1364">
        <v>5.35</v>
      </c>
      <c r="G1364">
        <v>83.6</v>
      </c>
      <c r="H1364">
        <v>0</v>
      </c>
      <c r="I1364">
        <v>30.1</v>
      </c>
      <c r="J1364" t="s">
        <v>3</v>
      </c>
      <c r="K1364" t="s">
        <v>3</v>
      </c>
      <c r="L1364">
        <v>2.9</v>
      </c>
      <c r="M1364">
        <v>3.93</v>
      </c>
      <c r="N1364">
        <v>3.98</v>
      </c>
      <c r="O1364">
        <v>3.98</v>
      </c>
      <c r="P1364" t="s">
        <v>2</v>
      </c>
      <c r="Q1364" t="s">
        <v>8</v>
      </c>
      <c r="R1364" t="s">
        <v>9</v>
      </c>
      <c r="S1364">
        <v>0</v>
      </c>
    </row>
    <row r="1365" spans="1:19" x14ac:dyDescent="0.3">
      <c r="A1365">
        <v>1364</v>
      </c>
      <c r="B1365">
        <v>18.899999999999999</v>
      </c>
      <c r="C1365" t="s">
        <v>11</v>
      </c>
      <c r="D1365">
        <v>56021</v>
      </c>
      <c r="E1365" t="s">
        <v>4</v>
      </c>
      <c r="F1365">
        <v>2.19</v>
      </c>
      <c r="G1365">
        <v>74.8</v>
      </c>
      <c r="H1365">
        <v>2</v>
      </c>
      <c r="I1365">
        <v>5</v>
      </c>
      <c r="J1365" t="s">
        <v>4</v>
      </c>
      <c r="K1365" t="s">
        <v>3</v>
      </c>
      <c r="L1365">
        <v>9.1999999999999993</v>
      </c>
      <c r="M1365">
        <v>2.99</v>
      </c>
      <c r="N1365">
        <v>3.04</v>
      </c>
      <c r="O1365">
        <v>3.02</v>
      </c>
      <c r="P1365" t="s">
        <v>10</v>
      </c>
      <c r="Q1365" t="s">
        <v>6</v>
      </c>
      <c r="R1365" t="s">
        <v>9</v>
      </c>
      <c r="S1365">
        <v>0</v>
      </c>
    </row>
    <row r="1366" spans="1:19" x14ac:dyDescent="0.3">
      <c r="A1366">
        <v>1365</v>
      </c>
      <c r="B1366">
        <v>23.6</v>
      </c>
      <c r="C1366" t="s">
        <v>11</v>
      </c>
      <c r="D1366">
        <v>25000</v>
      </c>
      <c r="E1366" t="s">
        <v>4</v>
      </c>
      <c r="F1366">
        <v>3.77</v>
      </c>
      <c r="G1366">
        <v>90.7</v>
      </c>
      <c r="H1366">
        <v>4</v>
      </c>
      <c r="I1366">
        <v>16.7</v>
      </c>
      <c r="J1366" t="s">
        <v>3</v>
      </c>
      <c r="K1366" t="s">
        <v>3</v>
      </c>
      <c r="L1366">
        <v>4.2</v>
      </c>
      <c r="M1366">
        <v>4</v>
      </c>
      <c r="N1366">
        <v>3.77</v>
      </c>
      <c r="O1366">
        <v>3.77</v>
      </c>
      <c r="P1366" t="s">
        <v>7</v>
      </c>
      <c r="Q1366" t="s">
        <v>8</v>
      </c>
      <c r="R1366" t="s">
        <v>0</v>
      </c>
      <c r="S1366">
        <v>0</v>
      </c>
    </row>
    <row r="1367" spans="1:19" x14ac:dyDescent="0.3">
      <c r="A1367">
        <v>1366</v>
      </c>
      <c r="B1367">
        <v>20.7</v>
      </c>
      <c r="C1367" t="s">
        <v>5</v>
      </c>
      <c r="D1367">
        <v>25000</v>
      </c>
      <c r="E1367" t="s">
        <v>4</v>
      </c>
      <c r="F1367">
        <v>4.76</v>
      </c>
      <c r="G1367">
        <v>87.1</v>
      </c>
      <c r="H1367">
        <v>2</v>
      </c>
      <c r="I1367">
        <v>51.2</v>
      </c>
      <c r="J1367" t="s">
        <v>3</v>
      </c>
      <c r="K1367" t="s">
        <v>3</v>
      </c>
      <c r="L1367">
        <v>4</v>
      </c>
      <c r="M1367">
        <v>3.52</v>
      </c>
      <c r="N1367">
        <v>3.94</v>
      </c>
      <c r="O1367">
        <v>3.93</v>
      </c>
      <c r="P1367" t="s">
        <v>7</v>
      </c>
      <c r="Q1367" t="s">
        <v>6</v>
      </c>
      <c r="R1367" t="s">
        <v>9</v>
      </c>
      <c r="S1367">
        <v>0</v>
      </c>
    </row>
    <row r="1368" spans="1:19" x14ac:dyDescent="0.3">
      <c r="A1368">
        <v>1367</v>
      </c>
      <c r="B1368">
        <v>20.9</v>
      </c>
      <c r="C1368" t="s">
        <v>11</v>
      </c>
      <c r="D1368">
        <v>69081</v>
      </c>
      <c r="E1368" t="s">
        <v>4</v>
      </c>
      <c r="F1368">
        <v>3.85</v>
      </c>
      <c r="G1368">
        <v>77.599999999999994</v>
      </c>
      <c r="H1368">
        <v>3</v>
      </c>
      <c r="I1368">
        <v>36.200000000000003</v>
      </c>
      <c r="J1368" t="s">
        <v>4</v>
      </c>
      <c r="K1368" t="s">
        <v>4</v>
      </c>
      <c r="L1368">
        <v>5.4</v>
      </c>
      <c r="M1368">
        <v>0.03</v>
      </c>
      <c r="N1368">
        <v>0.05</v>
      </c>
      <c r="O1368">
        <v>0.05</v>
      </c>
      <c r="P1368" t="s">
        <v>2</v>
      </c>
      <c r="Q1368" t="s">
        <v>1</v>
      </c>
      <c r="R1368" t="s">
        <v>9</v>
      </c>
      <c r="S1368">
        <v>1</v>
      </c>
    </row>
    <row r="1369" spans="1:19" x14ac:dyDescent="0.3">
      <c r="A1369">
        <v>1368</v>
      </c>
      <c r="B1369">
        <v>18.899999999999999</v>
      </c>
      <c r="C1369" t="s">
        <v>11</v>
      </c>
      <c r="D1369">
        <v>67671</v>
      </c>
      <c r="E1369" t="s">
        <v>4</v>
      </c>
      <c r="F1369">
        <v>4.57</v>
      </c>
      <c r="G1369">
        <v>81.900000000000006</v>
      </c>
      <c r="H1369">
        <v>1</v>
      </c>
      <c r="I1369">
        <v>6.6</v>
      </c>
      <c r="J1369" t="s">
        <v>4</v>
      </c>
      <c r="K1369" t="s">
        <v>3</v>
      </c>
      <c r="L1369">
        <v>1.2</v>
      </c>
      <c r="M1369">
        <v>4</v>
      </c>
      <c r="N1369">
        <v>4</v>
      </c>
      <c r="O1369">
        <v>4</v>
      </c>
      <c r="P1369" t="s">
        <v>12</v>
      </c>
      <c r="Q1369" t="s">
        <v>8</v>
      </c>
      <c r="R1369" t="s">
        <v>9</v>
      </c>
      <c r="S1369">
        <v>0</v>
      </c>
    </row>
    <row r="1370" spans="1:19" x14ac:dyDescent="0.3">
      <c r="A1370">
        <v>1369</v>
      </c>
      <c r="B1370">
        <v>20</v>
      </c>
      <c r="C1370" t="s">
        <v>5</v>
      </c>
      <c r="D1370">
        <v>25000</v>
      </c>
      <c r="E1370" t="s">
        <v>4</v>
      </c>
      <c r="F1370">
        <v>5.8</v>
      </c>
      <c r="G1370">
        <v>74.900000000000006</v>
      </c>
      <c r="H1370">
        <v>0</v>
      </c>
      <c r="I1370">
        <v>20.100000000000001</v>
      </c>
      <c r="J1370" t="s">
        <v>4</v>
      </c>
      <c r="K1370" t="s">
        <v>3</v>
      </c>
      <c r="L1370">
        <v>6.2</v>
      </c>
      <c r="M1370">
        <v>0.72</v>
      </c>
      <c r="N1370">
        <v>1.2</v>
      </c>
      <c r="O1370">
        <v>1.24</v>
      </c>
      <c r="P1370" t="s">
        <v>7</v>
      </c>
      <c r="Q1370" t="s">
        <v>6</v>
      </c>
      <c r="R1370" t="s">
        <v>0</v>
      </c>
      <c r="S1370">
        <v>0</v>
      </c>
    </row>
    <row r="1371" spans="1:19" x14ac:dyDescent="0.3">
      <c r="A1371">
        <v>1370</v>
      </c>
      <c r="B1371">
        <v>19.100000000000001</v>
      </c>
      <c r="C1371" t="s">
        <v>5</v>
      </c>
      <c r="D1371">
        <v>51674</v>
      </c>
      <c r="E1371" t="s">
        <v>3</v>
      </c>
      <c r="F1371">
        <v>3.26</v>
      </c>
      <c r="G1371">
        <v>74.2</v>
      </c>
      <c r="H1371">
        <v>3</v>
      </c>
      <c r="I1371">
        <v>6.9</v>
      </c>
      <c r="J1371" t="s">
        <v>4</v>
      </c>
      <c r="K1371" t="s">
        <v>3</v>
      </c>
      <c r="L1371">
        <v>3.7</v>
      </c>
      <c r="M1371">
        <v>2.88</v>
      </c>
      <c r="N1371">
        <v>3.2</v>
      </c>
      <c r="O1371">
        <v>3.1</v>
      </c>
      <c r="P1371" t="s">
        <v>10</v>
      </c>
      <c r="Q1371" t="s">
        <v>14</v>
      </c>
      <c r="R1371" t="s">
        <v>0</v>
      </c>
      <c r="S1371">
        <v>0</v>
      </c>
    </row>
    <row r="1372" spans="1:19" x14ac:dyDescent="0.3">
      <c r="A1372">
        <v>1371</v>
      </c>
      <c r="B1372">
        <v>20.6</v>
      </c>
      <c r="C1372" t="s">
        <v>11</v>
      </c>
      <c r="D1372">
        <v>25000</v>
      </c>
      <c r="E1372" t="s">
        <v>3</v>
      </c>
      <c r="F1372">
        <v>2.17</v>
      </c>
      <c r="G1372">
        <v>77.099999999999994</v>
      </c>
      <c r="H1372">
        <v>1</v>
      </c>
      <c r="I1372">
        <v>20.6</v>
      </c>
      <c r="J1372" t="s">
        <v>4</v>
      </c>
      <c r="K1372" t="s">
        <v>4</v>
      </c>
      <c r="L1372">
        <v>2</v>
      </c>
      <c r="M1372">
        <v>0.87</v>
      </c>
      <c r="N1372">
        <v>0.89</v>
      </c>
      <c r="O1372">
        <v>0.89</v>
      </c>
      <c r="P1372" t="s">
        <v>2</v>
      </c>
      <c r="Q1372" t="s">
        <v>8</v>
      </c>
      <c r="R1372" t="s">
        <v>9</v>
      </c>
      <c r="S1372">
        <v>0</v>
      </c>
    </row>
    <row r="1373" spans="1:19" x14ac:dyDescent="0.3">
      <c r="A1373">
        <v>1372</v>
      </c>
      <c r="B1373">
        <v>24.8</v>
      </c>
      <c r="C1373" t="s">
        <v>5</v>
      </c>
      <c r="D1373">
        <v>73186</v>
      </c>
      <c r="E1373" t="s">
        <v>4</v>
      </c>
      <c r="F1373">
        <v>2.52</v>
      </c>
      <c r="G1373">
        <v>79.8</v>
      </c>
      <c r="H1373">
        <v>0</v>
      </c>
      <c r="I1373">
        <v>28</v>
      </c>
      <c r="J1373" t="s">
        <v>4</v>
      </c>
      <c r="K1373" t="s">
        <v>3</v>
      </c>
      <c r="L1373">
        <v>5.8</v>
      </c>
      <c r="M1373">
        <v>0.75</v>
      </c>
      <c r="N1373">
        <v>0.78</v>
      </c>
      <c r="O1373">
        <v>0.78</v>
      </c>
      <c r="P1373" t="s">
        <v>2</v>
      </c>
      <c r="Q1373" t="s">
        <v>1</v>
      </c>
      <c r="R1373" t="s">
        <v>9</v>
      </c>
      <c r="S1373">
        <v>0</v>
      </c>
    </row>
    <row r="1374" spans="1:19" x14ac:dyDescent="0.3">
      <c r="A1374">
        <v>1373</v>
      </c>
      <c r="B1374">
        <v>18</v>
      </c>
      <c r="C1374" t="s">
        <v>5</v>
      </c>
      <c r="D1374">
        <v>25000</v>
      </c>
      <c r="E1374" t="s">
        <v>4</v>
      </c>
      <c r="F1374">
        <v>3.88</v>
      </c>
      <c r="G1374">
        <v>82</v>
      </c>
      <c r="H1374">
        <v>4</v>
      </c>
      <c r="I1374">
        <v>49.2</v>
      </c>
      <c r="J1374" t="s">
        <v>3</v>
      </c>
      <c r="K1374" t="s">
        <v>3</v>
      </c>
      <c r="L1374">
        <v>5.8</v>
      </c>
      <c r="M1374">
        <v>2.62</v>
      </c>
      <c r="N1374">
        <v>2.73</v>
      </c>
      <c r="O1374">
        <v>2.78</v>
      </c>
      <c r="P1374" t="s">
        <v>10</v>
      </c>
      <c r="Q1374" t="s">
        <v>6</v>
      </c>
      <c r="R1374" t="s">
        <v>15</v>
      </c>
      <c r="S1374">
        <v>1</v>
      </c>
    </row>
    <row r="1375" spans="1:19" x14ac:dyDescent="0.3">
      <c r="A1375">
        <v>1374</v>
      </c>
      <c r="B1375">
        <v>17.5</v>
      </c>
      <c r="C1375" t="s">
        <v>5</v>
      </c>
      <c r="E1375" t="s">
        <v>4</v>
      </c>
      <c r="G1375">
        <v>81.599999999999994</v>
      </c>
      <c r="H1375">
        <v>2</v>
      </c>
      <c r="I1375">
        <v>39.4</v>
      </c>
      <c r="J1375" t="s">
        <v>3</v>
      </c>
      <c r="K1375" t="s">
        <v>3</v>
      </c>
      <c r="M1375">
        <v>2.23</v>
      </c>
      <c r="N1375">
        <v>2.72</v>
      </c>
      <c r="O1375">
        <v>2.71</v>
      </c>
      <c r="P1375" t="s">
        <v>7</v>
      </c>
      <c r="Q1375" t="s">
        <v>13</v>
      </c>
      <c r="R1375" t="s">
        <v>15</v>
      </c>
      <c r="S1375">
        <v>0</v>
      </c>
    </row>
    <row r="1376" spans="1:19" x14ac:dyDescent="0.3">
      <c r="A1376">
        <v>1375</v>
      </c>
      <c r="B1376">
        <v>24.2</v>
      </c>
      <c r="C1376" t="s">
        <v>11</v>
      </c>
      <c r="D1376">
        <v>47652</v>
      </c>
      <c r="E1376" t="s">
        <v>4</v>
      </c>
      <c r="F1376">
        <v>3.59</v>
      </c>
      <c r="G1376">
        <v>75.099999999999994</v>
      </c>
      <c r="H1376">
        <v>1</v>
      </c>
      <c r="I1376">
        <v>26.4</v>
      </c>
      <c r="J1376" t="s">
        <v>3</v>
      </c>
      <c r="K1376" t="s">
        <v>4</v>
      </c>
      <c r="L1376">
        <v>5.8</v>
      </c>
      <c r="M1376">
        <v>2.37</v>
      </c>
      <c r="N1376">
        <v>2.5299999999999998</v>
      </c>
      <c r="O1376">
        <v>2.54</v>
      </c>
      <c r="P1376" t="s">
        <v>7</v>
      </c>
      <c r="Q1376" t="s">
        <v>1</v>
      </c>
      <c r="R1376" t="s">
        <v>0</v>
      </c>
      <c r="S1376">
        <v>0</v>
      </c>
    </row>
    <row r="1377" spans="1:19" x14ac:dyDescent="0.3">
      <c r="A1377">
        <v>1376</v>
      </c>
      <c r="B1377">
        <v>20.5</v>
      </c>
      <c r="C1377" t="s">
        <v>5</v>
      </c>
      <c r="D1377">
        <v>87424</v>
      </c>
      <c r="E1377" t="s">
        <v>4</v>
      </c>
      <c r="F1377">
        <v>6.8</v>
      </c>
      <c r="G1377">
        <v>88.1</v>
      </c>
      <c r="H1377">
        <v>2</v>
      </c>
      <c r="I1377">
        <v>27</v>
      </c>
      <c r="J1377" t="s">
        <v>4</v>
      </c>
      <c r="K1377" t="s">
        <v>4</v>
      </c>
      <c r="L1377">
        <v>5.8</v>
      </c>
      <c r="M1377">
        <v>2.16</v>
      </c>
      <c r="N1377">
        <v>1.95</v>
      </c>
      <c r="O1377">
        <v>1.95</v>
      </c>
      <c r="P1377" t="s">
        <v>2</v>
      </c>
      <c r="Q1377" t="s">
        <v>8</v>
      </c>
      <c r="R1377" t="s">
        <v>15</v>
      </c>
      <c r="S1377">
        <v>0</v>
      </c>
    </row>
    <row r="1378" spans="1:19" x14ac:dyDescent="0.3">
      <c r="A1378">
        <v>1377</v>
      </c>
      <c r="B1378">
        <v>19.5</v>
      </c>
      <c r="C1378" t="s">
        <v>5</v>
      </c>
      <c r="D1378">
        <v>25000</v>
      </c>
      <c r="E1378" t="s">
        <v>4</v>
      </c>
      <c r="F1378">
        <v>2.35</v>
      </c>
      <c r="G1378">
        <v>90.7</v>
      </c>
      <c r="H1378">
        <v>2</v>
      </c>
      <c r="I1378">
        <v>20.399999999999999</v>
      </c>
      <c r="J1378" t="s">
        <v>4</v>
      </c>
      <c r="K1378" t="s">
        <v>3</v>
      </c>
      <c r="L1378">
        <v>5.6</v>
      </c>
      <c r="M1378">
        <v>2.2400000000000002</v>
      </c>
      <c r="N1378">
        <v>1.87</v>
      </c>
      <c r="O1378">
        <v>1.92</v>
      </c>
      <c r="P1378" t="s">
        <v>10</v>
      </c>
      <c r="Q1378" t="s">
        <v>13</v>
      </c>
      <c r="R1378" t="s">
        <v>9</v>
      </c>
      <c r="S1378">
        <v>0</v>
      </c>
    </row>
    <row r="1379" spans="1:19" x14ac:dyDescent="0.3">
      <c r="A1379">
        <v>1378</v>
      </c>
      <c r="B1379">
        <v>23.3</v>
      </c>
      <c r="C1379" t="s">
        <v>5</v>
      </c>
      <c r="D1379">
        <v>37912</v>
      </c>
      <c r="E1379" t="s">
        <v>4</v>
      </c>
      <c r="F1379">
        <v>1.73</v>
      </c>
      <c r="G1379">
        <v>89.3</v>
      </c>
      <c r="H1379">
        <v>1</v>
      </c>
      <c r="I1379">
        <v>43.1</v>
      </c>
      <c r="J1379" t="s">
        <v>4</v>
      </c>
      <c r="K1379" t="s">
        <v>4</v>
      </c>
      <c r="L1379">
        <v>1</v>
      </c>
      <c r="M1379">
        <v>4</v>
      </c>
      <c r="N1379">
        <v>3.95</v>
      </c>
      <c r="O1379">
        <v>3.92</v>
      </c>
      <c r="P1379" t="s">
        <v>12</v>
      </c>
      <c r="Q1379" t="s">
        <v>6</v>
      </c>
      <c r="R1379" t="s">
        <v>15</v>
      </c>
      <c r="S1379">
        <v>0</v>
      </c>
    </row>
    <row r="1380" spans="1:19" x14ac:dyDescent="0.3">
      <c r="A1380">
        <v>1379</v>
      </c>
      <c r="B1380">
        <v>19.7</v>
      </c>
      <c r="C1380" t="s">
        <v>5</v>
      </c>
      <c r="D1380">
        <v>25000</v>
      </c>
      <c r="E1380" t="s">
        <v>4</v>
      </c>
      <c r="F1380">
        <v>4.3</v>
      </c>
      <c r="G1380">
        <v>87.6</v>
      </c>
      <c r="H1380">
        <v>1</v>
      </c>
      <c r="I1380">
        <v>44.5</v>
      </c>
      <c r="J1380" t="s">
        <v>3</v>
      </c>
      <c r="K1380" t="s">
        <v>4</v>
      </c>
      <c r="L1380">
        <v>5.6</v>
      </c>
      <c r="M1380">
        <v>3.53</v>
      </c>
      <c r="N1380">
        <v>3.98</v>
      </c>
      <c r="O1380">
        <v>3.96</v>
      </c>
      <c r="P1380" t="s">
        <v>10</v>
      </c>
      <c r="Q1380" t="s">
        <v>14</v>
      </c>
      <c r="R1380" t="s">
        <v>9</v>
      </c>
      <c r="S1380">
        <v>0</v>
      </c>
    </row>
    <row r="1381" spans="1:19" x14ac:dyDescent="0.3">
      <c r="A1381">
        <v>1380</v>
      </c>
      <c r="B1381">
        <v>25</v>
      </c>
      <c r="C1381" t="s">
        <v>5</v>
      </c>
      <c r="D1381">
        <v>49335</v>
      </c>
      <c r="E1381" t="s">
        <v>4</v>
      </c>
      <c r="F1381">
        <v>3.26</v>
      </c>
      <c r="G1381">
        <v>62</v>
      </c>
      <c r="H1381">
        <v>0</v>
      </c>
      <c r="I1381">
        <v>13.9</v>
      </c>
      <c r="J1381" t="s">
        <v>4</v>
      </c>
      <c r="K1381" t="s">
        <v>3</v>
      </c>
      <c r="L1381">
        <v>5.4</v>
      </c>
      <c r="M1381">
        <v>0.67</v>
      </c>
      <c r="N1381">
        <v>0.36</v>
      </c>
      <c r="O1381">
        <v>0.36</v>
      </c>
      <c r="P1381" t="s">
        <v>2</v>
      </c>
      <c r="Q1381" t="s">
        <v>8</v>
      </c>
      <c r="R1381" t="s">
        <v>16</v>
      </c>
      <c r="S1381">
        <v>0</v>
      </c>
    </row>
    <row r="1382" spans="1:19" x14ac:dyDescent="0.3">
      <c r="A1382">
        <v>1381</v>
      </c>
      <c r="B1382">
        <v>22.5</v>
      </c>
      <c r="C1382" t="s">
        <v>11</v>
      </c>
      <c r="D1382">
        <v>50992</v>
      </c>
      <c r="E1382" t="s">
        <v>4</v>
      </c>
      <c r="F1382">
        <v>3.02</v>
      </c>
      <c r="G1382">
        <v>74</v>
      </c>
      <c r="H1382">
        <v>1</v>
      </c>
      <c r="I1382">
        <v>9.4</v>
      </c>
      <c r="J1382" t="s">
        <v>3</v>
      </c>
      <c r="K1382" t="s">
        <v>3</v>
      </c>
      <c r="L1382">
        <v>5.2</v>
      </c>
      <c r="M1382">
        <v>3.13</v>
      </c>
      <c r="N1382">
        <v>3.62</v>
      </c>
      <c r="O1382">
        <v>3.64</v>
      </c>
      <c r="P1382" t="s">
        <v>10</v>
      </c>
      <c r="Q1382" t="s">
        <v>6</v>
      </c>
      <c r="R1382" t="s">
        <v>9</v>
      </c>
      <c r="S1382">
        <v>0</v>
      </c>
    </row>
    <row r="1383" spans="1:19" x14ac:dyDescent="0.3">
      <c r="A1383">
        <v>1382</v>
      </c>
      <c r="B1383">
        <v>19.899999999999999</v>
      </c>
      <c r="C1383" t="s">
        <v>5</v>
      </c>
      <c r="D1383">
        <v>125268</v>
      </c>
      <c r="E1383" t="s">
        <v>3</v>
      </c>
      <c r="F1383">
        <v>4.03</v>
      </c>
      <c r="G1383">
        <v>70.099999999999994</v>
      </c>
      <c r="H1383">
        <v>1</v>
      </c>
      <c r="I1383">
        <v>26.2</v>
      </c>
      <c r="J1383" t="s">
        <v>4</v>
      </c>
      <c r="K1383" t="s">
        <v>3</v>
      </c>
      <c r="L1383">
        <v>4</v>
      </c>
      <c r="M1383">
        <v>1.69</v>
      </c>
      <c r="N1383">
        <v>1.76</v>
      </c>
      <c r="O1383">
        <v>1.76</v>
      </c>
      <c r="P1383" t="s">
        <v>2</v>
      </c>
      <c r="Q1383" t="s">
        <v>14</v>
      </c>
      <c r="R1383" t="s">
        <v>15</v>
      </c>
      <c r="S1383">
        <v>0</v>
      </c>
    </row>
    <row r="1384" spans="1:19" x14ac:dyDescent="0.3">
      <c r="A1384">
        <v>1383</v>
      </c>
      <c r="B1384">
        <v>25.7</v>
      </c>
      <c r="C1384" t="s">
        <v>11</v>
      </c>
      <c r="D1384">
        <v>39705</v>
      </c>
      <c r="E1384" t="s">
        <v>3</v>
      </c>
      <c r="F1384">
        <v>2.4</v>
      </c>
      <c r="G1384">
        <v>67.8</v>
      </c>
      <c r="H1384">
        <v>4</v>
      </c>
      <c r="I1384">
        <v>27.6</v>
      </c>
      <c r="J1384" t="s">
        <v>4</v>
      </c>
      <c r="K1384" t="s">
        <v>3</v>
      </c>
      <c r="L1384">
        <v>6.5</v>
      </c>
      <c r="M1384">
        <v>1.22</v>
      </c>
      <c r="N1384">
        <v>1.03</v>
      </c>
      <c r="O1384">
        <v>1.0900000000000001</v>
      </c>
      <c r="P1384" t="s">
        <v>10</v>
      </c>
      <c r="Q1384" t="s">
        <v>14</v>
      </c>
      <c r="R1384" t="s">
        <v>9</v>
      </c>
      <c r="S1384">
        <v>0</v>
      </c>
    </row>
    <row r="1385" spans="1:19" x14ac:dyDescent="0.3">
      <c r="A1385">
        <v>1384</v>
      </c>
      <c r="B1385">
        <v>19.7</v>
      </c>
      <c r="C1385" t="s">
        <v>5</v>
      </c>
      <c r="D1385">
        <v>45911</v>
      </c>
      <c r="E1385" t="s">
        <v>4</v>
      </c>
      <c r="F1385">
        <v>4.71</v>
      </c>
      <c r="G1385">
        <v>91.2</v>
      </c>
      <c r="H1385">
        <v>2</v>
      </c>
      <c r="I1385">
        <v>33.1</v>
      </c>
      <c r="J1385" t="s">
        <v>4</v>
      </c>
      <c r="K1385" t="s">
        <v>4</v>
      </c>
      <c r="L1385">
        <v>3.7</v>
      </c>
      <c r="M1385">
        <v>2.99</v>
      </c>
      <c r="N1385">
        <v>2.81</v>
      </c>
      <c r="O1385">
        <v>2.74</v>
      </c>
      <c r="P1385" t="s">
        <v>10</v>
      </c>
      <c r="Q1385" t="s">
        <v>13</v>
      </c>
      <c r="R1385" t="s">
        <v>15</v>
      </c>
      <c r="S1385">
        <v>1</v>
      </c>
    </row>
    <row r="1386" spans="1:19" x14ac:dyDescent="0.3">
      <c r="A1386">
        <v>1385</v>
      </c>
      <c r="B1386">
        <v>22.6</v>
      </c>
      <c r="C1386" t="s">
        <v>11</v>
      </c>
      <c r="D1386">
        <v>25000</v>
      </c>
      <c r="E1386" t="s">
        <v>4</v>
      </c>
      <c r="F1386">
        <v>4.25</v>
      </c>
      <c r="G1386">
        <v>95.6</v>
      </c>
      <c r="H1386">
        <v>3</v>
      </c>
      <c r="I1386">
        <v>9.9</v>
      </c>
      <c r="J1386" t="s">
        <v>3</v>
      </c>
      <c r="K1386" t="s">
        <v>3</v>
      </c>
      <c r="L1386">
        <v>6.8</v>
      </c>
      <c r="M1386">
        <v>1.63</v>
      </c>
      <c r="N1386">
        <v>1.2</v>
      </c>
      <c r="O1386">
        <v>1.24</v>
      </c>
      <c r="P1386" t="s">
        <v>12</v>
      </c>
      <c r="Q1386" t="s">
        <v>1</v>
      </c>
      <c r="R1386" t="s">
        <v>9</v>
      </c>
      <c r="S1386">
        <v>0</v>
      </c>
    </row>
    <row r="1387" spans="1:19" x14ac:dyDescent="0.3">
      <c r="A1387">
        <v>1386</v>
      </c>
      <c r="B1387">
        <v>21.7</v>
      </c>
      <c r="C1387" t="s">
        <v>11</v>
      </c>
      <c r="D1387">
        <v>41144</v>
      </c>
      <c r="E1387" t="s">
        <v>4</v>
      </c>
      <c r="F1387">
        <v>3.53</v>
      </c>
      <c r="G1387">
        <v>82.1</v>
      </c>
      <c r="H1387">
        <v>2</v>
      </c>
      <c r="I1387">
        <v>21.4</v>
      </c>
      <c r="J1387" t="s">
        <v>4</v>
      </c>
      <c r="K1387" t="s">
        <v>4</v>
      </c>
      <c r="L1387">
        <v>6.2</v>
      </c>
      <c r="M1387">
        <v>0.92</v>
      </c>
      <c r="N1387">
        <v>1.19</v>
      </c>
      <c r="O1387">
        <v>1.18</v>
      </c>
      <c r="P1387" t="s">
        <v>12</v>
      </c>
      <c r="Q1387" t="s">
        <v>1</v>
      </c>
      <c r="R1387" t="s">
        <v>15</v>
      </c>
      <c r="S1387">
        <v>1</v>
      </c>
    </row>
    <row r="1388" spans="1:19" x14ac:dyDescent="0.3">
      <c r="A1388">
        <v>1387</v>
      </c>
      <c r="B1388">
        <v>23.9</v>
      </c>
      <c r="C1388" t="s">
        <v>5</v>
      </c>
      <c r="D1388">
        <v>25000</v>
      </c>
      <c r="E1388" t="s">
        <v>4</v>
      </c>
      <c r="F1388">
        <v>4.2699999999999996</v>
      </c>
      <c r="G1388">
        <v>85.8</v>
      </c>
      <c r="H1388">
        <v>1</v>
      </c>
      <c r="I1388">
        <v>29</v>
      </c>
      <c r="J1388" t="s">
        <v>4</v>
      </c>
      <c r="K1388" t="s">
        <v>3</v>
      </c>
      <c r="L1388">
        <v>8</v>
      </c>
      <c r="M1388">
        <v>1.29</v>
      </c>
      <c r="N1388">
        <v>0.94</v>
      </c>
      <c r="O1388">
        <v>0.94</v>
      </c>
      <c r="P1388" t="s">
        <v>2</v>
      </c>
      <c r="Q1388" t="s">
        <v>14</v>
      </c>
      <c r="R1388" t="s">
        <v>0</v>
      </c>
      <c r="S1388">
        <v>0</v>
      </c>
    </row>
    <row r="1389" spans="1:19" x14ac:dyDescent="0.3">
      <c r="A1389">
        <v>1388</v>
      </c>
      <c r="B1389">
        <v>24.4</v>
      </c>
      <c r="C1389" t="s">
        <v>11</v>
      </c>
      <c r="D1389">
        <v>31873</v>
      </c>
      <c r="E1389" t="s">
        <v>3</v>
      </c>
      <c r="F1389">
        <v>6.49</v>
      </c>
      <c r="G1389">
        <v>79.099999999999994</v>
      </c>
      <c r="H1389">
        <v>0</v>
      </c>
      <c r="I1389">
        <v>20.7</v>
      </c>
      <c r="J1389" t="s">
        <v>4</v>
      </c>
      <c r="K1389" t="s">
        <v>4</v>
      </c>
      <c r="L1389">
        <v>4.7</v>
      </c>
      <c r="M1389">
        <v>4</v>
      </c>
      <c r="N1389">
        <v>4</v>
      </c>
      <c r="O1389">
        <v>4</v>
      </c>
      <c r="P1389" t="s">
        <v>2</v>
      </c>
      <c r="Q1389" t="s">
        <v>1</v>
      </c>
      <c r="R1389" t="s">
        <v>9</v>
      </c>
      <c r="S1389">
        <v>0</v>
      </c>
    </row>
    <row r="1390" spans="1:19" x14ac:dyDescent="0.3">
      <c r="A1390">
        <v>1389</v>
      </c>
      <c r="B1390">
        <v>21.1</v>
      </c>
      <c r="C1390" t="s">
        <v>5</v>
      </c>
      <c r="D1390">
        <v>33015</v>
      </c>
      <c r="E1390" t="s">
        <v>4</v>
      </c>
      <c r="F1390">
        <v>3.68</v>
      </c>
      <c r="G1390">
        <v>91.4</v>
      </c>
      <c r="H1390">
        <v>3</v>
      </c>
      <c r="I1390">
        <v>40.299999999999997</v>
      </c>
      <c r="J1390" t="s">
        <v>3</v>
      </c>
      <c r="K1390" t="s">
        <v>3</v>
      </c>
      <c r="L1390">
        <v>7.9</v>
      </c>
      <c r="M1390">
        <v>0.87</v>
      </c>
      <c r="N1390">
        <v>0.82</v>
      </c>
      <c r="O1390">
        <v>0.81</v>
      </c>
      <c r="P1390" t="s">
        <v>12</v>
      </c>
      <c r="Q1390" t="s">
        <v>1</v>
      </c>
      <c r="R1390" t="s">
        <v>0</v>
      </c>
      <c r="S1390">
        <v>0</v>
      </c>
    </row>
    <row r="1391" spans="1:19" x14ac:dyDescent="0.3">
      <c r="A1391">
        <v>1390</v>
      </c>
      <c r="B1391">
        <v>19.3</v>
      </c>
      <c r="C1391" t="s">
        <v>11</v>
      </c>
      <c r="D1391">
        <v>25000</v>
      </c>
      <c r="E1391" t="s">
        <v>4</v>
      </c>
      <c r="F1391">
        <v>3.36</v>
      </c>
      <c r="G1391">
        <v>84.2</v>
      </c>
      <c r="H1391">
        <v>0</v>
      </c>
      <c r="I1391">
        <v>52.4</v>
      </c>
      <c r="J1391" t="s">
        <v>3</v>
      </c>
      <c r="K1391" t="s">
        <v>3</v>
      </c>
      <c r="L1391">
        <v>5.9</v>
      </c>
      <c r="M1391">
        <v>1.58</v>
      </c>
      <c r="N1391">
        <v>0.89</v>
      </c>
      <c r="O1391">
        <v>0.93</v>
      </c>
      <c r="P1391" t="s">
        <v>12</v>
      </c>
      <c r="Q1391" t="s">
        <v>1</v>
      </c>
      <c r="R1391" t="s">
        <v>0</v>
      </c>
      <c r="S1391">
        <v>0</v>
      </c>
    </row>
    <row r="1392" spans="1:19" x14ac:dyDescent="0.3">
      <c r="A1392">
        <v>1391</v>
      </c>
      <c r="B1392">
        <v>22</v>
      </c>
      <c r="C1392" t="s">
        <v>5</v>
      </c>
      <c r="D1392">
        <v>30877</v>
      </c>
      <c r="E1392" t="s">
        <v>4</v>
      </c>
      <c r="F1392">
        <v>4.87</v>
      </c>
      <c r="G1392">
        <v>77.8</v>
      </c>
      <c r="H1392">
        <v>0</v>
      </c>
      <c r="I1392">
        <v>23.5</v>
      </c>
      <c r="J1392" t="s">
        <v>3</v>
      </c>
      <c r="K1392" t="s">
        <v>3</v>
      </c>
      <c r="L1392">
        <v>5.4</v>
      </c>
      <c r="M1392">
        <v>2.96</v>
      </c>
      <c r="N1392">
        <v>2.98</v>
      </c>
      <c r="O1392">
        <v>2.98</v>
      </c>
      <c r="P1392" t="s">
        <v>2</v>
      </c>
      <c r="Q1392" t="s">
        <v>6</v>
      </c>
      <c r="R1392" t="s">
        <v>9</v>
      </c>
      <c r="S1392">
        <v>0</v>
      </c>
    </row>
    <row r="1393" spans="1:19" x14ac:dyDescent="0.3">
      <c r="A1393">
        <v>1392</v>
      </c>
      <c r="B1393">
        <v>19.5</v>
      </c>
      <c r="C1393" t="s">
        <v>11</v>
      </c>
      <c r="D1393">
        <v>25000</v>
      </c>
      <c r="E1393" t="s">
        <v>4</v>
      </c>
      <c r="F1393">
        <v>3.14</v>
      </c>
      <c r="G1393">
        <v>86.5</v>
      </c>
      <c r="H1393">
        <v>0</v>
      </c>
      <c r="I1393">
        <v>40.700000000000003</v>
      </c>
      <c r="J1393" t="s">
        <v>3</v>
      </c>
      <c r="K1393" t="s">
        <v>4</v>
      </c>
      <c r="L1393">
        <v>4</v>
      </c>
      <c r="M1393">
        <v>1.31</v>
      </c>
      <c r="N1393">
        <v>1.04</v>
      </c>
      <c r="O1393">
        <v>1.07</v>
      </c>
      <c r="P1393" t="s">
        <v>12</v>
      </c>
      <c r="Q1393" t="s">
        <v>8</v>
      </c>
      <c r="R1393" t="s">
        <v>15</v>
      </c>
      <c r="S1393">
        <v>0</v>
      </c>
    </row>
    <row r="1394" spans="1:19" x14ac:dyDescent="0.3">
      <c r="A1394">
        <v>1393</v>
      </c>
      <c r="B1394">
        <v>25.4</v>
      </c>
      <c r="C1394" t="s">
        <v>11</v>
      </c>
      <c r="D1394">
        <v>25000</v>
      </c>
      <c r="E1394" t="s">
        <v>4</v>
      </c>
      <c r="F1394">
        <v>4.63</v>
      </c>
      <c r="G1394">
        <v>80.5</v>
      </c>
      <c r="H1394">
        <v>1</v>
      </c>
      <c r="I1394">
        <v>25.7</v>
      </c>
      <c r="J1394" t="s">
        <v>4</v>
      </c>
      <c r="K1394" t="s">
        <v>3</v>
      </c>
      <c r="L1394">
        <v>6.2</v>
      </c>
      <c r="M1394">
        <v>3.28</v>
      </c>
      <c r="N1394">
        <v>3.48</v>
      </c>
      <c r="O1394">
        <v>3.51</v>
      </c>
      <c r="P1394" t="s">
        <v>10</v>
      </c>
      <c r="Q1394" t="s">
        <v>6</v>
      </c>
      <c r="R1394" t="s">
        <v>9</v>
      </c>
      <c r="S1394">
        <v>0</v>
      </c>
    </row>
    <row r="1395" spans="1:19" x14ac:dyDescent="0.3">
      <c r="A1395">
        <v>1394</v>
      </c>
      <c r="B1395">
        <v>21.3</v>
      </c>
      <c r="C1395" t="s">
        <v>11</v>
      </c>
      <c r="D1395">
        <v>56727</v>
      </c>
      <c r="E1395" t="s">
        <v>3</v>
      </c>
      <c r="F1395">
        <v>5.07</v>
      </c>
      <c r="G1395">
        <v>83.6</v>
      </c>
      <c r="H1395">
        <v>0</v>
      </c>
      <c r="I1395">
        <v>18.8</v>
      </c>
      <c r="J1395" t="s">
        <v>3</v>
      </c>
      <c r="K1395" t="s">
        <v>3</v>
      </c>
      <c r="L1395">
        <v>4.5999999999999996</v>
      </c>
      <c r="M1395">
        <v>2.4500000000000002</v>
      </c>
      <c r="N1395">
        <v>3.25</v>
      </c>
      <c r="O1395">
        <v>3.23</v>
      </c>
      <c r="P1395" t="s">
        <v>10</v>
      </c>
      <c r="Q1395" t="s">
        <v>8</v>
      </c>
      <c r="R1395" t="s">
        <v>15</v>
      </c>
      <c r="S1395">
        <v>0</v>
      </c>
    </row>
    <row r="1396" spans="1:19" x14ac:dyDescent="0.3">
      <c r="A1396">
        <v>1395</v>
      </c>
      <c r="B1396">
        <v>20.2</v>
      </c>
      <c r="C1396" t="s">
        <v>11</v>
      </c>
      <c r="D1396">
        <v>33033</v>
      </c>
      <c r="E1396" t="s">
        <v>4</v>
      </c>
      <c r="F1396">
        <v>5.82</v>
      </c>
      <c r="G1396">
        <v>87.5</v>
      </c>
      <c r="H1396">
        <v>1</v>
      </c>
      <c r="I1396">
        <v>21.5</v>
      </c>
      <c r="J1396" t="s">
        <v>3</v>
      </c>
      <c r="K1396" t="s">
        <v>3</v>
      </c>
      <c r="L1396">
        <v>5.4</v>
      </c>
      <c r="M1396">
        <v>1.49</v>
      </c>
      <c r="N1396">
        <v>1.5</v>
      </c>
      <c r="O1396">
        <v>1.53</v>
      </c>
      <c r="P1396" t="s">
        <v>7</v>
      </c>
      <c r="Q1396" t="s">
        <v>13</v>
      </c>
      <c r="R1396" t="s">
        <v>15</v>
      </c>
      <c r="S1396">
        <v>0</v>
      </c>
    </row>
    <row r="1397" spans="1:19" x14ac:dyDescent="0.3">
      <c r="A1397">
        <v>1396</v>
      </c>
      <c r="B1397">
        <v>21.4</v>
      </c>
      <c r="C1397" t="s">
        <v>5</v>
      </c>
      <c r="D1397">
        <v>36616</v>
      </c>
      <c r="E1397" t="s">
        <v>4</v>
      </c>
      <c r="F1397">
        <v>3.58</v>
      </c>
      <c r="G1397">
        <v>100</v>
      </c>
      <c r="H1397">
        <v>3</v>
      </c>
      <c r="I1397">
        <v>39.200000000000003</v>
      </c>
      <c r="J1397" t="s">
        <v>3</v>
      </c>
      <c r="K1397" t="s">
        <v>3</v>
      </c>
      <c r="L1397">
        <v>6.9</v>
      </c>
      <c r="M1397">
        <v>2.25</v>
      </c>
      <c r="N1397">
        <v>2.0699999999999998</v>
      </c>
      <c r="O1397">
        <v>2.0699999999999998</v>
      </c>
      <c r="P1397" t="s">
        <v>2</v>
      </c>
      <c r="Q1397" t="s">
        <v>14</v>
      </c>
      <c r="R1397" t="s">
        <v>16</v>
      </c>
      <c r="S1397">
        <v>0</v>
      </c>
    </row>
    <row r="1398" spans="1:19" x14ac:dyDescent="0.3">
      <c r="A1398">
        <v>1397</v>
      </c>
      <c r="B1398">
        <v>18</v>
      </c>
      <c r="C1398" t="s">
        <v>11</v>
      </c>
      <c r="D1398">
        <v>25000</v>
      </c>
      <c r="E1398" t="s">
        <v>3</v>
      </c>
      <c r="F1398">
        <v>2.2799999999999998</v>
      </c>
      <c r="G1398">
        <v>96.3</v>
      </c>
      <c r="H1398">
        <v>0</v>
      </c>
      <c r="I1398">
        <v>22.3</v>
      </c>
      <c r="J1398" t="s">
        <v>3</v>
      </c>
      <c r="K1398" t="s">
        <v>3</v>
      </c>
      <c r="L1398">
        <v>5.4</v>
      </c>
      <c r="M1398">
        <v>3.78</v>
      </c>
      <c r="N1398">
        <v>3.98</v>
      </c>
      <c r="O1398">
        <v>3.98</v>
      </c>
      <c r="P1398" t="s">
        <v>2</v>
      </c>
      <c r="Q1398" t="s">
        <v>8</v>
      </c>
      <c r="R1398" t="s">
        <v>15</v>
      </c>
      <c r="S1398">
        <v>0</v>
      </c>
    </row>
    <row r="1399" spans="1:19" x14ac:dyDescent="0.3">
      <c r="A1399">
        <v>1398</v>
      </c>
      <c r="B1399">
        <v>18.899999999999999</v>
      </c>
      <c r="C1399" t="s">
        <v>11</v>
      </c>
      <c r="D1399">
        <v>38333</v>
      </c>
      <c r="E1399" t="s">
        <v>4</v>
      </c>
      <c r="F1399">
        <v>3.67</v>
      </c>
      <c r="G1399">
        <v>83.2</v>
      </c>
      <c r="H1399">
        <v>4</v>
      </c>
      <c r="I1399">
        <v>24.6</v>
      </c>
      <c r="J1399" t="s">
        <v>3</v>
      </c>
      <c r="K1399" t="s">
        <v>3</v>
      </c>
      <c r="L1399">
        <v>6.1</v>
      </c>
      <c r="M1399">
        <v>2.72</v>
      </c>
      <c r="N1399">
        <v>2.95</v>
      </c>
      <c r="O1399">
        <v>2.95</v>
      </c>
      <c r="P1399" t="s">
        <v>2</v>
      </c>
      <c r="Q1399" t="s">
        <v>14</v>
      </c>
      <c r="R1399" t="s">
        <v>15</v>
      </c>
      <c r="S1399">
        <v>0</v>
      </c>
    </row>
    <row r="1400" spans="1:19" x14ac:dyDescent="0.3">
      <c r="A1400">
        <v>1399</v>
      </c>
      <c r="B1400">
        <v>23.6</v>
      </c>
      <c r="C1400" t="s">
        <v>11</v>
      </c>
      <c r="D1400">
        <v>40874</v>
      </c>
      <c r="E1400" t="s">
        <v>4</v>
      </c>
      <c r="F1400">
        <v>4.2300000000000004</v>
      </c>
      <c r="G1400">
        <v>74.5</v>
      </c>
      <c r="H1400">
        <v>1</v>
      </c>
      <c r="I1400">
        <v>16.3</v>
      </c>
      <c r="J1400" t="s">
        <v>4</v>
      </c>
      <c r="K1400" t="s">
        <v>4</v>
      </c>
      <c r="L1400">
        <v>8.1999999999999993</v>
      </c>
      <c r="M1400">
        <v>2.46</v>
      </c>
      <c r="N1400">
        <v>2.31</v>
      </c>
      <c r="O1400">
        <v>2.31</v>
      </c>
      <c r="P1400" t="s">
        <v>2</v>
      </c>
      <c r="Q1400" t="s">
        <v>13</v>
      </c>
      <c r="R1400" t="s">
        <v>0</v>
      </c>
      <c r="S1400">
        <v>0</v>
      </c>
    </row>
    <row r="1401" spans="1:19" x14ac:dyDescent="0.3">
      <c r="A1401">
        <v>1400</v>
      </c>
      <c r="B1401">
        <v>19.600000000000001</v>
      </c>
      <c r="C1401" t="s">
        <v>5</v>
      </c>
      <c r="D1401">
        <v>25000</v>
      </c>
      <c r="E1401" t="s">
        <v>4</v>
      </c>
      <c r="F1401">
        <v>3.2</v>
      </c>
      <c r="G1401">
        <v>64</v>
      </c>
      <c r="H1401">
        <v>3</v>
      </c>
      <c r="I1401">
        <v>37.6</v>
      </c>
      <c r="J1401" t="s">
        <v>4</v>
      </c>
      <c r="K1401" t="s">
        <v>3</v>
      </c>
      <c r="L1401">
        <v>6.5</v>
      </c>
      <c r="M1401">
        <v>1.7</v>
      </c>
      <c r="N1401">
        <v>1.58</v>
      </c>
      <c r="O1401">
        <v>1.62</v>
      </c>
      <c r="P1401" t="s">
        <v>10</v>
      </c>
      <c r="Q1401" t="s">
        <v>6</v>
      </c>
      <c r="R1401" t="s">
        <v>9</v>
      </c>
      <c r="S1401">
        <v>1</v>
      </c>
    </row>
    <row r="1402" spans="1:19" x14ac:dyDescent="0.3">
      <c r="A1402">
        <v>1401</v>
      </c>
      <c r="B1402">
        <v>18.7</v>
      </c>
      <c r="C1402" t="s">
        <v>11</v>
      </c>
      <c r="D1402">
        <v>103883</v>
      </c>
      <c r="E1402" t="s">
        <v>3</v>
      </c>
      <c r="F1402">
        <v>4.17</v>
      </c>
      <c r="G1402">
        <v>92.3</v>
      </c>
      <c r="H1402">
        <v>1</v>
      </c>
      <c r="I1402">
        <v>35.5</v>
      </c>
      <c r="J1402" t="s">
        <v>3</v>
      </c>
      <c r="K1402" t="s">
        <v>4</v>
      </c>
      <c r="L1402">
        <v>4.3</v>
      </c>
      <c r="M1402">
        <v>2.79</v>
      </c>
      <c r="N1402">
        <v>2.99</v>
      </c>
      <c r="O1402">
        <v>2.99</v>
      </c>
      <c r="P1402" t="s">
        <v>2</v>
      </c>
      <c r="Q1402" t="s">
        <v>13</v>
      </c>
      <c r="R1402" t="s">
        <v>9</v>
      </c>
      <c r="S1402">
        <v>0</v>
      </c>
    </row>
    <row r="1403" spans="1:19" x14ac:dyDescent="0.3">
      <c r="A1403">
        <v>1402</v>
      </c>
      <c r="B1403">
        <v>22.2</v>
      </c>
      <c r="C1403" t="s">
        <v>5</v>
      </c>
      <c r="D1403">
        <v>25000</v>
      </c>
      <c r="E1403" t="s">
        <v>4</v>
      </c>
      <c r="F1403">
        <v>6.27</v>
      </c>
      <c r="G1403">
        <v>91</v>
      </c>
      <c r="H1403">
        <v>0</v>
      </c>
      <c r="I1403">
        <v>47.5</v>
      </c>
      <c r="J1403" t="s">
        <v>4</v>
      </c>
      <c r="K1403" t="s">
        <v>3</v>
      </c>
      <c r="L1403">
        <v>4.8</v>
      </c>
      <c r="M1403">
        <v>3.64</v>
      </c>
      <c r="N1403">
        <v>3.48</v>
      </c>
      <c r="O1403">
        <v>3.47</v>
      </c>
      <c r="P1403" t="s">
        <v>12</v>
      </c>
      <c r="Q1403" t="s">
        <v>13</v>
      </c>
      <c r="R1403" t="s">
        <v>9</v>
      </c>
      <c r="S1403">
        <v>0</v>
      </c>
    </row>
    <row r="1404" spans="1:19" x14ac:dyDescent="0.3">
      <c r="A1404">
        <v>1403</v>
      </c>
      <c r="B1404">
        <v>23.6</v>
      </c>
      <c r="C1404" t="s">
        <v>11</v>
      </c>
      <c r="D1404">
        <v>47602</v>
      </c>
      <c r="E1404" t="s">
        <v>3</v>
      </c>
      <c r="F1404">
        <v>3.26</v>
      </c>
      <c r="G1404">
        <v>77</v>
      </c>
      <c r="H1404">
        <v>3</v>
      </c>
      <c r="I1404">
        <v>37.200000000000003</v>
      </c>
      <c r="J1404" t="s">
        <v>3</v>
      </c>
      <c r="K1404" t="s">
        <v>3</v>
      </c>
      <c r="L1404">
        <v>5.8</v>
      </c>
      <c r="M1404">
        <v>1.93</v>
      </c>
      <c r="N1404">
        <v>2.09</v>
      </c>
      <c r="O1404">
        <v>2.17</v>
      </c>
      <c r="P1404" t="s">
        <v>10</v>
      </c>
      <c r="Q1404" t="s">
        <v>13</v>
      </c>
      <c r="R1404" t="s">
        <v>0</v>
      </c>
      <c r="S1404">
        <v>0</v>
      </c>
    </row>
    <row r="1405" spans="1:19" x14ac:dyDescent="0.3">
      <c r="A1405">
        <v>1404</v>
      </c>
      <c r="B1405">
        <v>22.6</v>
      </c>
      <c r="C1405" t="s">
        <v>5</v>
      </c>
      <c r="D1405">
        <v>45601</v>
      </c>
      <c r="E1405" t="s">
        <v>4</v>
      </c>
      <c r="F1405">
        <v>2.95</v>
      </c>
      <c r="G1405">
        <v>81.3</v>
      </c>
      <c r="H1405">
        <v>0</v>
      </c>
      <c r="I1405">
        <v>35</v>
      </c>
      <c r="J1405" t="s">
        <v>3</v>
      </c>
      <c r="K1405" t="s">
        <v>3</v>
      </c>
      <c r="L1405">
        <v>9.3000000000000007</v>
      </c>
      <c r="M1405">
        <v>0</v>
      </c>
      <c r="N1405">
        <v>0.46</v>
      </c>
      <c r="O1405">
        <v>0.43</v>
      </c>
      <c r="P1405" t="s">
        <v>7</v>
      </c>
      <c r="Q1405" t="s">
        <v>8</v>
      </c>
      <c r="R1405" t="s">
        <v>9</v>
      </c>
      <c r="S1405">
        <v>1</v>
      </c>
    </row>
    <row r="1406" spans="1:19" x14ac:dyDescent="0.3">
      <c r="A1406">
        <v>1405</v>
      </c>
      <c r="B1406">
        <v>23.2</v>
      </c>
      <c r="C1406" t="s">
        <v>5</v>
      </c>
      <c r="D1406">
        <v>41149</v>
      </c>
      <c r="E1406" t="s">
        <v>4</v>
      </c>
      <c r="F1406">
        <v>5.22</v>
      </c>
      <c r="G1406">
        <v>83.7</v>
      </c>
      <c r="H1406">
        <v>1</v>
      </c>
      <c r="I1406">
        <v>37</v>
      </c>
      <c r="J1406" t="s">
        <v>3</v>
      </c>
      <c r="K1406" t="s">
        <v>4</v>
      </c>
      <c r="L1406">
        <v>3.1</v>
      </c>
      <c r="M1406">
        <v>1.75</v>
      </c>
      <c r="N1406">
        <v>1.87</v>
      </c>
      <c r="O1406">
        <v>1.84</v>
      </c>
      <c r="P1406" t="s">
        <v>12</v>
      </c>
      <c r="Q1406" t="s">
        <v>13</v>
      </c>
      <c r="R1406" t="s">
        <v>9</v>
      </c>
      <c r="S1406">
        <v>0</v>
      </c>
    </row>
    <row r="1407" spans="1:19" x14ac:dyDescent="0.3">
      <c r="A1407">
        <v>1406</v>
      </c>
      <c r="B1407">
        <v>19.3</v>
      </c>
      <c r="C1407" t="s">
        <v>11</v>
      </c>
      <c r="D1407">
        <v>33048</v>
      </c>
      <c r="E1407" t="s">
        <v>4</v>
      </c>
      <c r="F1407">
        <v>2.39</v>
      </c>
      <c r="G1407">
        <v>86.8</v>
      </c>
      <c r="H1407">
        <v>1</v>
      </c>
      <c r="I1407">
        <v>26.9</v>
      </c>
      <c r="J1407" t="s">
        <v>3</v>
      </c>
      <c r="K1407" t="s">
        <v>3</v>
      </c>
      <c r="L1407">
        <v>5.8</v>
      </c>
      <c r="M1407">
        <v>2.2799999999999998</v>
      </c>
      <c r="N1407">
        <v>2.4</v>
      </c>
      <c r="O1407">
        <v>2.4</v>
      </c>
      <c r="P1407" t="s">
        <v>2</v>
      </c>
      <c r="Q1407" t="s">
        <v>8</v>
      </c>
      <c r="R1407" t="s">
        <v>16</v>
      </c>
      <c r="S1407">
        <v>0</v>
      </c>
    </row>
    <row r="1408" spans="1:19" x14ac:dyDescent="0.3">
      <c r="A1408">
        <v>1407</v>
      </c>
      <c r="B1408">
        <v>17.899999999999999</v>
      </c>
      <c r="C1408" t="s">
        <v>5</v>
      </c>
      <c r="D1408">
        <v>41374</v>
      </c>
      <c r="E1408" t="s">
        <v>4</v>
      </c>
      <c r="F1408">
        <v>4.0199999999999996</v>
      </c>
      <c r="G1408">
        <v>95.2</v>
      </c>
      <c r="H1408">
        <v>5</v>
      </c>
      <c r="I1408">
        <v>31.3</v>
      </c>
      <c r="J1408" t="s">
        <v>3</v>
      </c>
      <c r="K1408" t="s">
        <v>3</v>
      </c>
      <c r="L1408">
        <v>8</v>
      </c>
      <c r="M1408">
        <v>1.89</v>
      </c>
      <c r="N1408">
        <v>2.29</v>
      </c>
      <c r="O1408">
        <v>2.37</v>
      </c>
      <c r="P1408" t="s">
        <v>10</v>
      </c>
      <c r="Q1408" t="s">
        <v>8</v>
      </c>
      <c r="R1408" t="s">
        <v>15</v>
      </c>
      <c r="S1408">
        <v>0</v>
      </c>
    </row>
    <row r="1409" spans="1:19" x14ac:dyDescent="0.3">
      <c r="A1409">
        <v>1408</v>
      </c>
      <c r="B1409">
        <v>24.3</v>
      </c>
      <c r="C1409" t="s">
        <v>11</v>
      </c>
      <c r="D1409">
        <v>50056</v>
      </c>
      <c r="E1409" t="s">
        <v>4</v>
      </c>
      <c r="F1409">
        <v>3.32</v>
      </c>
      <c r="G1409">
        <v>71.599999999999994</v>
      </c>
      <c r="H1409">
        <v>2</v>
      </c>
      <c r="I1409">
        <v>41.2</v>
      </c>
      <c r="J1409" t="s">
        <v>4</v>
      </c>
      <c r="K1409" t="s">
        <v>3</v>
      </c>
      <c r="L1409">
        <v>6.6</v>
      </c>
      <c r="M1409">
        <v>0.4</v>
      </c>
      <c r="N1409">
        <v>0.04</v>
      </c>
      <c r="O1409">
        <v>0.05</v>
      </c>
      <c r="P1409" t="s">
        <v>12</v>
      </c>
      <c r="Q1409" t="s">
        <v>14</v>
      </c>
      <c r="R1409" t="s">
        <v>9</v>
      </c>
      <c r="S1409">
        <v>0</v>
      </c>
    </row>
    <row r="1410" spans="1:19" x14ac:dyDescent="0.3">
      <c r="A1410">
        <v>1409</v>
      </c>
      <c r="B1410">
        <v>20.3</v>
      </c>
      <c r="C1410" t="s">
        <v>11</v>
      </c>
      <c r="E1410" t="s">
        <v>3</v>
      </c>
      <c r="G1410">
        <v>87.4</v>
      </c>
      <c r="H1410">
        <v>1</v>
      </c>
      <c r="I1410">
        <v>20.2</v>
      </c>
      <c r="J1410" t="s">
        <v>3</v>
      </c>
      <c r="K1410" t="s">
        <v>4</v>
      </c>
      <c r="M1410">
        <v>3.93</v>
      </c>
      <c r="N1410">
        <v>3.31</v>
      </c>
      <c r="O1410">
        <v>3.26</v>
      </c>
      <c r="P1410" t="s">
        <v>7</v>
      </c>
      <c r="Q1410" t="s">
        <v>8</v>
      </c>
      <c r="R1410" t="s">
        <v>9</v>
      </c>
      <c r="S1410">
        <v>0</v>
      </c>
    </row>
    <row r="1411" spans="1:19" x14ac:dyDescent="0.3">
      <c r="A1411">
        <v>1410</v>
      </c>
      <c r="B1411">
        <v>20.399999999999999</v>
      </c>
      <c r="C1411" t="s">
        <v>5</v>
      </c>
      <c r="D1411">
        <v>35579</v>
      </c>
      <c r="E1411" t="s">
        <v>4</v>
      </c>
      <c r="F1411">
        <v>3.81</v>
      </c>
      <c r="G1411">
        <v>83.8</v>
      </c>
      <c r="H1411">
        <v>1</v>
      </c>
      <c r="I1411">
        <v>50.4</v>
      </c>
      <c r="J1411" t="s">
        <v>4</v>
      </c>
      <c r="K1411" t="s">
        <v>3</v>
      </c>
      <c r="L1411">
        <v>2.4</v>
      </c>
      <c r="M1411">
        <v>4</v>
      </c>
      <c r="N1411">
        <v>3.77</v>
      </c>
      <c r="O1411">
        <v>3.75</v>
      </c>
      <c r="P1411" t="s">
        <v>7</v>
      </c>
      <c r="Q1411" t="s">
        <v>14</v>
      </c>
      <c r="R1411" t="s">
        <v>15</v>
      </c>
      <c r="S1411">
        <v>0</v>
      </c>
    </row>
    <row r="1412" spans="1:19" x14ac:dyDescent="0.3">
      <c r="A1412">
        <v>1411</v>
      </c>
      <c r="B1412">
        <v>23.9</v>
      </c>
      <c r="C1412" t="s">
        <v>5</v>
      </c>
      <c r="D1412">
        <v>26636</v>
      </c>
      <c r="E1412" t="s">
        <v>4</v>
      </c>
      <c r="F1412">
        <v>3.18</v>
      </c>
      <c r="G1412">
        <v>77.900000000000006</v>
      </c>
      <c r="H1412">
        <v>0</v>
      </c>
      <c r="I1412">
        <v>37.700000000000003</v>
      </c>
      <c r="J1412" t="s">
        <v>4</v>
      </c>
      <c r="K1412" t="s">
        <v>4</v>
      </c>
      <c r="L1412">
        <v>8.1999999999999993</v>
      </c>
      <c r="M1412">
        <v>1.93</v>
      </c>
      <c r="N1412">
        <v>1.75</v>
      </c>
      <c r="O1412">
        <v>1.75</v>
      </c>
      <c r="P1412" t="s">
        <v>10</v>
      </c>
      <c r="Q1412" t="s">
        <v>1</v>
      </c>
      <c r="R1412" t="s">
        <v>0</v>
      </c>
      <c r="S1412">
        <v>0</v>
      </c>
    </row>
    <row r="1413" spans="1:19" x14ac:dyDescent="0.3">
      <c r="A1413">
        <v>1412</v>
      </c>
      <c r="B1413">
        <v>22.2</v>
      </c>
      <c r="C1413" t="s">
        <v>11</v>
      </c>
      <c r="D1413">
        <v>25000</v>
      </c>
      <c r="E1413" t="s">
        <v>4</v>
      </c>
      <c r="F1413">
        <v>4.66</v>
      </c>
      <c r="G1413">
        <v>88.5</v>
      </c>
      <c r="H1413">
        <v>1</v>
      </c>
      <c r="I1413">
        <v>54.3</v>
      </c>
      <c r="J1413" t="s">
        <v>3</v>
      </c>
      <c r="K1413" t="s">
        <v>4</v>
      </c>
      <c r="L1413">
        <v>4.5999999999999996</v>
      </c>
      <c r="M1413">
        <v>3.69</v>
      </c>
      <c r="N1413">
        <v>3.58</v>
      </c>
      <c r="O1413">
        <v>3.7</v>
      </c>
      <c r="P1413" t="s">
        <v>12</v>
      </c>
      <c r="Q1413" t="s">
        <v>6</v>
      </c>
      <c r="R1413" t="s">
        <v>9</v>
      </c>
      <c r="S1413">
        <v>0</v>
      </c>
    </row>
    <row r="1414" spans="1:19" x14ac:dyDescent="0.3">
      <c r="A1414">
        <v>1413</v>
      </c>
      <c r="B1414">
        <v>22</v>
      </c>
      <c r="C1414" t="s">
        <v>5</v>
      </c>
      <c r="D1414">
        <v>45720</v>
      </c>
      <c r="E1414" t="s">
        <v>4</v>
      </c>
      <c r="F1414">
        <v>4.26</v>
      </c>
      <c r="G1414">
        <v>81.099999999999994</v>
      </c>
      <c r="H1414">
        <v>2</v>
      </c>
      <c r="I1414">
        <v>15.9</v>
      </c>
      <c r="J1414" t="s">
        <v>3</v>
      </c>
      <c r="K1414" t="s">
        <v>4</v>
      </c>
      <c r="L1414">
        <v>3.8</v>
      </c>
      <c r="M1414">
        <v>3.14</v>
      </c>
      <c r="N1414">
        <v>2.67</v>
      </c>
      <c r="O1414">
        <v>2.63</v>
      </c>
      <c r="P1414" t="s">
        <v>10</v>
      </c>
      <c r="Q1414" t="s">
        <v>8</v>
      </c>
      <c r="R1414" t="s">
        <v>0</v>
      </c>
      <c r="S1414">
        <v>0</v>
      </c>
    </row>
    <row r="1415" spans="1:19" x14ac:dyDescent="0.3">
      <c r="A1415">
        <v>1414</v>
      </c>
      <c r="B1415">
        <v>25.8</v>
      </c>
      <c r="C1415" t="s">
        <v>11</v>
      </c>
      <c r="D1415">
        <v>25000</v>
      </c>
      <c r="E1415" t="s">
        <v>4</v>
      </c>
      <c r="F1415">
        <v>4.2300000000000004</v>
      </c>
      <c r="G1415">
        <v>81.400000000000006</v>
      </c>
      <c r="H1415">
        <v>2</v>
      </c>
      <c r="I1415">
        <v>15.9</v>
      </c>
      <c r="J1415" t="s">
        <v>3</v>
      </c>
      <c r="K1415" t="s">
        <v>3</v>
      </c>
      <c r="L1415">
        <v>6</v>
      </c>
      <c r="M1415">
        <v>2.52</v>
      </c>
      <c r="N1415">
        <v>2.2999999999999998</v>
      </c>
      <c r="O1415">
        <v>2.2999999999999998</v>
      </c>
      <c r="P1415" t="s">
        <v>2</v>
      </c>
      <c r="Q1415" t="s">
        <v>8</v>
      </c>
      <c r="R1415" t="s">
        <v>15</v>
      </c>
      <c r="S1415">
        <v>0</v>
      </c>
    </row>
    <row r="1416" spans="1:19" x14ac:dyDescent="0.3">
      <c r="A1416">
        <v>1415</v>
      </c>
      <c r="B1416">
        <v>19.600000000000001</v>
      </c>
      <c r="C1416" t="s">
        <v>11</v>
      </c>
      <c r="D1416">
        <v>25000</v>
      </c>
      <c r="E1416" t="s">
        <v>3</v>
      </c>
      <c r="F1416">
        <v>2.77</v>
      </c>
      <c r="G1416">
        <v>84.5</v>
      </c>
      <c r="H1416">
        <v>1</v>
      </c>
      <c r="I1416">
        <v>34.5</v>
      </c>
      <c r="J1416" t="s">
        <v>3</v>
      </c>
      <c r="K1416" t="s">
        <v>3</v>
      </c>
      <c r="L1416">
        <v>8.1</v>
      </c>
      <c r="M1416">
        <v>1.26</v>
      </c>
      <c r="N1416">
        <v>1.82</v>
      </c>
      <c r="O1416">
        <v>1.76</v>
      </c>
      <c r="P1416" t="s">
        <v>7</v>
      </c>
      <c r="Q1416" t="s">
        <v>13</v>
      </c>
      <c r="R1416" t="s">
        <v>9</v>
      </c>
      <c r="S1416">
        <v>0</v>
      </c>
    </row>
    <row r="1417" spans="1:19" x14ac:dyDescent="0.3">
      <c r="A1417">
        <v>1416</v>
      </c>
      <c r="B1417">
        <v>23</v>
      </c>
      <c r="C1417" t="s">
        <v>5</v>
      </c>
      <c r="D1417">
        <v>25000</v>
      </c>
      <c r="E1417" t="s">
        <v>4</v>
      </c>
      <c r="F1417">
        <v>3.26</v>
      </c>
      <c r="G1417">
        <v>78.3</v>
      </c>
      <c r="H1417">
        <v>3</v>
      </c>
      <c r="I1417">
        <v>31.5</v>
      </c>
      <c r="J1417" t="s">
        <v>4</v>
      </c>
      <c r="K1417" t="s">
        <v>3</v>
      </c>
      <c r="L1417">
        <v>6.2</v>
      </c>
      <c r="M1417">
        <v>2.4500000000000002</v>
      </c>
      <c r="N1417">
        <v>2.5299999999999998</v>
      </c>
      <c r="O1417">
        <v>2.5099999999999998</v>
      </c>
      <c r="P1417" t="s">
        <v>7</v>
      </c>
      <c r="Q1417" t="s">
        <v>8</v>
      </c>
      <c r="R1417" t="s">
        <v>9</v>
      </c>
      <c r="S1417">
        <v>0</v>
      </c>
    </row>
    <row r="1418" spans="1:19" x14ac:dyDescent="0.3">
      <c r="A1418">
        <v>1417</v>
      </c>
      <c r="B1418">
        <v>21.1</v>
      </c>
      <c r="C1418" t="s">
        <v>5</v>
      </c>
      <c r="D1418">
        <v>25000</v>
      </c>
      <c r="E1418" t="s">
        <v>4</v>
      </c>
      <c r="F1418">
        <v>4.33</v>
      </c>
      <c r="G1418">
        <v>87.2</v>
      </c>
      <c r="H1418">
        <v>2</v>
      </c>
      <c r="I1418">
        <v>24.5</v>
      </c>
      <c r="J1418" t="s">
        <v>3</v>
      </c>
      <c r="K1418" t="s">
        <v>3</v>
      </c>
      <c r="L1418">
        <v>4.8</v>
      </c>
      <c r="M1418">
        <v>2.96</v>
      </c>
      <c r="N1418">
        <v>2.94</v>
      </c>
      <c r="O1418">
        <v>2.9</v>
      </c>
      <c r="P1418" t="s">
        <v>10</v>
      </c>
      <c r="Q1418" t="s">
        <v>1</v>
      </c>
      <c r="R1418" t="s">
        <v>0</v>
      </c>
      <c r="S1418">
        <v>1</v>
      </c>
    </row>
    <row r="1419" spans="1:19" x14ac:dyDescent="0.3">
      <c r="A1419">
        <v>1418</v>
      </c>
      <c r="B1419">
        <v>21.6</v>
      </c>
      <c r="C1419" t="s">
        <v>5</v>
      </c>
      <c r="D1419">
        <v>55110</v>
      </c>
      <c r="E1419" t="s">
        <v>4</v>
      </c>
      <c r="F1419">
        <v>2.84</v>
      </c>
      <c r="G1419">
        <v>78.8</v>
      </c>
      <c r="H1419">
        <v>3</v>
      </c>
      <c r="I1419">
        <v>14.8</v>
      </c>
      <c r="J1419" t="s">
        <v>4</v>
      </c>
      <c r="K1419" t="s">
        <v>3</v>
      </c>
      <c r="L1419">
        <v>5.9</v>
      </c>
      <c r="M1419">
        <v>0.05</v>
      </c>
      <c r="N1419">
        <v>0.17</v>
      </c>
      <c r="O1419">
        <v>0.15</v>
      </c>
      <c r="P1419" t="s">
        <v>12</v>
      </c>
      <c r="Q1419" t="s">
        <v>14</v>
      </c>
      <c r="R1419" t="s">
        <v>15</v>
      </c>
      <c r="S1419">
        <v>0</v>
      </c>
    </row>
    <row r="1420" spans="1:19" x14ac:dyDescent="0.3">
      <c r="A1420">
        <v>1419</v>
      </c>
      <c r="B1420">
        <v>24.4</v>
      </c>
      <c r="C1420" t="s">
        <v>11</v>
      </c>
      <c r="D1420">
        <v>32595</v>
      </c>
      <c r="E1420" t="s">
        <v>4</v>
      </c>
      <c r="F1420">
        <v>3.95</v>
      </c>
      <c r="G1420">
        <v>95.5</v>
      </c>
      <c r="H1420">
        <v>2</v>
      </c>
      <c r="I1420">
        <v>26.8</v>
      </c>
      <c r="J1420" t="s">
        <v>3</v>
      </c>
      <c r="K1420" t="s">
        <v>3</v>
      </c>
      <c r="L1420">
        <v>5.7</v>
      </c>
      <c r="M1420">
        <v>2.82</v>
      </c>
      <c r="N1420">
        <v>2.94</v>
      </c>
      <c r="O1420">
        <v>2.92</v>
      </c>
      <c r="P1420" t="s">
        <v>10</v>
      </c>
      <c r="Q1420" t="s">
        <v>1</v>
      </c>
      <c r="R1420" t="s">
        <v>9</v>
      </c>
      <c r="S1420">
        <v>0</v>
      </c>
    </row>
    <row r="1421" spans="1:19" x14ac:dyDescent="0.3">
      <c r="A1421">
        <v>1420</v>
      </c>
      <c r="B1421">
        <v>22.1</v>
      </c>
      <c r="C1421" t="s">
        <v>5</v>
      </c>
      <c r="D1421">
        <v>68147</v>
      </c>
      <c r="E1421" t="s">
        <v>4</v>
      </c>
      <c r="F1421">
        <v>4.45</v>
      </c>
      <c r="G1421">
        <v>83.8</v>
      </c>
      <c r="H1421">
        <v>1</v>
      </c>
      <c r="I1421">
        <v>32.6</v>
      </c>
      <c r="J1421" t="s">
        <v>3</v>
      </c>
      <c r="K1421" t="s">
        <v>3</v>
      </c>
      <c r="L1421">
        <v>4.7</v>
      </c>
      <c r="M1421">
        <v>2.5</v>
      </c>
      <c r="N1421">
        <v>2.2799999999999998</v>
      </c>
      <c r="O1421">
        <v>2.3199999999999998</v>
      </c>
      <c r="P1421" t="s">
        <v>7</v>
      </c>
      <c r="Q1421" t="s">
        <v>13</v>
      </c>
      <c r="R1421" t="s">
        <v>0</v>
      </c>
      <c r="S1421">
        <v>0</v>
      </c>
    </row>
    <row r="1422" spans="1:19" x14ac:dyDescent="0.3">
      <c r="A1422">
        <v>1421</v>
      </c>
      <c r="B1422">
        <v>22.2</v>
      </c>
      <c r="C1422" t="s">
        <v>5</v>
      </c>
      <c r="D1422">
        <v>25000</v>
      </c>
      <c r="E1422" t="s">
        <v>4</v>
      </c>
      <c r="F1422">
        <v>4.97</v>
      </c>
      <c r="G1422">
        <v>76.599999999999994</v>
      </c>
      <c r="H1422">
        <v>0</v>
      </c>
      <c r="I1422">
        <v>14.3</v>
      </c>
      <c r="J1422" t="s">
        <v>4</v>
      </c>
      <c r="K1422" t="s">
        <v>3</v>
      </c>
      <c r="L1422">
        <v>5.6</v>
      </c>
      <c r="M1422">
        <v>2.88</v>
      </c>
      <c r="N1422">
        <v>2.65</v>
      </c>
      <c r="O1422">
        <v>2.65</v>
      </c>
      <c r="P1422" t="s">
        <v>2</v>
      </c>
      <c r="Q1422" t="s">
        <v>8</v>
      </c>
      <c r="R1422" t="s">
        <v>0</v>
      </c>
      <c r="S1422">
        <v>0</v>
      </c>
    </row>
    <row r="1423" spans="1:19" x14ac:dyDescent="0.3">
      <c r="A1423">
        <v>1422</v>
      </c>
      <c r="B1423">
        <v>23.4</v>
      </c>
      <c r="C1423" t="s">
        <v>11</v>
      </c>
      <c r="D1423">
        <v>50237</v>
      </c>
      <c r="E1423" t="s">
        <v>4</v>
      </c>
      <c r="F1423">
        <v>3.3</v>
      </c>
      <c r="G1423">
        <v>84.5</v>
      </c>
      <c r="H1423">
        <v>3</v>
      </c>
      <c r="I1423">
        <v>25.1</v>
      </c>
      <c r="J1423" t="s">
        <v>3</v>
      </c>
      <c r="K1423" t="s">
        <v>3</v>
      </c>
      <c r="L1423">
        <v>4</v>
      </c>
      <c r="M1423">
        <v>2.62</v>
      </c>
      <c r="N1423">
        <v>2.81</v>
      </c>
      <c r="O1423">
        <v>2.81</v>
      </c>
      <c r="P1423" t="s">
        <v>2</v>
      </c>
      <c r="Q1423" t="s">
        <v>13</v>
      </c>
      <c r="R1423" t="s">
        <v>9</v>
      </c>
      <c r="S1423">
        <v>0</v>
      </c>
    </row>
    <row r="1424" spans="1:19" x14ac:dyDescent="0.3">
      <c r="A1424">
        <v>1423</v>
      </c>
      <c r="B1424">
        <v>20.2</v>
      </c>
      <c r="C1424" t="s">
        <v>11</v>
      </c>
      <c r="D1424">
        <v>163370</v>
      </c>
      <c r="E1424" t="s">
        <v>4</v>
      </c>
      <c r="F1424">
        <v>3.49</v>
      </c>
      <c r="G1424">
        <v>89.9</v>
      </c>
      <c r="H1424">
        <v>1</v>
      </c>
      <c r="I1424">
        <v>34.6</v>
      </c>
      <c r="J1424" t="s">
        <v>3</v>
      </c>
      <c r="K1424" t="s">
        <v>4</v>
      </c>
      <c r="L1424">
        <v>3.7</v>
      </c>
      <c r="M1424">
        <v>2.93</v>
      </c>
      <c r="N1424">
        <v>2.62</v>
      </c>
      <c r="O1424">
        <v>2.61</v>
      </c>
      <c r="P1424" t="s">
        <v>7</v>
      </c>
      <c r="Q1424" t="s">
        <v>8</v>
      </c>
      <c r="R1424" t="s">
        <v>9</v>
      </c>
      <c r="S1424">
        <v>0</v>
      </c>
    </row>
    <row r="1425" spans="1:19" x14ac:dyDescent="0.3">
      <c r="A1425">
        <v>1424</v>
      </c>
      <c r="B1425">
        <v>19.2</v>
      </c>
      <c r="C1425" t="s">
        <v>5</v>
      </c>
      <c r="D1425">
        <v>36813</v>
      </c>
      <c r="E1425" t="s">
        <v>3</v>
      </c>
      <c r="F1425">
        <v>4.26</v>
      </c>
      <c r="G1425">
        <v>69.400000000000006</v>
      </c>
      <c r="H1425">
        <v>1</v>
      </c>
      <c r="I1425">
        <v>39.5</v>
      </c>
      <c r="J1425" t="s">
        <v>3</v>
      </c>
      <c r="K1425" t="s">
        <v>4</v>
      </c>
      <c r="L1425">
        <v>6.5</v>
      </c>
      <c r="M1425">
        <v>4</v>
      </c>
      <c r="N1425">
        <v>3.79</v>
      </c>
      <c r="O1425">
        <v>3.79</v>
      </c>
      <c r="P1425" t="s">
        <v>2</v>
      </c>
      <c r="Q1425" t="s">
        <v>1</v>
      </c>
      <c r="R1425" t="s">
        <v>9</v>
      </c>
      <c r="S1425">
        <v>0</v>
      </c>
    </row>
    <row r="1426" spans="1:19" x14ac:dyDescent="0.3">
      <c r="A1426">
        <v>1425</v>
      </c>
      <c r="B1426">
        <v>18.7</v>
      </c>
      <c r="C1426" t="s">
        <v>5</v>
      </c>
      <c r="D1426">
        <v>49861</v>
      </c>
      <c r="E1426" t="s">
        <v>4</v>
      </c>
      <c r="F1426">
        <v>3.05</v>
      </c>
      <c r="G1426">
        <v>92.1</v>
      </c>
      <c r="H1426">
        <v>2</v>
      </c>
      <c r="I1426">
        <v>26.6</v>
      </c>
      <c r="J1426" t="s">
        <v>3</v>
      </c>
      <c r="K1426" t="s">
        <v>4</v>
      </c>
      <c r="L1426">
        <v>4.8</v>
      </c>
      <c r="M1426">
        <v>2.44</v>
      </c>
      <c r="N1426">
        <v>2.2200000000000002</v>
      </c>
      <c r="O1426">
        <v>2.2599999999999998</v>
      </c>
      <c r="P1426" t="s">
        <v>12</v>
      </c>
      <c r="Q1426" t="s">
        <v>8</v>
      </c>
      <c r="R1426" t="s">
        <v>0</v>
      </c>
      <c r="S1426">
        <v>0</v>
      </c>
    </row>
    <row r="1427" spans="1:19" x14ac:dyDescent="0.3">
      <c r="A1427">
        <v>1426</v>
      </c>
      <c r="B1427">
        <v>17</v>
      </c>
      <c r="C1427" t="s">
        <v>11</v>
      </c>
      <c r="D1427">
        <v>45076</v>
      </c>
      <c r="E1427" t="s">
        <v>4</v>
      </c>
      <c r="F1427">
        <v>2.2000000000000002</v>
      </c>
      <c r="G1427">
        <v>84.7</v>
      </c>
      <c r="H1427">
        <v>0</v>
      </c>
      <c r="I1427">
        <v>20.399999999999999</v>
      </c>
      <c r="J1427" t="s">
        <v>3</v>
      </c>
      <c r="K1427" t="s">
        <v>4</v>
      </c>
      <c r="L1427">
        <v>5.5</v>
      </c>
      <c r="M1427">
        <v>3.92</v>
      </c>
      <c r="N1427">
        <v>4</v>
      </c>
      <c r="O1427">
        <v>4</v>
      </c>
      <c r="P1427" t="s">
        <v>7</v>
      </c>
      <c r="Q1427" t="s">
        <v>6</v>
      </c>
      <c r="R1427" t="s">
        <v>0</v>
      </c>
      <c r="S1427">
        <v>0</v>
      </c>
    </row>
    <row r="1428" spans="1:19" x14ac:dyDescent="0.3">
      <c r="A1428">
        <v>1427</v>
      </c>
      <c r="B1428">
        <v>25.5</v>
      </c>
      <c r="C1428" t="s">
        <v>11</v>
      </c>
      <c r="D1428">
        <v>25000</v>
      </c>
      <c r="E1428" t="s">
        <v>4</v>
      </c>
      <c r="F1428">
        <v>4.46</v>
      </c>
      <c r="G1428">
        <v>81.8</v>
      </c>
      <c r="H1428">
        <v>0</v>
      </c>
      <c r="I1428">
        <v>31.4</v>
      </c>
      <c r="J1428" t="s">
        <v>4</v>
      </c>
      <c r="K1428" t="s">
        <v>3</v>
      </c>
      <c r="L1428">
        <v>4.0999999999999996</v>
      </c>
      <c r="M1428">
        <v>2.71</v>
      </c>
      <c r="N1428">
        <v>2.71</v>
      </c>
      <c r="O1428">
        <v>2.73</v>
      </c>
      <c r="P1428" t="s">
        <v>10</v>
      </c>
      <c r="Q1428" t="s">
        <v>6</v>
      </c>
      <c r="R1428" t="s">
        <v>15</v>
      </c>
      <c r="S1428">
        <v>0</v>
      </c>
    </row>
    <row r="1429" spans="1:19" x14ac:dyDescent="0.3">
      <c r="A1429">
        <v>1428</v>
      </c>
      <c r="B1429">
        <v>18.600000000000001</v>
      </c>
      <c r="C1429" t="s">
        <v>11</v>
      </c>
      <c r="D1429">
        <v>42256</v>
      </c>
      <c r="E1429" t="s">
        <v>4</v>
      </c>
      <c r="F1429">
        <v>3.66</v>
      </c>
      <c r="G1429">
        <v>76.5</v>
      </c>
      <c r="H1429">
        <v>1</v>
      </c>
      <c r="I1429">
        <v>27.5</v>
      </c>
      <c r="J1429" t="s">
        <v>3</v>
      </c>
      <c r="K1429" t="s">
        <v>3</v>
      </c>
      <c r="L1429">
        <v>4.5</v>
      </c>
      <c r="M1429">
        <v>1.82</v>
      </c>
      <c r="N1429">
        <v>1.85</v>
      </c>
      <c r="O1429">
        <v>1.85</v>
      </c>
      <c r="P1429" t="s">
        <v>12</v>
      </c>
      <c r="Q1429" t="s">
        <v>13</v>
      </c>
      <c r="R1429" t="s">
        <v>15</v>
      </c>
      <c r="S1429">
        <v>0</v>
      </c>
    </row>
    <row r="1430" spans="1:19" x14ac:dyDescent="0.3">
      <c r="A1430">
        <v>1429</v>
      </c>
      <c r="B1430">
        <v>20.5</v>
      </c>
      <c r="C1430" t="s">
        <v>11</v>
      </c>
      <c r="D1430">
        <v>35735</v>
      </c>
      <c r="E1430" t="s">
        <v>4</v>
      </c>
      <c r="F1430">
        <v>4.7</v>
      </c>
      <c r="G1430">
        <v>84.8</v>
      </c>
      <c r="H1430">
        <v>1</v>
      </c>
      <c r="I1430">
        <v>12.4</v>
      </c>
      <c r="J1430" t="s">
        <v>3</v>
      </c>
      <c r="K1430" t="s">
        <v>3</v>
      </c>
      <c r="L1430">
        <v>4.5999999999999996</v>
      </c>
      <c r="M1430">
        <v>2.97</v>
      </c>
      <c r="N1430">
        <v>2.81</v>
      </c>
      <c r="O1430">
        <v>2.81</v>
      </c>
      <c r="P1430" t="s">
        <v>10</v>
      </c>
      <c r="Q1430" t="s">
        <v>6</v>
      </c>
      <c r="R1430" t="s">
        <v>9</v>
      </c>
      <c r="S1430">
        <v>1</v>
      </c>
    </row>
    <row r="1431" spans="1:19" x14ac:dyDescent="0.3">
      <c r="A1431">
        <v>1430</v>
      </c>
      <c r="B1431">
        <v>20.399999999999999</v>
      </c>
      <c r="C1431" t="s">
        <v>11</v>
      </c>
      <c r="D1431">
        <v>25442</v>
      </c>
      <c r="E1431" t="s">
        <v>4</v>
      </c>
      <c r="F1431">
        <v>3.26</v>
      </c>
      <c r="G1431">
        <v>74.900000000000006</v>
      </c>
      <c r="H1431">
        <v>4</v>
      </c>
      <c r="I1431">
        <v>24.6</v>
      </c>
      <c r="J1431" t="s">
        <v>3</v>
      </c>
      <c r="K1431" t="s">
        <v>4</v>
      </c>
      <c r="L1431">
        <v>4.4000000000000004</v>
      </c>
      <c r="M1431">
        <v>2.33</v>
      </c>
      <c r="N1431">
        <v>2.71</v>
      </c>
      <c r="O1431">
        <v>2.64</v>
      </c>
      <c r="P1431" t="s">
        <v>12</v>
      </c>
      <c r="Q1431" t="s">
        <v>8</v>
      </c>
      <c r="R1431" t="s">
        <v>0</v>
      </c>
      <c r="S1431">
        <v>0</v>
      </c>
    </row>
    <row r="1432" spans="1:19" x14ac:dyDescent="0.3">
      <c r="A1432">
        <v>1431</v>
      </c>
      <c r="B1432">
        <v>21.7</v>
      </c>
      <c r="C1432" t="s">
        <v>11</v>
      </c>
      <c r="D1432">
        <v>25000</v>
      </c>
      <c r="E1432" t="s">
        <v>3</v>
      </c>
      <c r="F1432">
        <v>4.1100000000000003</v>
      </c>
      <c r="G1432">
        <v>66.099999999999994</v>
      </c>
      <c r="H1432">
        <v>0</v>
      </c>
      <c r="I1432">
        <v>22.9</v>
      </c>
      <c r="J1432" t="s">
        <v>4</v>
      </c>
      <c r="K1432" t="s">
        <v>3</v>
      </c>
      <c r="L1432">
        <v>4.8</v>
      </c>
      <c r="M1432">
        <v>1.87</v>
      </c>
      <c r="N1432">
        <v>1.45</v>
      </c>
      <c r="O1432">
        <v>1.46</v>
      </c>
      <c r="P1432" t="s">
        <v>12</v>
      </c>
      <c r="Q1432" t="s">
        <v>6</v>
      </c>
      <c r="R1432" t="s">
        <v>15</v>
      </c>
      <c r="S1432">
        <v>0</v>
      </c>
    </row>
    <row r="1433" spans="1:19" x14ac:dyDescent="0.3">
      <c r="A1433">
        <v>1432</v>
      </c>
      <c r="B1433">
        <v>22.8</v>
      </c>
      <c r="C1433" t="s">
        <v>11</v>
      </c>
      <c r="D1433">
        <v>45089</v>
      </c>
      <c r="E1433" t="s">
        <v>3</v>
      </c>
      <c r="F1433">
        <v>1.65</v>
      </c>
      <c r="G1433">
        <v>76.3</v>
      </c>
      <c r="H1433">
        <v>1</v>
      </c>
      <c r="I1433">
        <v>30.3</v>
      </c>
      <c r="J1433" t="s">
        <v>4</v>
      </c>
      <c r="K1433" t="s">
        <v>4</v>
      </c>
      <c r="L1433">
        <v>5.9</v>
      </c>
      <c r="M1433">
        <v>1.9</v>
      </c>
      <c r="N1433">
        <v>2.0499999999999998</v>
      </c>
      <c r="O1433">
        <v>2.0699999999999998</v>
      </c>
      <c r="P1433" t="s">
        <v>12</v>
      </c>
      <c r="Q1433" t="s">
        <v>1</v>
      </c>
      <c r="R1433" t="s">
        <v>15</v>
      </c>
      <c r="S1433">
        <v>1</v>
      </c>
    </row>
    <row r="1434" spans="1:19" x14ac:dyDescent="0.3">
      <c r="A1434">
        <v>1433</v>
      </c>
      <c r="B1434">
        <v>22.9</v>
      </c>
      <c r="C1434" t="s">
        <v>11</v>
      </c>
      <c r="D1434">
        <v>25000</v>
      </c>
      <c r="E1434" t="s">
        <v>4</v>
      </c>
      <c r="F1434">
        <v>4.79</v>
      </c>
      <c r="G1434">
        <v>79.8</v>
      </c>
      <c r="H1434">
        <v>0</v>
      </c>
      <c r="I1434">
        <v>21.2</v>
      </c>
      <c r="J1434" t="s">
        <v>4</v>
      </c>
      <c r="K1434" t="s">
        <v>4</v>
      </c>
      <c r="L1434">
        <v>8</v>
      </c>
      <c r="M1434">
        <v>0.42</v>
      </c>
      <c r="N1434">
        <v>0.21</v>
      </c>
      <c r="O1434">
        <v>0.21</v>
      </c>
      <c r="P1434" t="s">
        <v>12</v>
      </c>
      <c r="Q1434" t="s">
        <v>1</v>
      </c>
      <c r="R1434" t="s">
        <v>9</v>
      </c>
      <c r="S1434">
        <v>0</v>
      </c>
    </row>
    <row r="1435" spans="1:19" x14ac:dyDescent="0.3">
      <c r="A1435">
        <v>1434</v>
      </c>
      <c r="B1435">
        <v>19.7</v>
      </c>
      <c r="C1435" t="s">
        <v>11</v>
      </c>
      <c r="D1435">
        <v>106958</v>
      </c>
      <c r="E1435" t="s">
        <v>4</v>
      </c>
      <c r="F1435">
        <v>3.3</v>
      </c>
      <c r="G1435">
        <v>86.9</v>
      </c>
      <c r="H1435">
        <v>0</v>
      </c>
      <c r="I1435">
        <v>23.4</v>
      </c>
      <c r="J1435" t="s">
        <v>4</v>
      </c>
      <c r="K1435" t="s">
        <v>3</v>
      </c>
      <c r="L1435">
        <v>6.9</v>
      </c>
      <c r="M1435">
        <v>3.42</v>
      </c>
      <c r="N1435">
        <v>3.45</v>
      </c>
      <c r="O1435">
        <v>3.45</v>
      </c>
      <c r="P1435" t="s">
        <v>2</v>
      </c>
      <c r="Q1435" t="s">
        <v>1</v>
      </c>
      <c r="R1435" t="s">
        <v>15</v>
      </c>
      <c r="S1435">
        <v>0</v>
      </c>
    </row>
    <row r="1436" spans="1:19" x14ac:dyDescent="0.3">
      <c r="A1436">
        <v>1435</v>
      </c>
      <c r="B1436">
        <v>20.6</v>
      </c>
      <c r="C1436" t="s">
        <v>5</v>
      </c>
      <c r="D1436">
        <v>31841</v>
      </c>
      <c r="E1436" t="s">
        <v>4</v>
      </c>
      <c r="F1436">
        <v>3.82</v>
      </c>
      <c r="G1436">
        <v>80.2</v>
      </c>
      <c r="H1436">
        <v>0</v>
      </c>
      <c r="I1436">
        <v>27.8</v>
      </c>
      <c r="J1436" t="s">
        <v>4</v>
      </c>
      <c r="K1436" t="s">
        <v>3</v>
      </c>
      <c r="L1436">
        <v>4.9000000000000004</v>
      </c>
      <c r="M1436">
        <v>2.7</v>
      </c>
      <c r="N1436">
        <v>2.93</v>
      </c>
      <c r="O1436">
        <v>2.96</v>
      </c>
      <c r="P1436" t="s">
        <v>12</v>
      </c>
      <c r="Q1436" t="s">
        <v>1</v>
      </c>
      <c r="R1436" t="s">
        <v>0</v>
      </c>
      <c r="S1436">
        <v>0</v>
      </c>
    </row>
    <row r="1437" spans="1:19" x14ac:dyDescent="0.3">
      <c r="A1437">
        <v>1436</v>
      </c>
      <c r="B1437">
        <v>21.6</v>
      </c>
      <c r="C1437" t="s">
        <v>5</v>
      </c>
      <c r="D1437">
        <v>25000</v>
      </c>
      <c r="E1437" t="s">
        <v>3</v>
      </c>
      <c r="F1437">
        <v>3.8</v>
      </c>
      <c r="G1437">
        <v>72.8</v>
      </c>
      <c r="H1437">
        <v>2</v>
      </c>
      <c r="I1437">
        <v>37.700000000000003</v>
      </c>
      <c r="J1437" t="s">
        <v>3</v>
      </c>
      <c r="K1437" t="s">
        <v>3</v>
      </c>
      <c r="L1437">
        <v>4.4000000000000004</v>
      </c>
      <c r="M1437">
        <v>2.85</v>
      </c>
      <c r="N1437">
        <v>2.59</v>
      </c>
      <c r="O1437">
        <v>2.59</v>
      </c>
      <c r="P1437" t="s">
        <v>7</v>
      </c>
      <c r="Q1437" t="s">
        <v>13</v>
      </c>
      <c r="R1437" t="s">
        <v>9</v>
      </c>
      <c r="S1437">
        <v>0</v>
      </c>
    </row>
    <row r="1438" spans="1:19" x14ac:dyDescent="0.3">
      <c r="A1438">
        <v>1437</v>
      </c>
      <c r="B1438">
        <v>20.5</v>
      </c>
      <c r="C1438" t="s">
        <v>11</v>
      </c>
      <c r="D1438">
        <v>25000</v>
      </c>
      <c r="E1438" t="s">
        <v>4</v>
      </c>
      <c r="F1438">
        <v>3.55</v>
      </c>
      <c r="G1438">
        <v>76.7</v>
      </c>
      <c r="H1438">
        <v>1</v>
      </c>
      <c r="I1438">
        <v>31.1</v>
      </c>
      <c r="J1438" t="s">
        <v>3</v>
      </c>
      <c r="K1438" t="s">
        <v>4</v>
      </c>
      <c r="L1438">
        <v>2.2999999999999998</v>
      </c>
      <c r="M1438">
        <v>1.86</v>
      </c>
      <c r="N1438">
        <v>2.0499999999999998</v>
      </c>
      <c r="O1438">
        <v>1.96</v>
      </c>
      <c r="P1438" t="s">
        <v>10</v>
      </c>
      <c r="Q1438" t="s">
        <v>6</v>
      </c>
      <c r="R1438" t="s">
        <v>9</v>
      </c>
      <c r="S1438">
        <v>0</v>
      </c>
    </row>
    <row r="1439" spans="1:19" x14ac:dyDescent="0.3">
      <c r="A1439">
        <v>1438</v>
      </c>
      <c r="B1439">
        <v>24.5</v>
      </c>
      <c r="C1439" t="s">
        <v>5</v>
      </c>
      <c r="D1439">
        <v>25163</v>
      </c>
      <c r="E1439" t="s">
        <v>4</v>
      </c>
      <c r="F1439">
        <v>4.08</v>
      </c>
      <c r="G1439">
        <v>82.2</v>
      </c>
      <c r="H1439">
        <v>0</v>
      </c>
      <c r="I1439">
        <v>62</v>
      </c>
      <c r="J1439" t="s">
        <v>3</v>
      </c>
      <c r="K1439" t="s">
        <v>3</v>
      </c>
      <c r="L1439">
        <v>4.3</v>
      </c>
      <c r="M1439">
        <v>2.62</v>
      </c>
      <c r="N1439">
        <v>2.62</v>
      </c>
      <c r="O1439">
        <v>2.65</v>
      </c>
      <c r="P1439" t="s">
        <v>7</v>
      </c>
      <c r="Q1439" t="s">
        <v>14</v>
      </c>
      <c r="R1439" t="s">
        <v>9</v>
      </c>
      <c r="S1439">
        <v>0</v>
      </c>
    </row>
    <row r="1440" spans="1:19" x14ac:dyDescent="0.3">
      <c r="A1440">
        <v>1439</v>
      </c>
      <c r="B1440">
        <v>22.1</v>
      </c>
      <c r="C1440" t="s">
        <v>11</v>
      </c>
      <c r="D1440">
        <v>126428</v>
      </c>
      <c r="E1440" t="s">
        <v>4</v>
      </c>
      <c r="F1440">
        <v>4.0199999999999996</v>
      </c>
      <c r="G1440">
        <v>87.2</v>
      </c>
      <c r="H1440">
        <v>3</v>
      </c>
      <c r="I1440">
        <v>14.8</v>
      </c>
      <c r="J1440" t="s">
        <v>3</v>
      </c>
      <c r="K1440" t="s">
        <v>3</v>
      </c>
      <c r="L1440">
        <v>3.5</v>
      </c>
      <c r="M1440">
        <v>3.54</v>
      </c>
      <c r="N1440">
        <v>3.26</v>
      </c>
      <c r="O1440">
        <v>3.26</v>
      </c>
      <c r="P1440" t="s">
        <v>2</v>
      </c>
      <c r="Q1440" t="s">
        <v>13</v>
      </c>
      <c r="R1440" t="s">
        <v>15</v>
      </c>
      <c r="S1440">
        <v>0</v>
      </c>
    </row>
    <row r="1441" spans="1:19" x14ac:dyDescent="0.3">
      <c r="A1441">
        <v>1440</v>
      </c>
      <c r="B1441">
        <v>22.6</v>
      </c>
      <c r="C1441" t="s">
        <v>5</v>
      </c>
      <c r="D1441">
        <v>25000</v>
      </c>
      <c r="E1441" t="s">
        <v>4</v>
      </c>
      <c r="F1441">
        <v>4.29</v>
      </c>
      <c r="G1441">
        <v>88.5</v>
      </c>
      <c r="H1441">
        <v>2</v>
      </c>
      <c r="I1441">
        <v>40.9</v>
      </c>
      <c r="J1441" t="s">
        <v>4</v>
      </c>
      <c r="K1441" t="s">
        <v>3</v>
      </c>
      <c r="L1441">
        <v>5.6</v>
      </c>
      <c r="M1441">
        <v>0</v>
      </c>
      <c r="N1441">
        <v>0.28999999999999998</v>
      </c>
      <c r="O1441">
        <v>0.32</v>
      </c>
      <c r="P1441" t="s">
        <v>10</v>
      </c>
      <c r="Q1441" t="s">
        <v>14</v>
      </c>
      <c r="R1441" t="s">
        <v>15</v>
      </c>
      <c r="S1441">
        <v>0</v>
      </c>
    </row>
    <row r="1442" spans="1:19" x14ac:dyDescent="0.3">
      <c r="A1442">
        <v>1441</v>
      </c>
      <c r="B1442">
        <v>22.5</v>
      </c>
      <c r="C1442" t="s">
        <v>11</v>
      </c>
      <c r="D1442">
        <v>27730</v>
      </c>
      <c r="E1442" t="s">
        <v>4</v>
      </c>
      <c r="F1442">
        <v>2.36</v>
      </c>
      <c r="G1442">
        <v>71.099999999999994</v>
      </c>
      <c r="H1442">
        <v>3</v>
      </c>
      <c r="I1442">
        <v>29.1</v>
      </c>
      <c r="J1442" t="s">
        <v>3</v>
      </c>
      <c r="K1442" t="s">
        <v>3</v>
      </c>
      <c r="L1442">
        <v>8.5</v>
      </c>
      <c r="M1442">
        <v>0</v>
      </c>
      <c r="N1442">
        <v>0</v>
      </c>
      <c r="O1442">
        <v>0</v>
      </c>
      <c r="P1442" t="s">
        <v>2</v>
      </c>
      <c r="Q1442" t="s">
        <v>13</v>
      </c>
      <c r="R1442" t="s">
        <v>9</v>
      </c>
      <c r="S1442">
        <v>1</v>
      </c>
    </row>
    <row r="1443" spans="1:19" x14ac:dyDescent="0.3">
      <c r="A1443">
        <v>1442</v>
      </c>
      <c r="B1443">
        <v>23.6</v>
      </c>
      <c r="C1443" t="s">
        <v>5</v>
      </c>
      <c r="D1443">
        <v>25000</v>
      </c>
      <c r="E1443" t="s">
        <v>4</v>
      </c>
      <c r="F1443">
        <v>5</v>
      </c>
      <c r="G1443">
        <v>82.4</v>
      </c>
      <c r="H1443">
        <v>3</v>
      </c>
      <c r="I1443">
        <v>13.3</v>
      </c>
      <c r="J1443" t="s">
        <v>3</v>
      </c>
      <c r="K1443" t="s">
        <v>4</v>
      </c>
      <c r="L1443">
        <v>4.8</v>
      </c>
      <c r="M1443">
        <v>4</v>
      </c>
      <c r="N1443">
        <v>3.66</v>
      </c>
      <c r="O1443">
        <v>3.63</v>
      </c>
      <c r="P1443" t="s">
        <v>10</v>
      </c>
      <c r="Q1443" t="s">
        <v>14</v>
      </c>
      <c r="R1443" t="s">
        <v>15</v>
      </c>
      <c r="S1443">
        <v>0</v>
      </c>
    </row>
    <row r="1444" spans="1:19" x14ac:dyDescent="0.3">
      <c r="A1444">
        <v>1443</v>
      </c>
      <c r="B1444">
        <v>21.4</v>
      </c>
      <c r="C1444" t="s">
        <v>11</v>
      </c>
      <c r="D1444">
        <v>40117</v>
      </c>
      <c r="E1444" t="s">
        <v>4</v>
      </c>
      <c r="F1444">
        <v>3.84</v>
      </c>
      <c r="G1444">
        <v>88.2</v>
      </c>
      <c r="H1444">
        <v>2</v>
      </c>
      <c r="I1444">
        <v>25.5</v>
      </c>
      <c r="J1444" t="s">
        <v>3</v>
      </c>
      <c r="K1444" t="s">
        <v>3</v>
      </c>
      <c r="L1444">
        <v>2.9</v>
      </c>
      <c r="M1444">
        <v>1.84</v>
      </c>
      <c r="N1444">
        <v>2.2999999999999998</v>
      </c>
      <c r="O1444">
        <v>2.33</v>
      </c>
      <c r="P1444" t="s">
        <v>10</v>
      </c>
      <c r="Q1444" t="s">
        <v>1</v>
      </c>
      <c r="R1444" t="s">
        <v>15</v>
      </c>
      <c r="S1444">
        <v>0</v>
      </c>
    </row>
    <row r="1445" spans="1:19" x14ac:dyDescent="0.3">
      <c r="A1445">
        <v>1444</v>
      </c>
      <c r="B1445">
        <v>18.100000000000001</v>
      </c>
      <c r="C1445" t="s">
        <v>11</v>
      </c>
      <c r="D1445">
        <v>25000</v>
      </c>
      <c r="E1445" t="s">
        <v>4</v>
      </c>
      <c r="F1445">
        <v>4.4400000000000004</v>
      </c>
      <c r="G1445">
        <v>75</v>
      </c>
      <c r="H1445">
        <v>1</v>
      </c>
      <c r="I1445">
        <v>11.8</v>
      </c>
      <c r="J1445" t="s">
        <v>4</v>
      </c>
      <c r="K1445" t="s">
        <v>3</v>
      </c>
      <c r="L1445">
        <v>5.0999999999999996</v>
      </c>
      <c r="M1445">
        <v>1.42</v>
      </c>
      <c r="N1445">
        <v>1.26</v>
      </c>
      <c r="O1445">
        <v>1.27</v>
      </c>
      <c r="P1445" t="s">
        <v>12</v>
      </c>
      <c r="Q1445" t="s">
        <v>6</v>
      </c>
      <c r="R1445" t="s">
        <v>15</v>
      </c>
      <c r="S1445">
        <v>1</v>
      </c>
    </row>
    <row r="1446" spans="1:19" x14ac:dyDescent="0.3">
      <c r="A1446">
        <v>1445</v>
      </c>
      <c r="B1446">
        <v>21.9</v>
      </c>
      <c r="C1446" t="s">
        <v>5</v>
      </c>
      <c r="D1446">
        <v>25000</v>
      </c>
      <c r="E1446" t="s">
        <v>4</v>
      </c>
      <c r="F1446">
        <v>3.83</v>
      </c>
      <c r="G1446">
        <v>96.4</v>
      </c>
      <c r="H1446">
        <v>0</v>
      </c>
      <c r="I1446">
        <v>31</v>
      </c>
      <c r="J1446" t="s">
        <v>3</v>
      </c>
      <c r="K1446" t="s">
        <v>3</v>
      </c>
      <c r="L1446">
        <v>4.7</v>
      </c>
      <c r="M1446">
        <v>3.45</v>
      </c>
      <c r="N1446">
        <v>2.96</v>
      </c>
      <c r="O1446">
        <v>2.96</v>
      </c>
      <c r="P1446" t="s">
        <v>2</v>
      </c>
      <c r="Q1446" t="s">
        <v>8</v>
      </c>
      <c r="R1446" t="s">
        <v>15</v>
      </c>
      <c r="S1446">
        <v>0</v>
      </c>
    </row>
    <row r="1447" spans="1:19" x14ac:dyDescent="0.3">
      <c r="A1447">
        <v>1446</v>
      </c>
      <c r="B1447">
        <v>19.600000000000001</v>
      </c>
      <c r="C1447" t="s">
        <v>11</v>
      </c>
      <c r="D1447">
        <v>26445</v>
      </c>
      <c r="E1447" t="s">
        <v>4</v>
      </c>
      <c r="F1447">
        <v>2.61</v>
      </c>
      <c r="G1447">
        <v>78</v>
      </c>
      <c r="H1447">
        <v>2</v>
      </c>
      <c r="I1447">
        <v>26.3</v>
      </c>
      <c r="J1447" t="s">
        <v>4</v>
      </c>
      <c r="K1447" t="s">
        <v>3</v>
      </c>
      <c r="L1447">
        <v>7.8</v>
      </c>
      <c r="M1447">
        <v>1.94</v>
      </c>
      <c r="N1447">
        <v>2.16</v>
      </c>
      <c r="O1447">
        <v>2.19</v>
      </c>
      <c r="P1447" t="s">
        <v>12</v>
      </c>
      <c r="Q1447" t="s">
        <v>8</v>
      </c>
      <c r="R1447" t="s">
        <v>9</v>
      </c>
      <c r="S1447">
        <v>1</v>
      </c>
    </row>
    <row r="1448" spans="1:19" x14ac:dyDescent="0.3">
      <c r="A1448">
        <v>1447</v>
      </c>
      <c r="B1448">
        <v>19.8</v>
      </c>
      <c r="C1448" t="s">
        <v>5</v>
      </c>
      <c r="D1448">
        <v>25000</v>
      </c>
      <c r="E1448" t="s">
        <v>4</v>
      </c>
      <c r="F1448">
        <v>7.29</v>
      </c>
      <c r="G1448">
        <v>90.2</v>
      </c>
      <c r="H1448">
        <v>3</v>
      </c>
      <c r="I1448">
        <v>21.8</v>
      </c>
      <c r="J1448" t="s">
        <v>4</v>
      </c>
      <c r="K1448" t="s">
        <v>4</v>
      </c>
      <c r="L1448">
        <v>2.1</v>
      </c>
      <c r="M1448">
        <v>2.78</v>
      </c>
      <c r="N1448">
        <v>3.07</v>
      </c>
      <c r="O1448">
        <v>3.07</v>
      </c>
      <c r="P1448" t="s">
        <v>2</v>
      </c>
      <c r="Q1448" t="s">
        <v>13</v>
      </c>
      <c r="R1448" t="s">
        <v>15</v>
      </c>
      <c r="S1448">
        <v>0</v>
      </c>
    </row>
    <row r="1449" spans="1:19" x14ac:dyDescent="0.3">
      <c r="A1449">
        <v>1448</v>
      </c>
      <c r="B1449">
        <v>22.3</v>
      </c>
      <c r="C1449" t="s">
        <v>5</v>
      </c>
      <c r="D1449">
        <v>25000</v>
      </c>
      <c r="E1449" t="s">
        <v>4</v>
      </c>
      <c r="F1449">
        <v>4.16</v>
      </c>
      <c r="G1449">
        <v>87.5</v>
      </c>
      <c r="H1449">
        <v>0</v>
      </c>
      <c r="I1449">
        <v>17.3</v>
      </c>
      <c r="J1449" t="s">
        <v>3</v>
      </c>
      <c r="K1449" t="s">
        <v>4</v>
      </c>
      <c r="L1449">
        <v>3.7</v>
      </c>
      <c r="M1449">
        <v>4</v>
      </c>
      <c r="N1449">
        <v>4</v>
      </c>
      <c r="O1449">
        <v>4</v>
      </c>
      <c r="P1449" t="s">
        <v>7</v>
      </c>
      <c r="Q1449" t="s">
        <v>14</v>
      </c>
      <c r="R1449" t="s">
        <v>15</v>
      </c>
      <c r="S1449">
        <v>0</v>
      </c>
    </row>
    <row r="1450" spans="1:19" x14ac:dyDescent="0.3">
      <c r="A1450">
        <v>1449</v>
      </c>
      <c r="B1450">
        <v>23.7</v>
      </c>
      <c r="C1450" t="s">
        <v>5</v>
      </c>
      <c r="D1450">
        <v>25000</v>
      </c>
      <c r="E1450" t="s">
        <v>4</v>
      </c>
      <c r="F1450">
        <v>1.95</v>
      </c>
      <c r="G1450">
        <v>76.5</v>
      </c>
      <c r="H1450">
        <v>1</v>
      </c>
      <c r="I1450">
        <v>42.2</v>
      </c>
      <c r="J1450" t="s">
        <v>3</v>
      </c>
      <c r="K1450" t="s">
        <v>4</v>
      </c>
      <c r="L1450">
        <v>6.9</v>
      </c>
      <c r="M1450">
        <v>1.98</v>
      </c>
      <c r="N1450">
        <v>1.93</v>
      </c>
      <c r="O1450">
        <v>1.93</v>
      </c>
      <c r="P1450" t="s">
        <v>2</v>
      </c>
      <c r="Q1450" t="s">
        <v>6</v>
      </c>
      <c r="R1450" t="s">
        <v>17</v>
      </c>
      <c r="S1450">
        <v>0</v>
      </c>
    </row>
    <row r="1451" spans="1:19" x14ac:dyDescent="0.3">
      <c r="A1451">
        <v>1450</v>
      </c>
      <c r="B1451">
        <v>21</v>
      </c>
      <c r="C1451" t="s">
        <v>5</v>
      </c>
      <c r="D1451">
        <v>60525</v>
      </c>
      <c r="E1451" t="s">
        <v>4</v>
      </c>
      <c r="F1451">
        <v>3.88</v>
      </c>
      <c r="G1451">
        <v>82.1</v>
      </c>
      <c r="H1451">
        <v>0</v>
      </c>
      <c r="I1451">
        <v>28.1</v>
      </c>
      <c r="J1451" t="s">
        <v>3</v>
      </c>
      <c r="K1451" t="s">
        <v>3</v>
      </c>
      <c r="L1451">
        <v>2.7</v>
      </c>
      <c r="M1451">
        <v>4</v>
      </c>
      <c r="N1451">
        <v>3.92</v>
      </c>
      <c r="O1451">
        <v>3.92</v>
      </c>
      <c r="P1451" t="s">
        <v>2</v>
      </c>
      <c r="Q1451" t="s">
        <v>8</v>
      </c>
      <c r="R1451" t="s">
        <v>9</v>
      </c>
      <c r="S1451">
        <v>0</v>
      </c>
    </row>
    <row r="1452" spans="1:19" x14ac:dyDescent="0.3">
      <c r="A1452">
        <v>1451</v>
      </c>
      <c r="B1452">
        <v>21.7</v>
      </c>
      <c r="C1452" t="s">
        <v>11</v>
      </c>
      <c r="D1452">
        <v>25000</v>
      </c>
      <c r="E1452" t="s">
        <v>3</v>
      </c>
      <c r="F1452">
        <v>3.49</v>
      </c>
      <c r="G1452">
        <v>92.9</v>
      </c>
      <c r="H1452">
        <v>2</v>
      </c>
      <c r="I1452">
        <v>32.5</v>
      </c>
      <c r="J1452" t="s">
        <v>4</v>
      </c>
      <c r="K1452" t="s">
        <v>4</v>
      </c>
      <c r="L1452">
        <v>6.5</v>
      </c>
      <c r="M1452">
        <v>1.52</v>
      </c>
      <c r="N1452">
        <v>0.89</v>
      </c>
      <c r="O1452">
        <v>0.89</v>
      </c>
      <c r="P1452" t="s">
        <v>2</v>
      </c>
      <c r="Q1452" t="s">
        <v>6</v>
      </c>
      <c r="R1452" t="s">
        <v>9</v>
      </c>
      <c r="S1452">
        <v>0</v>
      </c>
    </row>
    <row r="1453" spans="1:19" x14ac:dyDescent="0.3">
      <c r="A1453">
        <v>1452</v>
      </c>
      <c r="B1453">
        <v>24.7</v>
      </c>
      <c r="C1453" t="s">
        <v>5</v>
      </c>
      <c r="D1453">
        <v>25000</v>
      </c>
      <c r="E1453" t="s">
        <v>4</v>
      </c>
      <c r="F1453">
        <v>3.79</v>
      </c>
      <c r="G1453">
        <v>77.7</v>
      </c>
      <c r="H1453">
        <v>1</v>
      </c>
      <c r="I1453">
        <v>32.1</v>
      </c>
      <c r="J1453" t="s">
        <v>3</v>
      </c>
      <c r="K1453" t="s">
        <v>4</v>
      </c>
      <c r="L1453">
        <v>4.3</v>
      </c>
      <c r="M1453">
        <v>1.1000000000000001</v>
      </c>
      <c r="N1453">
        <v>1.1399999999999999</v>
      </c>
      <c r="O1453">
        <v>1.08</v>
      </c>
      <c r="P1453" t="s">
        <v>10</v>
      </c>
      <c r="Q1453" t="s">
        <v>8</v>
      </c>
      <c r="R1453" t="s">
        <v>15</v>
      </c>
      <c r="S1453">
        <v>1</v>
      </c>
    </row>
    <row r="1454" spans="1:19" x14ac:dyDescent="0.3">
      <c r="A1454">
        <v>1453</v>
      </c>
      <c r="B1454">
        <v>21.5</v>
      </c>
      <c r="C1454" t="s">
        <v>11</v>
      </c>
      <c r="D1454">
        <v>25000</v>
      </c>
      <c r="E1454" t="s">
        <v>4</v>
      </c>
      <c r="F1454">
        <v>1.87</v>
      </c>
      <c r="G1454">
        <v>83.4</v>
      </c>
      <c r="H1454">
        <v>2</v>
      </c>
      <c r="I1454">
        <v>31.3</v>
      </c>
      <c r="J1454" t="s">
        <v>3</v>
      </c>
      <c r="K1454" t="s">
        <v>3</v>
      </c>
      <c r="L1454">
        <v>7.3</v>
      </c>
      <c r="M1454">
        <v>1.17</v>
      </c>
      <c r="N1454">
        <v>1.48</v>
      </c>
      <c r="O1454">
        <v>1.5</v>
      </c>
      <c r="P1454" t="s">
        <v>12</v>
      </c>
      <c r="Q1454" t="s">
        <v>6</v>
      </c>
      <c r="R1454" t="s">
        <v>15</v>
      </c>
      <c r="S1454">
        <v>1</v>
      </c>
    </row>
    <row r="1455" spans="1:19" x14ac:dyDescent="0.3">
      <c r="A1455">
        <v>1454</v>
      </c>
      <c r="B1455">
        <v>26.7</v>
      </c>
      <c r="C1455" t="s">
        <v>5</v>
      </c>
      <c r="D1455">
        <v>30718</v>
      </c>
      <c r="E1455" t="s">
        <v>4</v>
      </c>
      <c r="F1455">
        <v>4.04</v>
      </c>
      <c r="G1455">
        <v>70</v>
      </c>
      <c r="H1455">
        <v>1</v>
      </c>
      <c r="I1455">
        <v>26.1</v>
      </c>
      <c r="J1455" t="s">
        <v>4</v>
      </c>
      <c r="K1455" t="s">
        <v>3</v>
      </c>
      <c r="L1455">
        <v>5.4</v>
      </c>
      <c r="M1455">
        <v>1.08</v>
      </c>
      <c r="N1455">
        <v>0.89</v>
      </c>
      <c r="O1455">
        <v>0.86</v>
      </c>
      <c r="P1455" t="s">
        <v>12</v>
      </c>
      <c r="Q1455" t="s">
        <v>8</v>
      </c>
      <c r="R1455" t="s">
        <v>0</v>
      </c>
      <c r="S1455">
        <v>0</v>
      </c>
    </row>
    <row r="1456" spans="1:19" x14ac:dyDescent="0.3">
      <c r="A1456">
        <v>1455</v>
      </c>
      <c r="B1456">
        <v>22.2</v>
      </c>
      <c r="C1456" t="s">
        <v>11</v>
      </c>
      <c r="D1456">
        <v>25000</v>
      </c>
      <c r="E1456" t="s">
        <v>4</v>
      </c>
      <c r="F1456">
        <v>2.87</v>
      </c>
      <c r="G1456">
        <v>84.9</v>
      </c>
      <c r="H1456">
        <v>2</v>
      </c>
      <c r="I1456">
        <v>48.2</v>
      </c>
      <c r="J1456" t="s">
        <v>3</v>
      </c>
      <c r="K1456" t="s">
        <v>3</v>
      </c>
      <c r="L1456">
        <v>5.2</v>
      </c>
      <c r="M1456">
        <v>0.38</v>
      </c>
      <c r="N1456">
        <v>0.1</v>
      </c>
      <c r="O1456">
        <v>0.03</v>
      </c>
      <c r="P1456" t="s">
        <v>7</v>
      </c>
      <c r="Q1456" t="s">
        <v>14</v>
      </c>
      <c r="R1456" t="s">
        <v>15</v>
      </c>
      <c r="S1456">
        <v>1</v>
      </c>
    </row>
    <row r="1457" spans="1:19" x14ac:dyDescent="0.3">
      <c r="A1457">
        <v>1456</v>
      </c>
      <c r="B1457">
        <v>17.100000000000001</v>
      </c>
      <c r="C1457" t="s">
        <v>5</v>
      </c>
      <c r="D1457">
        <v>78872</v>
      </c>
      <c r="E1457" t="s">
        <v>3</v>
      </c>
      <c r="F1457">
        <v>5.92</v>
      </c>
      <c r="G1457">
        <v>78.8</v>
      </c>
      <c r="H1457">
        <v>1</v>
      </c>
      <c r="I1457">
        <v>56.8</v>
      </c>
      <c r="J1457" t="s">
        <v>4</v>
      </c>
      <c r="K1457" t="s">
        <v>3</v>
      </c>
      <c r="L1457">
        <v>6.6</v>
      </c>
      <c r="M1457">
        <v>2.2799999999999998</v>
      </c>
      <c r="N1457">
        <v>1.96</v>
      </c>
      <c r="O1457">
        <v>1.86</v>
      </c>
      <c r="P1457" t="s">
        <v>12</v>
      </c>
      <c r="Q1457" t="s">
        <v>8</v>
      </c>
      <c r="R1457" t="s">
        <v>15</v>
      </c>
      <c r="S1457">
        <v>0</v>
      </c>
    </row>
    <row r="1458" spans="1:19" x14ac:dyDescent="0.3">
      <c r="A1458">
        <v>1457</v>
      </c>
      <c r="B1458">
        <v>22.7</v>
      </c>
      <c r="C1458" t="s">
        <v>11</v>
      </c>
      <c r="D1458">
        <v>50038</v>
      </c>
      <c r="E1458" t="s">
        <v>4</v>
      </c>
      <c r="F1458">
        <v>3.86</v>
      </c>
      <c r="G1458">
        <v>86.2</v>
      </c>
      <c r="H1458">
        <v>0</v>
      </c>
      <c r="I1458">
        <v>47.4</v>
      </c>
      <c r="J1458" t="s">
        <v>3</v>
      </c>
      <c r="K1458" t="s">
        <v>3</v>
      </c>
      <c r="L1458">
        <v>5.5</v>
      </c>
      <c r="M1458">
        <v>2.94</v>
      </c>
      <c r="N1458">
        <v>2.61</v>
      </c>
      <c r="O1458">
        <v>2.56</v>
      </c>
      <c r="P1458" t="s">
        <v>7</v>
      </c>
      <c r="Q1458" t="s">
        <v>1</v>
      </c>
      <c r="R1458" t="s">
        <v>9</v>
      </c>
      <c r="S1458">
        <v>0</v>
      </c>
    </row>
    <row r="1459" spans="1:19" x14ac:dyDescent="0.3">
      <c r="A1459">
        <v>1458</v>
      </c>
      <c r="B1459">
        <v>21.8</v>
      </c>
      <c r="C1459" t="s">
        <v>11</v>
      </c>
      <c r="D1459">
        <v>70130</v>
      </c>
      <c r="E1459" t="s">
        <v>4</v>
      </c>
      <c r="F1459">
        <v>4.93</v>
      </c>
      <c r="G1459">
        <v>75.2</v>
      </c>
      <c r="H1459">
        <v>2</v>
      </c>
      <c r="I1459">
        <v>30.3</v>
      </c>
      <c r="J1459" t="s">
        <v>4</v>
      </c>
      <c r="K1459" t="s">
        <v>3</v>
      </c>
      <c r="L1459">
        <v>3.3</v>
      </c>
      <c r="M1459">
        <v>3.76</v>
      </c>
      <c r="N1459">
        <v>3.44</v>
      </c>
      <c r="O1459">
        <v>3.37</v>
      </c>
      <c r="P1459" t="s">
        <v>7</v>
      </c>
      <c r="Q1459" t="s">
        <v>8</v>
      </c>
      <c r="R1459" t="s">
        <v>9</v>
      </c>
      <c r="S1459">
        <v>0</v>
      </c>
    </row>
    <row r="1460" spans="1:19" x14ac:dyDescent="0.3">
      <c r="A1460">
        <v>1459</v>
      </c>
      <c r="B1460">
        <v>23.8</v>
      </c>
      <c r="C1460" t="s">
        <v>11</v>
      </c>
      <c r="D1460">
        <v>37619</v>
      </c>
      <c r="E1460" t="s">
        <v>4</v>
      </c>
      <c r="F1460">
        <v>5.15</v>
      </c>
      <c r="G1460">
        <v>84.6</v>
      </c>
      <c r="H1460">
        <v>7</v>
      </c>
      <c r="I1460">
        <v>29.4</v>
      </c>
      <c r="J1460" t="s">
        <v>3</v>
      </c>
      <c r="K1460" t="s">
        <v>3</v>
      </c>
      <c r="L1460">
        <v>4.5999999999999996</v>
      </c>
      <c r="M1460">
        <v>0.56000000000000005</v>
      </c>
      <c r="N1460">
        <v>0.75</v>
      </c>
      <c r="O1460">
        <v>0.75</v>
      </c>
      <c r="P1460" t="s">
        <v>2</v>
      </c>
      <c r="Q1460" t="s">
        <v>1</v>
      </c>
      <c r="R1460" t="s">
        <v>15</v>
      </c>
      <c r="S1460">
        <v>1</v>
      </c>
    </row>
    <row r="1461" spans="1:19" x14ac:dyDescent="0.3">
      <c r="A1461">
        <v>1460</v>
      </c>
      <c r="B1461">
        <v>22.5</v>
      </c>
      <c r="C1461" t="s">
        <v>5</v>
      </c>
      <c r="D1461">
        <v>25000</v>
      </c>
      <c r="E1461" t="s">
        <v>4</v>
      </c>
      <c r="F1461">
        <v>4.58</v>
      </c>
      <c r="G1461">
        <v>79.2</v>
      </c>
      <c r="H1461">
        <v>1</v>
      </c>
      <c r="I1461">
        <v>43.1</v>
      </c>
      <c r="J1461" t="s">
        <v>4</v>
      </c>
      <c r="K1461" t="s">
        <v>4</v>
      </c>
      <c r="L1461">
        <v>2.6</v>
      </c>
      <c r="M1461">
        <v>3.54</v>
      </c>
      <c r="N1461">
        <v>3.28</v>
      </c>
      <c r="O1461">
        <v>3.27</v>
      </c>
      <c r="P1461" t="s">
        <v>12</v>
      </c>
      <c r="Q1461" t="s">
        <v>14</v>
      </c>
      <c r="R1461" t="s">
        <v>15</v>
      </c>
      <c r="S1461">
        <v>0</v>
      </c>
    </row>
    <row r="1462" spans="1:19" x14ac:dyDescent="0.3">
      <c r="A1462">
        <v>1461</v>
      </c>
      <c r="B1462">
        <v>20.7</v>
      </c>
      <c r="C1462" t="s">
        <v>11</v>
      </c>
      <c r="D1462">
        <v>74697</v>
      </c>
      <c r="E1462" t="s">
        <v>4</v>
      </c>
      <c r="F1462">
        <v>4.21</v>
      </c>
      <c r="G1462">
        <v>60.9</v>
      </c>
      <c r="H1462">
        <v>2</v>
      </c>
      <c r="I1462">
        <v>20.9</v>
      </c>
      <c r="J1462" t="s">
        <v>4</v>
      </c>
      <c r="K1462" t="s">
        <v>3</v>
      </c>
      <c r="L1462">
        <v>3.9</v>
      </c>
      <c r="M1462">
        <v>2.82</v>
      </c>
      <c r="N1462">
        <v>2.44</v>
      </c>
      <c r="O1462">
        <v>2.44</v>
      </c>
      <c r="P1462" t="s">
        <v>7</v>
      </c>
      <c r="Q1462" t="s">
        <v>13</v>
      </c>
      <c r="R1462" t="s">
        <v>9</v>
      </c>
      <c r="S1462">
        <v>0</v>
      </c>
    </row>
    <row r="1463" spans="1:19" x14ac:dyDescent="0.3">
      <c r="A1463">
        <v>1462</v>
      </c>
      <c r="B1463">
        <v>18.3</v>
      </c>
      <c r="C1463" t="s">
        <v>5</v>
      </c>
      <c r="D1463">
        <v>25000</v>
      </c>
      <c r="E1463" t="s">
        <v>4</v>
      </c>
      <c r="F1463">
        <v>5.43</v>
      </c>
      <c r="G1463">
        <v>82.7</v>
      </c>
      <c r="H1463">
        <v>1</v>
      </c>
      <c r="I1463">
        <v>50.5</v>
      </c>
      <c r="J1463" t="s">
        <v>4</v>
      </c>
      <c r="K1463" t="s">
        <v>3</v>
      </c>
      <c r="L1463">
        <v>1.7</v>
      </c>
      <c r="M1463">
        <v>3.26</v>
      </c>
      <c r="N1463">
        <v>2.97</v>
      </c>
      <c r="O1463">
        <v>3.02</v>
      </c>
      <c r="P1463" t="s">
        <v>10</v>
      </c>
      <c r="Q1463" t="s">
        <v>13</v>
      </c>
      <c r="R1463" t="s">
        <v>9</v>
      </c>
      <c r="S1463">
        <v>0</v>
      </c>
    </row>
    <row r="1464" spans="1:19" x14ac:dyDescent="0.3">
      <c r="A1464">
        <v>1463</v>
      </c>
      <c r="B1464">
        <v>20.5</v>
      </c>
      <c r="C1464" t="s">
        <v>5</v>
      </c>
      <c r="D1464">
        <v>25000</v>
      </c>
      <c r="E1464" t="s">
        <v>4</v>
      </c>
      <c r="F1464">
        <v>3.19</v>
      </c>
      <c r="G1464">
        <v>92.1</v>
      </c>
      <c r="H1464">
        <v>1</v>
      </c>
      <c r="I1464">
        <v>39.5</v>
      </c>
      <c r="J1464" t="s">
        <v>3</v>
      </c>
      <c r="K1464" t="s">
        <v>3</v>
      </c>
      <c r="L1464">
        <v>9.6999999999999993</v>
      </c>
      <c r="M1464">
        <v>0.23</v>
      </c>
      <c r="N1464">
        <v>0.26</v>
      </c>
      <c r="O1464">
        <v>0.28999999999999998</v>
      </c>
      <c r="P1464" t="s">
        <v>10</v>
      </c>
      <c r="Q1464" t="s">
        <v>6</v>
      </c>
      <c r="R1464" t="s">
        <v>17</v>
      </c>
      <c r="S1464">
        <v>0</v>
      </c>
    </row>
    <row r="1465" spans="1:19" x14ac:dyDescent="0.3">
      <c r="A1465">
        <v>1464</v>
      </c>
      <c r="B1465">
        <v>19.100000000000001</v>
      </c>
      <c r="C1465" t="s">
        <v>5</v>
      </c>
      <c r="D1465">
        <v>32656</v>
      </c>
      <c r="E1465" t="s">
        <v>4</v>
      </c>
      <c r="F1465">
        <v>4.97</v>
      </c>
      <c r="G1465">
        <v>73.2</v>
      </c>
      <c r="H1465">
        <v>2</v>
      </c>
      <c r="I1465">
        <v>26.6</v>
      </c>
      <c r="J1465" t="s">
        <v>3</v>
      </c>
      <c r="K1465" t="s">
        <v>4</v>
      </c>
      <c r="L1465">
        <v>5.5</v>
      </c>
      <c r="M1465">
        <v>2.65</v>
      </c>
      <c r="N1465">
        <v>3.03</v>
      </c>
      <c r="O1465">
        <v>3.03</v>
      </c>
      <c r="P1465" t="s">
        <v>2</v>
      </c>
      <c r="Q1465" t="s">
        <v>8</v>
      </c>
      <c r="R1465" t="s">
        <v>15</v>
      </c>
      <c r="S1465">
        <v>0</v>
      </c>
    </row>
    <row r="1466" spans="1:19" x14ac:dyDescent="0.3">
      <c r="A1466">
        <v>1465</v>
      </c>
      <c r="B1466">
        <v>19.7</v>
      </c>
      <c r="C1466" t="s">
        <v>5</v>
      </c>
      <c r="D1466">
        <v>67978</v>
      </c>
      <c r="E1466" t="s">
        <v>4</v>
      </c>
      <c r="F1466">
        <v>3.46</v>
      </c>
      <c r="G1466">
        <v>76.8</v>
      </c>
      <c r="H1466">
        <v>1</v>
      </c>
      <c r="I1466">
        <v>33.4</v>
      </c>
      <c r="J1466" t="s">
        <v>4</v>
      </c>
      <c r="K1466" t="s">
        <v>4</v>
      </c>
      <c r="L1466">
        <v>6.5</v>
      </c>
      <c r="M1466">
        <v>1.66</v>
      </c>
      <c r="N1466">
        <v>2.19</v>
      </c>
      <c r="O1466">
        <v>2.16</v>
      </c>
      <c r="P1466" t="s">
        <v>12</v>
      </c>
      <c r="Q1466" t="s">
        <v>8</v>
      </c>
      <c r="R1466" t="s">
        <v>9</v>
      </c>
      <c r="S1466">
        <v>1</v>
      </c>
    </row>
    <row r="1467" spans="1:19" x14ac:dyDescent="0.3">
      <c r="A1467">
        <v>1466</v>
      </c>
      <c r="B1467">
        <v>22.3</v>
      </c>
      <c r="C1467" t="s">
        <v>5</v>
      </c>
      <c r="D1467">
        <v>55936</v>
      </c>
      <c r="E1467" t="s">
        <v>3</v>
      </c>
      <c r="F1467">
        <v>4.12</v>
      </c>
      <c r="G1467">
        <v>92.6</v>
      </c>
      <c r="H1467">
        <v>0</v>
      </c>
      <c r="I1467">
        <v>37.5</v>
      </c>
      <c r="J1467" t="s">
        <v>4</v>
      </c>
      <c r="K1467" t="s">
        <v>3</v>
      </c>
      <c r="L1467">
        <v>4</v>
      </c>
      <c r="M1467">
        <v>2.62</v>
      </c>
      <c r="N1467">
        <v>3.08</v>
      </c>
      <c r="O1467">
        <v>3.07</v>
      </c>
      <c r="P1467" t="s">
        <v>10</v>
      </c>
      <c r="Q1467" t="s">
        <v>1</v>
      </c>
      <c r="R1467" t="s">
        <v>9</v>
      </c>
      <c r="S1467">
        <v>0</v>
      </c>
    </row>
    <row r="1468" spans="1:19" x14ac:dyDescent="0.3">
      <c r="A1468">
        <v>1467</v>
      </c>
      <c r="B1468">
        <v>24.7</v>
      </c>
      <c r="C1468" t="s">
        <v>11</v>
      </c>
      <c r="D1468">
        <v>51214</v>
      </c>
      <c r="E1468" t="s">
        <v>4</v>
      </c>
      <c r="F1468">
        <v>2.4300000000000002</v>
      </c>
      <c r="G1468">
        <v>86.5</v>
      </c>
      <c r="H1468">
        <v>0</v>
      </c>
      <c r="I1468">
        <v>24.9</v>
      </c>
      <c r="J1468" t="s">
        <v>3</v>
      </c>
      <c r="K1468" t="s">
        <v>4</v>
      </c>
      <c r="L1468">
        <v>6.4</v>
      </c>
      <c r="M1468">
        <v>1.62</v>
      </c>
      <c r="N1468">
        <v>1.24</v>
      </c>
      <c r="O1468">
        <v>1.23</v>
      </c>
      <c r="P1468" t="s">
        <v>10</v>
      </c>
      <c r="Q1468" t="s">
        <v>1</v>
      </c>
      <c r="R1468" t="s">
        <v>9</v>
      </c>
      <c r="S1468">
        <v>0</v>
      </c>
    </row>
    <row r="1469" spans="1:19" x14ac:dyDescent="0.3">
      <c r="A1469">
        <v>1468</v>
      </c>
      <c r="B1469">
        <v>21.9</v>
      </c>
      <c r="C1469" t="s">
        <v>5</v>
      </c>
      <c r="D1469">
        <v>25000</v>
      </c>
      <c r="E1469" t="s">
        <v>3</v>
      </c>
      <c r="F1469">
        <v>2.2999999999999998</v>
      </c>
      <c r="G1469">
        <v>79.400000000000006</v>
      </c>
      <c r="H1469">
        <v>3</v>
      </c>
      <c r="I1469">
        <v>42.4</v>
      </c>
      <c r="J1469" t="s">
        <v>3</v>
      </c>
      <c r="K1469" t="s">
        <v>3</v>
      </c>
      <c r="L1469">
        <v>6.9</v>
      </c>
      <c r="M1469">
        <v>3.31</v>
      </c>
      <c r="N1469">
        <v>3.87</v>
      </c>
      <c r="O1469">
        <v>3.87</v>
      </c>
      <c r="P1469" t="s">
        <v>2</v>
      </c>
      <c r="Q1469" t="s">
        <v>6</v>
      </c>
      <c r="R1469" t="s">
        <v>15</v>
      </c>
      <c r="S1469">
        <v>0</v>
      </c>
    </row>
    <row r="1470" spans="1:19" x14ac:dyDescent="0.3">
      <c r="A1470">
        <v>1469</v>
      </c>
      <c r="B1470">
        <v>18.399999999999999</v>
      </c>
      <c r="C1470" t="s">
        <v>5</v>
      </c>
      <c r="D1470">
        <v>25000</v>
      </c>
      <c r="E1470" t="s">
        <v>4</v>
      </c>
      <c r="F1470">
        <v>3.9</v>
      </c>
      <c r="G1470">
        <v>84.4</v>
      </c>
      <c r="H1470">
        <v>0</v>
      </c>
      <c r="I1470">
        <v>45.3</v>
      </c>
      <c r="J1470" t="s">
        <v>3</v>
      </c>
      <c r="K1470" t="s">
        <v>3</v>
      </c>
      <c r="L1470">
        <v>7.2</v>
      </c>
      <c r="M1470">
        <v>1.35</v>
      </c>
      <c r="N1470">
        <v>1.69</v>
      </c>
      <c r="O1470">
        <v>1.73</v>
      </c>
      <c r="P1470" t="s">
        <v>10</v>
      </c>
      <c r="Q1470" t="s">
        <v>14</v>
      </c>
      <c r="R1470" t="s">
        <v>9</v>
      </c>
      <c r="S1470">
        <v>0</v>
      </c>
    </row>
    <row r="1471" spans="1:19" x14ac:dyDescent="0.3">
      <c r="A1471">
        <v>1470</v>
      </c>
      <c r="B1471">
        <v>22</v>
      </c>
      <c r="C1471" t="s">
        <v>5</v>
      </c>
      <c r="D1471">
        <v>36591</v>
      </c>
      <c r="E1471" t="s">
        <v>4</v>
      </c>
      <c r="F1471">
        <v>5.39</v>
      </c>
      <c r="G1471">
        <v>77</v>
      </c>
      <c r="H1471">
        <v>2</v>
      </c>
      <c r="I1471">
        <v>26.8</v>
      </c>
      <c r="J1471" t="s">
        <v>3</v>
      </c>
      <c r="K1471" t="s">
        <v>3</v>
      </c>
      <c r="L1471">
        <v>5.4</v>
      </c>
      <c r="M1471">
        <v>1.3</v>
      </c>
      <c r="N1471">
        <v>1.4</v>
      </c>
      <c r="O1471">
        <v>1.46</v>
      </c>
      <c r="P1471" t="s">
        <v>10</v>
      </c>
      <c r="Q1471" t="s">
        <v>13</v>
      </c>
      <c r="R1471" t="s">
        <v>15</v>
      </c>
      <c r="S1471">
        <v>0</v>
      </c>
    </row>
    <row r="1472" spans="1:19" x14ac:dyDescent="0.3">
      <c r="A1472">
        <v>1471</v>
      </c>
      <c r="B1472">
        <v>23.6</v>
      </c>
      <c r="C1472" t="s">
        <v>11</v>
      </c>
      <c r="D1472">
        <v>27500</v>
      </c>
      <c r="E1472" t="s">
        <v>4</v>
      </c>
      <c r="F1472">
        <v>3.74</v>
      </c>
      <c r="G1472">
        <v>100</v>
      </c>
      <c r="H1472">
        <v>0</v>
      </c>
      <c r="I1472">
        <v>24.3</v>
      </c>
      <c r="J1472" t="s">
        <v>3</v>
      </c>
      <c r="K1472" t="s">
        <v>3</v>
      </c>
      <c r="L1472">
        <v>7.3</v>
      </c>
      <c r="M1472">
        <v>2.4500000000000002</v>
      </c>
      <c r="N1472">
        <v>1.99</v>
      </c>
      <c r="O1472">
        <v>1.91</v>
      </c>
      <c r="P1472" t="s">
        <v>12</v>
      </c>
      <c r="Q1472" t="s">
        <v>1</v>
      </c>
      <c r="R1472" t="s">
        <v>9</v>
      </c>
      <c r="S1472">
        <v>0</v>
      </c>
    </row>
    <row r="1473" spans="1:19" x14ac:dyDescent="0.3">
      <c r="A1473">
        <v>1472</v>
      </c>
      <c r="B1473">
        <v>19.7</v>
      </c>
      <c r="C1473" t="s">
        <v>11</v>
      </c>
      <c r="D1473">
        <v>50695</v>
      </c>
      <c r="E1473" t="s">
        <v>4</v>
      </c>
      <c r="F1473">
        <v>6.2</v>
      </c>
      <c r="G1473">
        <v>89.1</v>
      </c>
      <c r="H1473">
        <v>4</v>
      </c>
      <c r="I1473">
        <v>28.7</v>
      </c>
      <c r="J1473" t="s">
        <v>4</v>
      </c>
      <c r="K1473" t="s">
        <v>3</v>
      </c>
      <c r="L1473">
        <v>4.4000000000000004</v>
      </c>
      <c r="M1473">
        <v>3.89</v>
      </c>
      <c r="N1473">
        <v>4</v>
      </c>
      <c r="O1473">
        <v>4</v>
      </c>
      <c r="P1473" t="s">
        <v>2</v>
      </c>
      <c r="Q1473" t="s">
        <v>14</v>
      </c>
      <c r="R1473" t="s">
        <v>15</v>
      </c>
      <c r="S1473">
        <v>0</v>
      </c>
    </row>
    <row r="1474" spans="1:19" x14ac:dyDescent="0.3">
      <c r="A1474">
        <v>1473</v>
      </c>
      <c r="B1474">
        <v>20.7</v>
      </c>
      <c r="C1474" t="s">
        <v>5</v>
      </c>
      <c r="E1474" t="s">
        <v>4</v>
      </c>
      <c r="G1474">
        <v>95.7</v>
      </c>
      <c r="H1474">
        <v>3</v>
      </c>
      <c r="I1474">
        <v>16.100000000000001</v>
      </c>
      <c r="J1474" t="s">
        <v>3</v>
      </c>
      <c r="K1474" t="s">
        <v>4</v>
      </c>
      <c r="M1474">
        <v>2.81</v>
      </c>
      <c r="N1474">
        <v>2.74</v>
      </c>
      <c r="O1474">
        <v>2.74</v>
      </c>
      <c r="P1474" t="s">
        <v>2</v>
      </c>
      <c r="Q1474" t="s">
        <v>13</v>
      </c>
      <c r="R1474" t="s">
        <v>0</v>
      </c>
      <c r="S1474">
        <v>0</v>
      </c>
    </row>
    <row r="1475" spans="1:19" x14ac:dyDescent="0.3">
      <c r="A1475">
        <v>1474</v>
      </c>
      <c r="B1475">
        <v>21</v>
      </c>
      <c r="C1475" t="s">
        <v>11</v>
      </c>
      <c r="D1475">
        <v>42396</v>
      </c>
      <c r="E1475" t="s">
        <v>4</v>
      </c>
      <c r="F1475">
        <v>3.78</v>
      </c>
      <c r="G1475">
        <v>82.7</v>
      </c>
      <c r="H1475">
        <v>4</v>
      </c>
      <c r="I1475">
        <v>10</v>
      </c>
      <c r="J1475" t="s">
        <v>3</v>
      </c>
      <c r="K1475" t="s">
        <v>3</v>
      </c>
      <c r="L1475">
        <v>5.6</v>
      </c>
      <c r="M1475">
        <v>3.08</v>
      </c>
      <c r="N1475">
        <v>2.81</v>
      </c>
      <c r="O1475">
        <v>2.76</v>
      </c>
      <c r="P1475" t="s">
        <v>10</v>
      </c>
      <c r="Q1475" t="s">
        <v>13</v>
      </c>
      <c r="R1475" t="s">
        <v>17</v>
      </c>
      <c r="S1475">
        <v>0</v>
      </c>
    </row>
    <row r="1476" spans="1:19" x14ac:dyDescent="0.3">
      <c r="A1476">
        <v>1475</v>
      </c>
      <c r="B1476">
        <v>19.3</v>
      </c>
      <c r="C1476" t="s">
        <v>11</v>
      </c>
      <c r="D1476">
        <v>25000</v>
      </c>
      <c r="E1476" t="s">
        <v>4</v>
      </c>
      <c r="F1476">
        <v>5.93</v>
      </c>
      <c r="G1476">
        <v>71.8</v>
      </c>
      <c r="H1476">
        <v>3</v>
      </c>
      <c r="I1476">
        <v>24.8</v>
      </c>
      <c r="J1476" t="s">
        <v>4</v>
      </c>
      <c r="K1476" t="s">
        <v>4</v>
      </c>
      <c r="L1476">
        <v>3.4</v>
      </c>
      <c r="M1476">
        <v>4</v>
      </c>
      <c r="N1476">
        <v>4</v>
      </c>
      <c r="O1476">
        <v>3.95</v>
      </c>
      <c r="P1476" t="s">
        <v>7</v>
      </c>
      <c r="Q1476" t="s">
        <v>8</v>
      </c>
      <c r="R1476" t="s">
        <v>9</v>
      </c>
      <c r="S1476">
        <v>1</v>
      </c>
    </row>
    <row r="1477" spans="1:19" x14ac:dyDescent="0.3">
      <c r="A1477">
        <v>1476</v>
      </c>
      <c r="B1477">
        <v>22.4</v>
      </c>
      <c r="C1477" t="s">
        <v>5</v>
      </c>
      <c r="D1477">
        <v>32106</v>
      </c>
      <c r="E1477" t="s">
        <v>4</v>
      </c>
      <c r="F1477">
        <v>5.7</v>
      </c>
      <c r="G1477">
        <v>86</v>
      </c>
      <c r="H1477">
        <v>1</v>
      </c>
      <c r="I1477">
        <v>18.5</v>
      </c>
      <c r="J1477" t="s">
        <v>3</v>
      </c>
      <c r="K1477" t="s">
        <v>3</v>
      </c>
      <c r="L1477">
        <v>2.2000000000000002</v>
      </c>
      <c r="M1477">
        <v>4</v>
      </c>
      <c r="N1477">
        <v>4</v>
      </c>
      <c r="O1477">
        <v>3.99</v>
      </c>
      <c r="P1477" t="s">
        <v>10</v>
      </c>
      <c r="Q1477" t="s">
        <v>13</v>
      </c>
      <c r="R1477" t="s">
        <v>9</v>
      </c>
      <c r="S1477">
        <v>0</v>
      </c>
    </row>
    <row r="1478" spans="1:19" x14ac:dyDescent="0.3">
      <c r="A1478">
        <v>1477</v>
      </c>
      <c r="B1478">
        <v>20.7</v>
      </c>
      <c r="C1478" t="s">
        <v>11</v>
      </c>
      <c r="D1478">
        <v>27853</v>
      </c>
      <c r="E1478" t="s">
        <v>4</v>
      </c>
      <c r="F1478">
        <v>2.23</v>
      </c>
      <c r="G1478">
        <v>92</v>
      </c>
      <c r="H1478">
        <v>0</v>
      </c>
      <c r="I1478">
        <v>51.2</v>
      </c>
      <c r="J1478" t="s">
        <v>3</v>
      </c>
      <c r="K1478" t="s">
        <v>4</v>
      </c>
      <c r="L1478">
        <v>5</v>
      </c>
      <c r="M1478">
        <v>2.81</v>
      </c>
      <c r="N1478">
        <v>2.61</v>
      </c>
      <c r="O1478">
        <v>2.61</v>
      </c>
      <c r="P1478" t="s">
        <v>2</v>
      </c>
      <c r="Q1478" t="s">
        <v>14</v>
      </c>
      <c r="R1478" t="s">
        <v>0</v>
      </c>
      <c r="S1478">
        <v>0</v>
      </c>
    </row>
    <row r="1479" spans="1:19" x14ac:dyDescent="0.3">
      <c r="A1479">
        <v>1478</v>
      </c>
      <c r="B1479">
        <v>21.9</v>
      </c>
      <c r="C1479" t="s">
        <v>11</v>
      </c>
      <c r="D1479">
        <v>32886</v>
      </c>
      <c r="E1479" t="s">
        <v>4</v>
      </c>
      <c r="F1479">
        <v>3.95</v>
      </c>
      <c r="G1479">
        <v>92.4</v>
      </c>
      <c r="H1479">
        <v>2</v>
      </c>
      <c r="I1479">
        <v>24.5</v>
      </c>
      <c r="J1479" t="s">
        <v>3</v>
      </c>
      <c r="K1479" t="s">
        <v>3</v>
      </c>
      <c r="L1479">
        <v>5</v>
      </c>
      <c r="M1479">
        <v>0.83</v>
      </c>
      <c r="N1479">
        <v>0.5</v>
      </c>
      <c r="O1479">
        <v>0.54</v>
      </c>
      <c r="P1479" t="s">
        <v>12</v>
      </c>
      <c r="Q1479" t="s">
        <v>13</v>
      </c>
      <c r="R1479" t="s">
        <v>16</v>
      </c>
      <c r="S1479">
        <v>1</v>
      </c>
    </row>
    <row r="1480" spans="1:19" x14ac:dyDescent="0.3">
      <c r="A1480">
        <v>1479</v>
      </c>
      <c r="B1480">
        <v>19</v>
      </c>
      <c r="C1480" t="s">
        <v>11</v>
      </c>
      <c r="D1480">
        <v>25000</v>
      </c>
      <c r="E1480" t="s">
        <v>4</v>
      </c>
      <c r="F1480">
        <v>4.67</v>
      </c>
      <c r="G1480">
        <v>68.5</v>
      </c>
      <c r="H1480">
        <v>3</v>
      </c>
      <c r="I1480">
        <v>35.5</v>
      </c>
      <c r="J1480" t="s">
        <v>3</v>
      </c>
      <c r="K1480" t="s">
        <v>3</v>
      </c>
      <c r="L1480">
        <v>5</v>
      </c>
      <c r="M1480">
        <v>1.86</v>
      </c>
      <c r="N1480">
        <v>2.27</v>
      </c>
      <c r="O1480">
        <v>2.27</v>
      </c>
      <c r="P1480" t="s">
        <v>10</v>
      </c>
      <c r="Q1480" t="s">
        <v>1</v>
      </c>
      <c r="R1480" t="s">
        <v>16</v>
      </c>
      <c r="S1480">
        <v>0</v>
      </c>
    </row>
    <row r="1481" spans="1:19" x14ac:dyDescent="0.3">
      <c r="A1481">
        <v>1480</v>
      </c>
      <c r="B1481">
        <v>20</v>
      </c>
      <c r="C1481" t="s">
        <v>5</v>
      </c>
      <c r="D1481">
        <v>25000</v>
      </c>
      <c r="E1481" t="s">
        <v>4</v>
      </c>
      <c r="F1481">
        <v>4.9400000000000004</v>
      </c>
      <c r="G1481">
        <v>83.7</v>
      </c>
      <c r="H1481">
        <v>1</v>
      </c>
      <c r="I1481">
        <v>22.5</v>
      </c>
      <c r="J1481" t="s">
        <v>4</v>
      </c>
      <c r="K1481" t="s">
        <v>4</v>
      </c>
      <c r="L1481">
        <v>7.4</v>
      </c>
      <c r="M1481">
        <v>2.0699999999999998</v>
      </c>
      <c r="N1481">
        <v>2.44</v>
      </c>
      <c r="O1481">
        <v>2.44</v>
      </c>
      <c r="P1481" t="s">
        <v>2</v>
      </c>
      <c r="Q1481" t="s">
        <v>14</v>
      </c>
      <c r="R1481" t="s">
        <v>9</v>
      </c>
      <c r="S1481">
        <v>0</v>
      </c>
    </row>
    <row r="1482" spans="1:19" x14ac:dyDescent="0.3">
      <c r="A1482">
        <v>1481</v>
      </c>
      <c r="B1482">
        <v>22.6</v>
      </c>
      <c r="C1482" t="s">
        <v>5</v>
      </c>
      <c r="D1482">
        <v>39257</v>
      </c>
      <c r="E1482" t="s">
        <v>4</v>
      </c>
      <c r="F1482">
        <v>4.79</v>
      </c>
      <c r="G1482">
        <v>69.2</v>
      </c>
      <c r="H1482">
        <v>2</v>
      </c>
      <c r="I1482">
        <v>51.4</v>
      </c>
      <c r="J1482" t="s">
        <v>4</v>
      </c>
      <c r="K1482" t="s">
        <v>3</v>
      </c>
      <c r="L1482">
        <v>8</v>
      </c>
      <c r="M1482">
        <v>1.05</v>
      </c>
      <c r="N1482">
        <v>0.88</v>
      </c>
      <c r="O1482">
        <v>0.88</v>
      </c>
      <c r="P1482" t="s">
        <v>2</v>
      </c>
      <c r="Q1482" t="s">
        <v>13</v>
      </c>
      <c r="R1482" t="s">
        <v>15</v>
      </c>
      <c r="S1482">
        <v>1</v>
      </c>
    </row>
    <row r="1483" spans="1:19" x14ac:dyDescent="0.3">
      <c r="A1483">
        <v>1482</v>
      </c>
      <c r="B1483">
        <v>20.2</v>
      </c>
      <c r="C1483" t="s">
        <v>5</v>
      </c>
      <c r="D1483">
        <v>25000</v>
      </c>
      <c r="E1483" t="s">
        <v>3</v>
      </c>
      <c r="F1483">
        <v>3.79</v>
      </c>
      <c r="G1483">
        <v>77.3</v>
      </c>
      <c r="H1483">
        <v>3</v>
      </c>
      <c r="I1483">
        <v>27.7</v>
      </c>
      <c r="J1483" t="s">
        <v>4</v>
      </c>
      <c r="K1483" t="s">
        <v>3</v>
      </c>
      <c r="L1483">
        <v>6.7</v>
      </c>
      <c r="M1483">
        <v>2.11</v>
      </c>
      <c r="N1483">
        <v>2.65</v>
      </c>
      <c r="O1483">
        <v>2.69</v>
      </c>
      <c r="P1483" t="s">
        <v>10</v>
      </c>
      <c r="Q1483" t="s">
        <v>6</v>
      </c>
      <c r="R1483" t="s">
        <v>0</v>
      </c>
      <c r="S1483">
        <v>1</v>
      </c>
    </row>
    <row r="1484" spans="1:19" x14ac:dyDescent="0.3">
      <c r="A1484">
        <v>1483</v>
      </c>
      <c r="B1484">
        <v>24.8</v>
      </c>
      <c r="C1484" t="s">
        <v>11</v>
      </c>
      <c r="D1484">
        <v>41974</v>
      </c>
      <c r="E1484" t="s">
        <v>4</v>
      </c>
      <c r="F1484">
        <v>3.6</v>
      </c>
      <c r="G1484">
        <v>86.7</v>
      </c>
      <c r="H1484">
        <v>2</v>
      </c>
      <c r="I1484">
        <v>15.1</v>
      </c>
      <c r="J1484" t="s">
        <v>3</v>
      </c>
      <c r="K1484" t="s">
        <v>3</v>
      </c>
      <c r="L1484">
        <v>6.6</v>
      </c>
      <c r="M1484">
        <v>2.78</v>
      </c>
      <c r="N1484">
        <v>2.79</v>
      </c>
      <c r="O1484">
        <v>2.82</v>
      </c>
      <c r="P1484" t="s">
        <v>12</v>
      </c>
      <c r="Q1484" t="s">
        <v>6</v>
      </c>
      <c r="R1484" t="s">
        <v>9</v>
      </c>
      <c r="S1484">
        <v>0</v>
      </c>
    </row>
    <row r="1485" spans="1:19" x14ac:dyDescent="0.3">
      <c r="A1485">
        <v>1484</v>
      </c>
      <c r="B1485">
        <v>20.100000000000001</v>
      </c>
      <c r="C1485" t="s">
        <v>11</v>
      </c>
      <c r="D1485">
        <v>25000</v>
      </c>
      <c r="E1485" t="s">
        <v>4</v>
      </c>
      <c r="F1485">
        <v>3.86</v>
      </c>
      <c r="G1485">
        <v>92.7</v>
      </c>
      <c r="H1485">
        <v>3</v>
      </c>
      <c r="I1485">
        <v>38</v>
      </c>
      <c r="J1485" t="s">
        <v>3</v>
      </c>
      <c r="K1485" t="s">
        <v>3</v>
      </c>
      <c r="L1485">
        <v>5.4</v>
      </c>
      <c r="M1485">
        <v>4</v>
      </c>
      <c r="N1485">
        <v>4</v>
      </c>
      <c r="O1485">
        <v>4</v>
      </c>
      <c r="P1485" t="s">
        <v>10</v>
      </c>
      <c r="Q1485" t="s">
        <v>14</v>
      </c>
      <c r="R1485" t="s">
        <v>9</v>
      </c>
      <c r="S1485">
        <v>0</v>
      </c>
    </row>
    <row r="1486" spans="1:19" x14ac:dyDescent="0.3">
      <c r="A1486">
        <v>1485</v>
      </c>
      <c r="B1486">
        <v>21.5</v>
      </c>
      <c r="C1486" t="s">
        <v>5</v>
      </c>
      <c r="D1486">
        <v>69532</v>
      </c>
      <c r="E1486" t="s">
        <v>4</v>
      </c>
      <c r="F1486">
        <v>3.03</v>
      </c>
      <c r="G1486">
        <v>83.8</v>
      </c>
      <c r="H1486">
        <v>3</v>
      </c>
      <c r="I1486">
        <v>33.1</v>
      </c>
      <c r="J1486" t="s">
        <v>4</v>
      </c>
      <c r="K1486" t="s">
        <v>3</v>
      </c>
      <c r="L1486">
        <v>5.8</v>
      </c>
      <c r="M1486">
        <v>1.98</v>
      </c>
      <c r="N1486">
        <v>2.06</v>
      </c>
      <c r="O1486">
        <v>2.0699999999999998</v>
      </c>
      <c r="P1486" t="s">
        <v>12</v>
      </c>
      <c r="Q1486" t="s">
        <v>1</v>
      </c>
      <c r="R1486" t="s">
        <v>9</v>
      </c>
      <c r="S1486">
        <v>0</v>
      </c>
    </row>
    <row r="1487" spans="1:19" x14ac:dyDescent="0.3">
      <c r="A1487">
        <v>1486</v>
      </c>
      <c r="B1487">
        <v>23.1</v>
      </c>
      <c r="C1487" t="s">
        <v>5</v>
      </c>
      <c r="D1487">
        <v>54211</v>
      </c>
      <c r="E1487" t="s">
        <v>4</v>
      </c>
      <c r="F1487">
        <v>2.23</v>
      </c>
      <c r="G1487">
        <v>72.8</v>
      </c>
      <c r="H1487">
        <v>0</v>
      </c>
      <c r="I1487">
        <v>44.4</v>
      </c>
      <c r="J1487" t="s">
        <v>4</v>
      </c>
      <c r="K1487" t="s">
        <v>3</v>
      </c>
      <c r="L1487">
        <v>6.3</v>
      </c>
      <c r="M1487">
        <v>2.48</v>
      </c>
      <c r="N1487">
        <v>1.86</v>
      </c>
      <c r="O1487">
        <v>1.91</v>
      </c>
      <c r="P1487" t="s">
        <v>12</v>
      </c>
      <c r="Q1487" t="s">
        <v>13</v>
      </c>
      <c r="R1487" t="s">
        <v>9</v>
      </c>
      <c r="S1487">
        <v>1</v>
      </c>
    </row>
    <row r="1488" spans="1:19" x14ac:dyDescent="0.3">
      <c r="A1488">
        <v>1487</v>
      </c>
      <c r="B1488">
        <v>17.899999999999999</v>
      </c>
      <c r="C1488" t="s">
        <v>11</v>
      </c>
      <c r="D1488">
        <v>35529</v>
      </c>
      <c r="E1488" t="s">
        <v>4</v>
      </c>
      <c r="F1488">
        <v>4.67</v>
      </c>
      <c r="G1488">
        <v>86.8</v>
      </c>
      <c r="H1488">
        <v>2</v>
      </c>
      <c r="I1488">
        <v>28.2</v>
      </c>
      <c r="J1488" t="s">
        <v>4</v>
      </c>
      <c r="K1488" t="s">
        <v>4</v>
      </c>
      <c r="L1488">
        <v>5.8</v>
      </c>
      <c r="M1488">
        <v>2.77</v>
      </c>
      <c r="N1488">
        <v>2.14</v>
      </c>
      <c r="O1488">
        <v>2.14</v>
      </c>
      <c r="P1488" t="s">
        <v>2</v>
      </c>
      <c r="Q1488" t="s">
        <v>1</v>
      </c>
      <c r="R1488" t="s">
        <v>9</v>
      </c>
      <c r="S1488">
        <v>0</v>
      </c>
    </row>
    <row r="1489" spans="1:19" x14ac:dyDescent="0.3">
      <c r="A1489">
        <v>1488</v>
      </c>
      <c r="B1489">
        <v>17.100000000000001</v>
      </c>
      <c r="C1489" t="s">
        <v>11</v>
      </c>
      <c r="D1489">
        <v>26161</v>
      </c>
      <c r="E1489" t="s">
        <v>3</v>
      </c>
      <c r="F1489">
        <v>4.75</v>
      </c>
      <c r="G1489">
        <v>75.2</v>
      </c>
      <c r="H1489">
        <v>1</v>
      </c>
      <c r="I1489">
        <v>31.3</v>
      </c>
      <c r="J1489" t="s">
        <v>4</v>
      </c>
      <c r="K1489" t="s">
        <v>4</v>
      </c>
      <c r="L1489">
        <v>6.6</v>
      </c>
      <c r="M1489">
        <v>3.36</v>
      </c>
      <c r="N1489">
        <v>3.12</v>
      </c>
      <c r="O1489">
        <v>3.08</v>
      </c>
      <c r="P1489" t="s">
        <v>7</v>
      </c>
      <c r="Q1489" t="s">
        <v>8</v>
      </c>
      <c r="R1489" t="s">
        <v>0</v>
      </c>
      <c r="S1489">
        <v>0</v>
      </c>
    </row>
    <row r="1490" spans="1:19" x14ac:dyDescent="0.3">
      <c r="A1490">
        <v>1489</v>
      </c>
      <c r="B1490">
        <v>17.600000000000001</v>
      </c>
      <c r="C1490" t="s">
        <v>11</v>
      </c>
      <c r="D1490">
        <v>49585</v>
      </c>
      <c r="E1490" t="s">
        <v>4</v>
      </c>
      <c r="F1490">
        <v>6.28</v>
      </c>
      <c r="G1490">
        <v>79.7</v>
      </c>
      <c r="H1490">
        <v>1</v>
      </c>
      <c r="I1490">
        <v>11.9</v>
      </c>
      <c r="J1490" t="s">
        <v>4</v>
      </c>
      <c r="K1490" t="s">
        <v>4</v>
      </c>
      <c r="L1490">
        <v>5.6</v>
      </c>
      <c r="M1490">
        <v>2.58</v>
      </c>
      <c r="N1490">
        <v>1.93</v>
      </c>
      <c r="O1490">
        <v>1.93</v>
      </c>
      <c r="P1490" t="s">
        <v>2</v>
      </c>
      <c r="Q1490" t="s">
        <v>14</v>
      </c>
      <c r="R1490" t="s">
        <v>9</v>
      </c>
      <c r="S1490">
        <v>0</v>
      </c>
    </row>
    <row r="1491" spans="1:19" x14ac:dyDescent="0.3">
      <c r="A1491">
        <v>1490</v>
      </c>
      <c r="B1491">
        <v>23.8</v>
      </c>
      <c r="C1491" t="s">
        <v>11</v>
      </c>
      <c r="D1491">
        <v>37629</v>
      </c>
      <c r="E1491" t="s">
        <v>4</v>
      </c>
      <c r="F1491">
        <v>3.23</v>
      </c>
      <c r="G1491">
        <v>82.7</v>
      </c>
      <c r="H1491">
        <v>2</v>
      </c>
      <c r="I1491">
        <v>40</v>
      </c>
      <c r="J1491" t="s">
        <v>4</v>
      </c>
      <c r="K1491" t="s">
        <v>3</v>
      </c>
      <c r="L1491">
        <v>4.5999999999999996</v>
      </c>
      <c r="M1491">
        <v>2.8</v>
      </c>
      <c r="N1491">
        <v>2.58</v>
      </c>
      <c r="O1491">
        <v>2.6</v>
      </c>
      <c r="P1491" t="s">
        <v>12</v>
      </c>
      <c r="Q1491" t="s">
        <v>8</v>
      </c>
      <c r="R1491" t="s">
        <v>9</v>
      </c>
      <c r="S1491">
        <v>0</v>
      </c>
    </row>
    <row r="1492" spans="1:19" x14ac:dyDescent="0.3">
      <c r="A1492">
        <v>1491</v>
      </c>
      <c r="B1492">
        <v>19.8</v>
      </c>
      <c r="C1492" t="s">
        <v>11</v>
      </c>
      <c r="D1492">
        <v>34309</v>
      </c>
      <c r="E1492" t="s">
        <v>4</v>
      </c>
      <c r="F1492">
        <v>4.4800000000000004</v>
      </c>
      <c r="G1492">
        <v>76.599999999999994</v>
      </c>
      <c r="H1492">
        <v>0</v>
      </c>
      <c r="I1492">
        <v>30.8</v>
      </c>
      <c r="J1492" t="s">
        <v>3</v>
      </c>
      <c r="K1492" t="s">
        <v>3</v>
      </c>
      <c r="L1492">
        <v>6</v>
      </c>
      <c r="M1492">
        <v>2.14</v>
      </c>
      <c r="N1492">
        <v>2.0699999999999998</v>
      </c>
      <c r="O1492">
        <v>2.12</v>
      </c>
      <c r="P1492" t="s">
        <v>7</v>
      </c>
      <c r="Q1492" t="s">
        <v>14</v>
      </c>
      <c r="R1492" t="s">
        <v>9</v>
      </c>
      <c r="S1492">
        <v>0</v>
      </c>
    </row>
    <row r="1493" spans="1:19" x14ac:dyDescent="0.3">
      <c r="A1493">
        <v>1492</v>
      </c>
      <c r="B1493">
        <v>26.6</v>
      </c>
      <c r="C1493" t="s">
        <v>5</v>
      </c>
      <c r="D1493">
        <v>55588</v>
      </c>
      <c r="E1493" t="s">
        <v>4</v>
      </c>
      <c r="F1493">
        <v>3.67</v>
      </c>
      <c r="G1493">
        <v>87.1</v>
      </c>
      <c r="H1493">
        <v>4</v>
      </c>
      <c r="I1493">
        <v>28.5</v>
      </c>
      <c r="J1493" t="s">
        <v>3</v>
      </c>
      <c r="K1493" t="s">
        <v>4</v>
      </c>
      <c r="L1493">
        <v>5.0999999999999996</v>
      </c>
      <c r="M1493">
        <v>3.33</v>
      </c>
      <c r="N1493">
        <v>3.32</v>
      </c>
      <c r="O1493">
        <v>3.35</v>
      </c>
      <c r="P1493" t="s">
        <v>12</v>
      </c>
      <c r="Q1493" t="s">
        <v>14</v>
      </c>
      <c r="R1493" t="s">
        <v>9</v>
      </c>
      <c r="S1493">
        <v>0</v>
      </c>
    </row>
    <row r="1494" spans="1:19" x14ac:dyDescent="0.3">
      <c r="A1494">
        <v>1493</v>
      </c>
      <c r="B1494">
        <v>19.8</v>
      </c>
      <c r="C1494" t="s">
        <v>5</v>
      </c>
      <c r="D1494">
        <v>69977</v>
      </c>
      <c r="E1494" t="s">
        <v>4</v>
      </c>
      <c r="F1494">
        <v>3.81</v>
      </c>
      <c r="G1494">
        <v>88</v>
      </c>
      <c r="H1494">
        <v>4</v>
      </c>
      <c r="I1494">
        <v>27.2</v>
      </c>
      <c r="J1494" t="s">
        <v>4</v>
      </c>
      <c r="K1494" t="s">
        <v>4</v>
      </c>
      <c r="L1494">
        <v>8.1</v>
      </c>
      <c r="M1494">
        <v>2.85</v>
      </c>
      <c r="N1494">
        <v>2.64</v>
      </c>
      <c r="O1494">
        <v>2.68</v>
      </c>
      <c r="P1494" t="s">
        <v>10</v>
      </c>
      <c r="Q1494" t="s">
        <v>13</v>
      </c>
      <c r="R1494" t="s">
        <v>0</v>
      </c>
      <c r="S1494">
        <v>1</v>
      </c>
    </row>
    <row r="1495" spans="1:19" x14ac:dyDescent="0.3">
      <c r="A1495">
        <v>1494</v>
      </c>
      <c r="B1495">
        <v>21.4</v>
      </c>
      <c r="C1495" t="s">
        <v>5</v>
      </c>
      <c r="D1495">
        <v>25000</v>
      </c>
      <c r="E1495" t="s">
        <v>4</v>
      </c>
      <c r="F1495">
        <v>3.18</v>
      </c>
      <c r="G1495">
        <v>90.2</v>
      </c>
      <c r="H1495">
        <v>1</v>
      </c>
      <c r="I1495">
        <v>26.6</v>
      </c>
      <c r="J1495" t="s">
        <v>3</v>
      </c>
      <c r="K1495" t="s">
        <v>3</v>
      </c>
      <c r="L1495">
        <v>4.7</v>
      </c>
      <c r="M1495">
        <v>3.11</v>
      </c>
      <c r="N1495">
        <v>3.1</v>
      </c>
      <c r="O1495">
        <v>3.14</v>
      </c>
      <c r="P1495" t="s">
        <v>12</v>
      </c>
      <c r="Q1495" t="s">
        <v>1</v>
      </c>
      <c r="R1495" t="s">
        <v>9</v>
      </c>
      <c r="S1495">
        <v>0</v>
      </c>
    </row>
    <row r="1496" spans="1:19" x14ac:dyDescent="0.3">
      <c r="A1496">
        <v>1495</v>
      </c>
      <c r="B1496">
        <v>24.4</v>
      </c>
      <c r="C1496" t="s">
        <v>11</v>
      </c>
      <c r="E1496" t="s">
        <v>4</v>
      </c>
      <c r="G1496">
        <v>93.4</v>
      </c>
      <c r="H1496">
        <v>1</v>
      </c>
      <c r="I1496">
        <v>40.200000000000003</v>
      </c>
      <c r="J1496" t="s">
        <v>3</v>
      </c>
      <c r="K1496" t="s">
        <v>4</v>
      </c>
      <c r="M1496">
        <v>1.2</v>
      </c>
      <c r="N1496">
        <v>1.36</v>
      </c>
      <c r="O1496">
        <v>1.37</v>
      </c>
      <c r="P1496" t="s">
        <v>7</v>
      </c>
      <c r="Q1496" t="s">
        <v>1</v>
      </c>
      <c r="R1496" t="s">
        <v>9</v>
      </c>
      <c r="S1496">
        <v>0</v>
      </c>
    </row>
    <row r="1497" spans="1:19" x14ac:dyDescent="0.3">
      <c r="A1497">
        <v>1496</v>
      </c>
      <c r="B1497">
        <v>25.4</v>
      </c>
      <c r="C1497" t="s">
        <v>5</v>
      </c>
      <c r="D1497">
        <v>25000</v>
      </c>
      <c r="E1497" t="s">
        <v>4</v>
      </c>
      <c r="F1497">
        <v>5.8</v>
      </c>
      <c r="G1497">
        <v>80.900000000000006</v>
      </c>
      <c r="H1497">
        <v>3</v>
      </c>
      <c r="I1497">
        <v>18.899999999999999</v>
      </c>
      <c r="J1497" t="s">
        <v>4</v>
      </c>
      <c r="K1497" t="s">
        <v>4</v>
      </c>
      <c r="L1497">
        <v>8.5</v>
      </c>
      <c r="M1497">
        <v>2.39</v>
      </c>
      <c r="N1497">
        <v>2.46</v>
      </c>
      <c r="O1497">
        <v>2.48</v>
      </c>
      <c r="P1497" t="s">
        <v>10</v>
      </c>
      <c r="Q1497" t="s">
        <v>1</v>
      </c>
      <c r="R1497" t="s">
        <v>9</v>
      </c>
      <c r="S1497">
        <v>0</v>
      </c>
    </row>
    <row r="1498" spans="1:19" x14ac:dyDescent="0.3">
      <c r="A1498">
        <v>1497</v>
      </c>
      <c r="B1498">
        <v>25.5</v>
      </c>
      <c r="C1498" t="s">
        <v>5</v>
      </c>
      <c r="D1498">
        <v>25000</v>
      </c>
      <c r="E1498" t="s">
        <v>4</v>
      </c>
      <c r="F1498">
        <v>3.44</v>
      </c>
      <c r="G1498">
        <v>72.2</v>
      </c>
      <c r="H1498">
        <v>0</v>
      </c>
      <c r="I1498">
        <v>38.9</v>
      </c>
      <c r="J1498" t="s">
        <v>3</v>
      </c>
      <c r="K1498" t="s">
        <v>3</v>
      </c>
      <c r="L1498">
        <v>3.5</v>
      </c>
      <c r="M1498">
        <v>2.34</v>
      </c>
      <c r="N1498">
        <v>2.5299999999999998</v>
      </c>
      <c r="O1498">
        <v>2.5299999999999998</v>
      </c>
      <c r="P1498" t="s">
        <v>2</v>
      </c>
      <c r="Q1498" t="s">
        <v>8</v>
      </c>
      <c r="R1498" t="s">
        <v>0</v>
      </c>
      <c r="S1498">
        <v>1</v>
      </c>
    </row>
    <row r="1499" spans="1:19" x14ac:dyDescent="0.3">
      <c r="A1499">
        <v>1498</v>
      </c>
      <c r="B1499">
        <v>23.7</v>
      </c>
      <c r="C1499" t="s">
        <v>5</v>
      </c>
      <c r="D1499">
        <v>28634</v>
      </c>
      <c r="E1499" t="s">
        <v>4</v>
      </c>
      <c r="F1499">
        <v>4.53</v>
      </c>
      <c r="G1499">
        <v>73</v>
      </c>
      <c r="H1499">
        <v>2</v>
      </c>
      <c r="I1499">
        <v>10.7</v>
      </c>
      <c r="J1499" t="s">
        <v>4</v>
      </c>
      <c r="K1499" t="s">
        <v>4</v>
      </c>
      <c r="L1499">
        <v>7.8</v>
      </c>
      <c r="M1499">
        <v>1.66</v>
      </c>
      <c r="N1499">
        <v>1.03</v>
      </c>
      <c r="O1499">
        <v>1.03</v>
      </c>
      <c r="P1499" t="s">
        <v>7</v>
      </c>
      <c r="Q1499" t="s">
        <v>6</v>
      </c>
      <c r="R1499" t="s">
        <v>0</v>
      </c>
      <c r="S1499">
        <v>1</v>
      </c>
    </row>
    <row r="1500" spans="1:19" x14ac:dyDescent="0.3">
      <c r="A1500">
        <v>1499</v>
      </c>
      <c r="B1500">
        <v>23.3</v>
      </c>
      <c r="C1500" t="s">
        <v>5</v>
      </c>
      <c r="E1500" t="s">
        <v>4</v>
      </c>
      <c r="G1500">
        <v>95.9</v>
      </c>
      <c r="H1500">
        <v>1</v>
      </c>
      <c r="I1500">
        <v>7</v>
      </c>
      <c r="J1500" t="s">
        <v>4</v>
      </c>
      <c r="K1500" t="s">
        <v>3</v>
      </c>
      <c r="M1500">
        <v>2.66</v>
      </c>
      <c r="N1500">
        <v>2.79</v>
      </c>
      <c r="O1500">
        <v>2.79</v>
      </c>
      <c r="P1500" t="s">
        <v>2</v>
      </c>
      <c r="Q1500" t="s">
        <v>1</v>
      </c>
      <c r="R1500" t="s">
        <v>0</v>
      </c>
      <c r="S15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A17B-0A7B-4672-9DF6-34CF8B81196C}">
  <sheetPr>
    <tabColor theme="6" tint="0.39997558519241921"/>
  </sheetPr>
  <dimension ref="A1:AC1500"/>
  <sheetViews>
    <sheetView tabSelected="1" zoomScale="80" zoomScaleNormal="80" workbookViewId="0">
      <selection activeCell="R39" sqref="R39"/>
    </sheetView>
  </sheetViews>
  <sheetFormatPr defaultRowHeight="14.4" x14ac:dyDescent="0.3"/>
  <cols>
    <col min="1" max="1" width="15.109375" customWidth="1"/>
    <col min="2" max="2" width="8.33203125" style="8" customWidth="1"/>
    <col min="3" max="3" width="11.5546875" customWidth="1"/>
    <col min="4" max="4" width="19" style="8" customWidth="1"/>
    <col min="5" max="5" width="18.77734375" style="8" customWidth="1"/>
    <col min="6" max="6" width="20.77734375" customWidth="1"/>
    <col min="7" max="7" width="27.44140625" style="4" customWidth="1"/>
    <col min="8" max="8" width="21.88671875" style="19" customWidth="1"/>
    <col min="9" max="9" width="23.88671875" style="10" customWidth="1"/>
    <col min="10" max="10" width="30.5546875" customWidth="1"/>
    <col min="11" max="11" width="27" customWidth="1"/>
    <col min="12" max="12" width="19.44140625" customWidth="1"/>
    <col min="13" max="13" width="15.44140625" customWidth="1"/>
    <col min="14" max="14" width="16.5546875" style="6" customWidth="1"/>
    <col min="15" max="15" width="16.109375" style="6" customWidth="1"/>
    <col min="16" max="16" width="7.21875" style="4" customWidth="1"/>
    <col min="17" max="17" width="20" customWidth="1"/>
    <col min="18" max="18" width="12.21875" style="4" customWidth="1"/>
    <col min="19" max="19" width="12.44140625" style="4" customWidth="1"/>
    <col min="20" max="20" width="10.5546875" customWidth="1"/>
    <col min="21" max="21" width="17.5546875" customWidth="1"/>
    <col min="22" max="22" width="17.77734375" customWidth="1"/>
    <col min="23" max="23" width="14.44140625" style="8" customWidth="1"/>
    <col min="24" max="24" width="17.44140625" customWidth="1"/>
    <col min="25" max="25" width="8.5546875" customWidth="1"/>
    <col min="26" max="26" width="23.33203125" customWidth="1"/>
    <col min="27" max="27" width="7.5546875" customWidth="1"/>
    <col min="28" max="28" width="14.77734375" customWidth="1"/>
    <col min="29" max="29" width="18.6640625" customWidth="1"/>
  </cols>
  <sheetData>
    <row r="1" spans="1:29" s="1" customFormat="1" ht="15.6" x14ac:dyDescent="0.3">
      <c r="A1" s="11" t="s">
        <v>36</v>
      </c>
      <c r="B1" s="12" t="s">
        <v>35</v>
      </c>
      <c r="C1" s="11" t="s">
        <v>34</v>
      </c>
      <c r="D1" s="12" t="s">
        <v>33</v>
      </c>
      <c r="E1" s="12" t="s">
        <v>40</v>
      </c>
      <c r="F1" s="11" t="s">
        <v>32</v>
      </c>
      <c r="G1" s="13" t="s">
        <v>31</v>
      </c>
      <c r="H1" s="17" t="s">
        <v>30</v>
      </c>
      <c r="I1" s="14" t="s">
        <v>37</v>
      </c>
      <c r="J1" s="13" t="s">
        <v>29</v>
      </c>
      <c r="K1" s="13" t="s">
        <v>28</v>
      </c>
      <c r="L1" s="11" t="s">
        <v>27</v>
      </c>
      <c r="M1" s="11" t="s">
        <v>26</v>
      </c>
      <c r="N1" s="15" t="s">
        <v>25</v>
      </c>
      <c r="O1" s="15" t="s">
        <v>39</v>
      </c>
      <c r="P1" s="13" t="s">
        <v>24</v>
      </c>
      <c r="Q1" s="13" t="s">
        <v>23</v>
      </c>
      <c r="R1" s="13" t="s">
        <v>22</v>
      </c>
      <c r="S1" s="13" t="s">
        <v>41</v>
      </c>
      <c r="T1" s="11" t="s">
        <v>21</v>
      </c>
      <c r="U1" s="11" t="s">
        <v>20</v>
      </c>
      <c r="V1" s="11" t="s">
        <v>19</v>
      </c>
      <c r="W1" s="12" t="s">
        <v>18</v>
      </c>
      <c r="X1" s="16" t="s">
        <v>38</v>
      </c>
      <c r="Y1" s="23"/>
      <c r="Z1" s="24"/>
      <c r="AA1" s="23"/>
      <c r="AB1" s="25"/>
      <c r="AC1" s="25"/>
    </row>
    <row r="2" spans="1:29" x14ac:dyDescent="0.3">
      <c r="A2" s="2">
        <v>1</v>
      </c>
      <c r="B2" s="7">
        <v>22.1</v>
      </c>
      <c r="C2" s="2" t="s">
        <v>5</v>
      </c>
      <c r="D2" s="7">
        <f>IF(ISBLANK('Raw sheet'!D2),AVERAGE('Raw sheet'!$D$2:'Raw sheet'!$D$1500),'Raw sheet'!D2)</f>
        <v>25000</v>
      </c>
      <c r="E2" s="7" t="str">
        <f>IF(Table1[[#This Row],[Family_Income]]&gt;=100000,"Upper",IF(D2&gt;=50000,"Middle","Lower"))</f>
        <v>Lower</v>
      </c>
      <c r="F2" s="2" t="s">
        <v>4</v>
      </c>
      <c r="G2" s="3">
        <f>IF(ISBLANK('Raw sheet'!F2),AVERAGE('Raw sheet'!$F$2:'Raw sheet'!$F$1500),'Raw sheet'!F2)</f>
        <v>3.36</v>
      </c>
      <c r="H2" s="18">
        <v>86.1</v>
      </c>
      <c r="I2" s="9" t="str">
        <f t="shared" ref="I2:I65" si="0">IF(H2&gt;=75,"Good","Low")</f>
        <v>Good</v>
      </c>
      <c r="J2" s="2">
        <v>2</v>
      </c>
      <c r="K2" s="2">
        <v>20.399999999999999</v>
      </c>
      <c r="L2" s="2" t="s">
        <v>4</v>
      </c>
      <c r="M2" s="2" t="s">
        <v>3</v>
      </c>
      <c r="N2" s="5">
        <f>IF(ISBLANK('Raw sheet'!L2),AVERAGE('Raw sheet'!$L$2:'Raw sheet'!$L$1500),'Raw sheet'!L2)</f>
        <v>5.5</v>
      </c>
      <c r="O2" s="5" t="str">
        <f>IF(Table1[[#This Row],[Stress_Index]]&gt;=8,"High",IF(N2&gt;=5,"Medium","Low"))</f>
        <v>Medium</v>
      </c>
      <c r="P2" s="3">
        <v>0.96</v>
      </c>
      <c r="Q2" s="2">
        <v>0.9</v>
      </c>
      <c r="R2" s="3">
        <v>0.9</v>
      </c>
      <c r="S2" s="3" t="str">
        <f>IF(Table1[[#This Row],[CGPA]]&gt;=3,"High",IF(R1&gt;=2,"Medium","Low"))</f>
        <v>Medium</v>
      </c>
      <c r="T2" s="2" t="s">
        <v>2</v>
      </c>
      <c r="U2" s="2" t="s">
        <v>1</v>
      </c>
      <c r="V2" s="2" t="s">
        <v>15</v>
      </c>
      <c r="W2" s="7">
        <v>0</v>
      </c>
      <c r="X2" t="str">
        <f t="shared" ref="X2:X65" si="1">IF(W2=1,"Dropped Out","Active")</f>
        <v>Active</v>
      </c>
      <c r="Z2" s="2"/>
      <c r="AB2" s="20"/>
      <c r="AC2" s="20"/>
    </row>
    <row r="3" spans="1:29" x14ac:dyDescent="0.3">
      <c r="A3" s="2">
        <v>2</v>
      </c>
      <c r="B3" s="7">
        <v>20.7</v>
      </c>
      <c r="C3" s="2" t="s">
        <v>5</v>
      </c>
      <c r="D3" s="7">
        <f>IF(ISBLANK('Raw sheet'!D3),AVERAGE('Raw sheet'!$D$2:'Raw sheet'!$D$1500),'Raw sheet'!D3)</f>
        <v>25000</v>
      </c>
      <c r="E3" s="7" t="str">
        <f>IF(Table1[[#This Row],[Family_Income]]&gt;=100000,"Upper",IF(D3&gt;=50000,"Middle","Lower"))</f>
        <v>Lower</v>
      </c>
      <c r="F3" s="2" t="s">
        <v>4</v>
      </c>
      <c r="G3" s="3">
        <f>IF(ISBLANK('Raw sheet'!F3),AVERAGE('Raw sheet'!$F$2:'Raw sheet'!$F$1500),'Raw sheet'!F3)</f>
        <v>4.3</v>
      </c>
      <c r="H3" s="18">
        <v>68</v>
      </c>
      <c r="I3" s="9" t="str">
        <f t="shared" si="0"/>
        <v>Low</v>
      </c>
      <c r="J3" s="2">
        <v>2</v>
      </c>
      <c r="K3" s="2">
        <v>44</v>
      </c>
      <c r="L3" s="2" t="s">
        <v>3</v>
      </c>
      <c r="M3" s="2" t="s">
        <v>3</v>
      </c>
      <c r="N3" s="5">
        <f>IF(ISBLANK('Raw sheet'!L3),AVERAGE('Raw sheet'!$L$2:'Raw sheet'!$L$1500),'Raw sheet'!L3)</f>
        <v>6.8</v>
      </c>
      <c r="O3" s="5" t="str">
        <f>IF(Table1[[#This Row],[Stress_Index]]&gt;=8,"High",IF(N3&gt;=5,"Medium","Low"))</f>
        <v>Medium</v>
      </c>
      <c r="P3" s="3">
        <v>1.28</v>
      </c>
      <c r="Q3" s="2">
        <v>1.2</v>
      </c>
      <c r="R3" s="3">
        <v>1.19</v>
      </c>
      <c r="S3" s="3" t="str">
        <f>IF(Table1[[#This Row],[CGPA]]&gt;=3,"High",IF(R2&gt;=2,"Medium","Low"))</f>
        <v>Low</v>
      </c>
      <c r="T3" s="2" t="s">
        <v>10</v>
      </c>
      <c r="U3" s="2" t="s">
        <v>6</v>
      </c>
      <c r="V3" s="2" t="s">
        <v>9</v>
      </c>
      <c r="W3" s="7">
        <v>1</v>
      </c>
      <c r="X3" t="str">
        <f t="shared" si="1"/>
        <v>Dropped Out</v>
      </c>
      <c r="AB3" s="20"/>
      <c r="AC3" s="20"/>
    </row>
    <row r="4" spans="1:29" x14ac:dyDescent="0.3">
      <c r="A4" s="2">
        <v>3</v>
      </c>
      <c r="B4" s="7">
        <v>22.4</v>
      </c>
      <c r="C4" s="2" t="s">
        <v>5</v>
      </c>
      <c r="D4" s="7">
        <f>IF(ISBLANK('Raw sheet'!D4),AVERAGE('Raw sheet'!$D$2:'Raw sheet'!$D$1500),'Raw sheet'!D4)</f>
        <v>40183</v>
      </c>
      <c r="E4" s="7" t="str">
        <f>IF(Table1[[#This Row],[Family_Income]]&gt;=100000,"Upper",IF(D4&gt;=50000,"Middle","Lower"))</f>
        <v>Lower</v>
      </c>
      <c r="F4" s="2" t="s">
        <v>4</v>
      </c>
      <c r="G4" s="3">
        <f>IF(ISBLANK('Raw sheet'!F4),AVERAGE('Raw sheet'!$F$2:'Raw sheet'!$F$1500),'Raw sheet'!F4)</f>
        <v>4.4000000000000004</v>
      </c>
      <c r="H4" s="18">
        <v>70.900000000000006</v>
      </c>
      <c r="I4" s="9" t="str">
        <f t="shared" si="0"/>
        <v>Low</v>
      </c>
      <c r="J4" s="2">
        <v>0</v>
      </c>
      <c r="K4" s="2">
        <v>48.9</v>
      </c>
      <c r="L4" s="2" t="s">
        <v>4</v>
      </c>
      <c r="M4" s="2" t="s">
        <v>3</v>
      </c>
      <c r="N4" s="5">
        <f>IF(ISBLANK('Raw sheet'!L4),AVERAGE('Raw sheet'!$L$2:'Raw sheet'!$L$1500),'Raw sheet'!L4)</f>
        <v>5.5</v>
      </c>
      <c r="O4" s="5" t="str">
        <f>IF(Table1[[#This Row],[Stress_Index]]&gt;=8,"High",IF(N4&gt;=5,"Medium","Low"))</f>
        <v>Medium</v>
      </c>
      <c r="P4" s="3">
        <v>1.68</v>
      </c>
      <c r="Q4" s="2">
        <v>1.32</v>
      </c>
      <c r="R4" s="3">
        <v>1.32</v>
      </c>
      <c r="S4" s="3" t="str">
        <f>IF(Table1[[#This Row],[CGPA]]&gt;=3,"High",IF(R3&gt;=2,"Medium","Low"))</f>
        <v>Low</v>
      </c>
      <c r="T4" s="2" t="s">
        <v>2</v>
      </c>
      <c r="U4" s="2" t="s">
        <v>1</v>
      </c>
      <c r="V4" s="2" t="s">
        <v>0</v>
      </c>
      <c r="W4" s="7">
        <v>0</v>
      </c>
      <c r="X4" t="str">
        <f t="shared" si="1"/>
        <v>Active</v>
      </c>
      <c r="AB4" s="21"/>
      <c r="AC4" s="22"/>
    </row>
    <row r="5" spans="1:29" x14ac:dyDescent="0.3">
      <c r="A5" s="2">
        <v>4</v>
      </c>
      <c r="B5" s="7">
        <v>24.4</v>
      </c>
      <c r="C5" s="2" t="s">
        <v>5</v>
      </c>
      <c r="D5" s="7">
        <f>IF(ISBLANK('Raw sheet'!D5),AVERAGE('Raw sheet'!$D$2:'Raw sheet'!$D$1500),'Raw sheet'!D5)</f>
        <v>38587.00282087447</v>
      </c>
      <c r="E5" s="7" t="str">
        <f>IF(Table1[[#This Row],[Family_Income]]&gt;=100000,"Upper",IF(D5&gt;=50000,"Middle","Lower"))</f>
        <v>Lower</v>
      </c>
      <c r="F5" s="2" t="s">
        <v>4</v>
      </c>
      <c r="G5" s="3">
        <f>IF(ISBLANK('Raw sheet'!F5),AVERAGE('Raw sheet'!$F$2:'Raw sheet'!$F$1500),'Raw sheet'!F5)</f>
        <v>4.0178702397743278</v>
      </c>
      <c r="H5" s="18">
        <v>82.2</v>
      </c>
      <c r="I5" s="9" t="str">
        <f t="shared" si="0"/>
        <v>Good</v>
      </c>
      <c r="J5" s="2">
        <v>2</v>
      </c>
      <c r="K5" s="2">
        <v>38.6</v>
      </c>
      <c r="L5" s="2" t="s">
        <v>3</v>
      </c>
      <c r="M5" s="2" t="s">
        <v>3</v>
      </c>
      <c r="N5" s="5">
        <f>IF(ISBLANK('Raw sheet'!L5),AVERAGE('Raw sheet'!$L$2:'Raw sheet'!$L$1500),'Raw sheet'!L5)</f>
        <v>5.5242595204513369</v>
      </c>
      <c r="O5" s="5" t="str">
        <f>IF(Table1[[#This Row],[Stress_Index]]&gt;=8,"High",IF(N5&gt;=5,"Medium","Low"))</f>
        <v>Medium</v>
      </c>
      <c r="P5" s="3">
        <v>1.78</v>
      </c>
      <c r="Q5" s="2">
        <v>1.77</v>
      </c>
      <c r="R5" s="3">
        <v>1.77</v>
      </c>
      <c r="S5" s="3" t="str">
        <f>IF(Table1[[#This Row],[CGPA]]&gt;=3,"High",IF(R4&gt;=2,"Medium","Low"))</f>
        <v>Low</v>
      </c>
      <c r="T5" s="2" t="s">
        <v>2</v>
      </c>
      <c r="U5" s="2" t="s">
        <v>14</v>
      </c>
      <c r="V5" s="2" t="s">
        <v>15</v>
      </c>
      <c r="W5" s="7">
        <v>1</v>
      </c>
      <c r="X5" t="str">
        <f t="shared" si="1"/>
        <v>Dropped Out</v>
      </c>
    </row>
    <row r="6" spans="1:29" x14ac:dyDescent="0.3">
      <c r="A6" s="2">
        <v>5</v>
      </c>
      <c r="B6" s="7">
        <v>20.5</v>
      </c>
      <c r="C6" s="2" t="s">
        <v>11</v>
      </c>
      <c r="D6" s="7">
        <f>IF(ISBLANK('Raw sheet'!D6),AVERAGE('Raw sheet'!$D$2:'Raw sheet'!$D$1500),'Raw sheet'!D6)</f>
        <v>25319</v>
      </c>
      <c r="E6" s="7" t="str">
        <f>IF(Table1[[#This Row],[Family_Income]]&gt;=100000,"Upper",IF(D6&gt;=50000,"Middle","Lower"))</f>
        <v>Lower</v>
      </c>
      <c r="F6" s="2" t="s">
        <v>4</v>
      </c>
      <c r="G6" s="3">
        <f>IF(ISBLANK('Raw sheet'!F6),AVERAGE('Raw sheet'!$F$2:'Raw sheet'!$F$1500),'Raw sheet'!F6)</f>
        <v>4.1900000000000004</v>
      </c>
      <c r="H6" s="18">
        <v>75.7</v>
      </c>
      <c r="I6" s="9" t="str">
        <f t="shared" si="0"/>
        <v>Good</v>
      </c>
      <c r="J6" s="2">
        <v>1</v>
      </c>
      <c r="K6" s="2">
        <v>23</v>
      </c>
      <c r="L6" s="2" t="s">
        <v>3</v>
      </c>
      <c r="M6" s="2" t="s">
        <v>3</v>
      </c>
      <c r="N6" s="5">
        <f>IF(ISBLANK('Raw sheet'!L6),AVERAGE('Raw sheet'!$L$2:'Raw sheet'!$L$1500),'Raw sheet'!L6)</f>
        <v>7</v>
      </c>
      <c r="O6" s="5" t="str">
        <f>IF(Table1[[#This Row],[Stress_Index]]&gt;=8,"High",IF(N6&gt;=5,"Medium","Low"))</f>
        <v>Medium</v>
      </c>
      <c r="P6" s="3">
        <v>1.48</v>
      </c>
      <c r="Q6" s="2">
        <v>0.91</v>
      </c>
      <c r="R6" s="3">
        <v>0.87</v>
      </c>
      <c r="S6" s="3" t="str">
        <f>IF(Table1[[#This Row],[CGPA]]&gt;=3,"High",IF(R5&gt;=2,"Medium","Low"))</f>
        <v>Low</v>
      </c>
      <c r="T6" s="2" t="s">
        <v>7</v>
      </c>
      <c r="U6" s="2" t="s">
        <v>8</v>
      </c>
      <c r="V6" s="2" t="s">
        <v>9</v>
      </c>
      <c r="W6" s="7">
        <v>0</v>
      </c>
      <c r="X6" t="str">
        <f t="shared" si="1"/>
        <v>Active</v>
      </c>
    </row>
    <row r="7" spans="1:29" x14ac:dyDescent="0.3">
      <c r="A7" s="2">
        <v>6</v>
      </c>
      <c r="B7" s="7">
        <v>20.5</v>
      </c>
      <c r="C7" s="2" t="s">
        <v>5</v>
      </c>
      <c r="D7" s="7">
        <f>IF(ISBLANK('Raw sheet'!D7),AVERAGE('Raw sheet'!$D$2:'Raw sheet'!$D$1500),'Raw sheet'!D7)</f>
        <v>25000</v>
      </c>
      <c r="E7" s="7" t="str">
        <f>IF(Table1[[#This Row],[Family_Income]]&gt;=100000,"Upper",IF(D7&gt;=50000,"Middle","Lower"))</f>
        <v>Lower</v>
      </c>
      <c r="F7" s="2" t="s">
        <v>4</v>
      </c>
      <c r="G7" s="3">
        <f>IF(ISBLANK('Raw sheet'!F7),AVERAGE('Raw sheet'!$F$2:'Raw sheet'!$F$1500),'Raw sheet'!F7)</f>
        <v>4.1100000000000003</v>
      </c>
      <c r="H7" s="18">
        <v>89.1</v>
      </c>
      <c r="I7" s="9" t="str">
        <f t="shared" si="0"/>
        <v>Good</v>
      </c>
      <c r="J7" s="2">
        <v>2</v>
      </c>
      <c r="K7" s="2">
        <v>47.1</v>
      </c>
      <c r="L7" s="2" t="s">
        <v>3</v>
      </c>
      <c r="M7" s="2" t="s">
        <v>4</v>
      </c>
      <c r="N7" s="5">
        <f>IF(ISBLANK('Raw sheet'!L7),AVERAGE('Raw sheet'!$L$2:'Raw sheet'!$L$1500),'Raw sheet'!L7)</f>
        <v>6</v>
      </c>
      <c r="O7" s="5" t="str">
        <f>IF(Table1[[#This Row],[Stress_Index]]&gt;=8,"High",IF(N7&gt;=5,"Medium","Low"))</f>
        <v>Medium</v>
      </c>
      <c r="P7" s="3">
        <v>2.52</v>
      </c>
      <c r="Q7" s="2">
        <v>2.72</v>
      </c>
      <c r="R7" s="3">
        <v>2.69</v>
      </c>
      <c r="S7" s="3" t="str">
        <f>IF(Table1[[#This Row],[CGPA]]&gt;=3,"High",IF(R6&gt;=2,"Medium","Low"))</f>
        <v>Low</v>
      </c>
      <c r="T7" s="2" t="s">
        <v>10</v>
      </c>
      <c r="U7" s="2" t="s">
        <v>8</v>
      </c>
      <c r="V7" s="2" t="s">
        <v>17</v>
      </c>
      <c r="W7" s="7">
        <v>0</v>
      </c>
      <c r="X7" t="str">
        <f t="shared" si="1"/>
        <v>Active</v>
      </c>
    </row>
    <row r="8" spans="1:29" x14ac:dyDescent="0.3">
      <c r="A8" s="2">
        <v>7</v>
      </c>
      <c r="B8" s="7">
        <v>24.5</v>
      </c>
      <c r="C8" s="2" t="s">
        <v>5</v>
      </c>
      <c r="D8" s="7">
        <f>IF(ISBLANK('Raw sheet'!D8),AVERAGE('Raw sheet'!$D$2:'Raw sheet'!$D$1500),'Raw sheet'!D8)</f>
        <v>25000</v>
      </c>
      <c r="E8" s="7" t="str">
        <f>IF(Table1[[#This Row],[Family_Income]]&gt;=100000,"Upper",IF(D8&gt;=50000,"Middle","Lower"))</f>
        <v>Lower</v>
      </c>
      <c r="F8" s="2" t="s">
        <v>4</v>
      </c>
      <c r="G8" s="3">
        <f>IF(ISBLANK('Raw sheet'!F8),AVERAGE('Raw sheet'!$F$2:'Raw sheet'!$F$1500),'Raw sheet'!F8)</f>
        <v>3</v>
      </c>
      <c r="H8" s="18">
        <v>78.2</v>
      </c>
      <c r="I8" s="9" t="str">
        <f t="shared" si="0"/>
        <v>Good</v>
      </c>
      <c r="J8" s="2">
        <v>1</v>
      </c>
      <c r="K8" s="2">
        <v>37.4</v>
      </c>
      <c r="L8" s="2" t="s">
        <v>4</v>
      </c>
      <c r="M8" s="2" t="s">
        <v>4</v>
      </c>
      <c r="N8" s="5">
        <f>IF(ISBLANK('Raw sheet'!L8),AVERAGE('Raw sheet'!$L$2:'Raw sheet'!$L$1500),'Raw sheet'!L8)</f>
        <v>7.3</v>
      </c>
      <c r="O8" s="5" t="str">
        <f>IF(Table1[[#This Row],[Stress_Index]]&gt;=8,"High",IF(N8&gt;=5,"Medium","Low"))</f>
        <v>Medium</v>
      </c>
      <c r="P8" s="3">
        <v>0.64</v>
      </c>
      <c r="Q8" s="2">
        <v>0.33</v>
      </c>
      <c r="R8" s="3">
        <v>0.44</v>
      </c>
      <c r="S8" s="3" t="str">
        <f>IF(Table1[[#This Row],[CGPA]]&gt;=3,"High",IF(R7&gt;=2,"Medium","Low"))</f>
        <v>Medium</v>
      </c>
      <c r="T8" s="2" t="s">
        <v>7</v>
      </c>
      <c r="U8" s="2" t="s">
        <v>14</v>
      </c>
      <c r="V8" s="2" t="s">
        <v>9</v>
      </c>
      <c r="W8" s="7">
        <v>0</v>
      </c>
      <c r="X8" t="str">
        <f t="shared" si="1"/>
        <v>Active</v>
      </c>
    </row>
    <row r="9" spans="1:29" x14ac:dyDescent="0.3">
      <c r="A9" s="2">
        <v>8</v>
      </c>
      <c r="B9" s="7">
        <v>22.7</v>
      </c>
      <c r="C9" s="2" t="s">
        <v>11</v>
      </c>
      <c r="D9" s="7">
        <f>IF(ISBLANK('Raw sheet'!D9),AVERAGE('Raw sheet'!$D$2:'Raw sheet'!$D$1500),'Raw sheet'!D9)</f>
        <v>25000</v>
      </c>
      <c r="E9" s="7" t="str">
        <f>IF(Table1[[#This Row],[Family_Income]]&gt;=100000,"Upper",IF(D9&gt;=50000,"Middle","Lower"))</f>
        <v>Lower</v>
      </c>
      <c r="F9" s="2" t="s">
        <v>4</v>
      </c>
      <c r="G9" s="3">
        <f>IF(ISBLANK('Raw sheet'!F9),AVERAGE('Raw sheet'!$F$2:'Raw sheet'!$F$1500),'Raw sheet'!F9)</f>
        <v>2.12</v>
      </c>
      <c r="H9" s="18">
        <v>86.4</v>
      </c>
      <c r="I9" s="9" t="str">
        <f t="shared" si="0"/>
        <v>Good</v>
      </c>
      <c r="J9" s="2">
        <v>1</v>
      </c>
      <c r="K9" s="2">
        <v>34</v>
      </c>
      <c r="L9" s="2" t="s">
        <v>3</v>
      </c>
      <c r="M9" s="2" t="s">
        <v>4</v>
      </c>
      <c r="N9" s="5">
        <f>IF(ISBLANK('Raw sheet'!L9),AVERAGE('Raw sheet'!$L$2:'Raw sheet'!$L$1500),'Raw sheet'!L9)</f>
        <v>6.5</v>
      </c>
      <c r="O9" s="5" t="str">
        <f>IF(Table1[[#This Row],[Stress_Index]]&gt;=8,"High",IF(N9&gt;=5,"Medium","Low"))</f>
        <v>Medium</v>
      </c>
      <c r="P9" s="3">
        <v>1.79</v>
      </c>
      <c r="Q9" s="2">
        <v>1.1399999999999999</v>
      </c>
      <c r="R9" s="3">
        <v>1.1399999999999999</v>
      </c>
      <c r="S9" s="3" t="str">
        <f>IF(Table1[[#This Row],[CGPA]]&gt;=3,"High",IF(R8&gt;=2,"Medium","Low"))</f>
        <v>Low</v>
      </c>
      <c r="T9" s="2" t="s">
        <v>2</v>
      </c>
      <c r="U9" s="2" t="s">
        <v>1</v>
      </c>
      <c r="V9" s="2" t="s">
        <v>15</v>
      </c>
      <c r="W9" s="7">
        <v>0</v>
      </c>
      <c r="X9" t="str">
        <f t="shared" si="1"/>
        <v>Active</v>
      </c>
    </row>
    <row r="10" spans="1:29" x14ac:dyDescent="0.3">
      <c r="A10" s="2">
        <v>9</v>
      </c>
      <c r="B10" s="7">
        <v>20</v>
      </c>
      <c r="C10" s="2" t="s">
        <v>5</v>
      </c>
      <c r="D10" s="7">
        <f>IF(ISBLANK('Raw sheet'!D10),AVERAGE('Raw sheet'!$D$2:'Raw sheet'!$D$1500),'Raw sheet'!D10)</f>
        <v>57413</v>
      </c>
      <c r="E10" s="7" t="str">
        <f>IF(Table1[[#This Row],[Family_Income]]&gt;=100000,"Upper",IF(D10&gt;=50000,"Middle","Lower"))</f>
        <v>Middle</v>
      </c>
      <c r="F10" s="2" t="s">
        <v>4</v>
      </c>
      <c r="G10" s="3">
        <f>IF(ISBLANK('Raw sheet'!F10),AVERAGE('Raw sheet'!$F$2:'Raw sheet'!$F$1500),'Raw sheet'!F10)</f>
        <v>4.07</v>
      </c>
      <c r="H10" s="18">
        <v>97.5</v>
      </c>
      <c r="I10" s="9" t="str">
        <f t="shared" si="0"/>
        <v>Good</v>
      </c>
      <c r="J10" s="2">
        <v>3</v>
      </c>
      <c r="K10" s="2">
        <v>52.1</v>
      </c>
      <c r="L10" s="2" t="s">
        <v>3</v>
      </c>
      <c r="M10" s="2" t="s">
        <v>3</v>
      </c>
      <c r="N10" s="5">
        <f>IF(ISBLANK('Raw sheet'!L10),AVERAGE('Raw sheet'!$L$2:'Raw sheet'!$L$1500),'Raw sheet'!L10)</f>
        <v>4.2</v>
      </c>
      <c r="O10" s="5" t="str">
        <f>IF(Table1[[#This Row],[Stress_Index]]&gt;=8,"High",IF(N10&gt;=5,"Medium","Low"))</f>
        <v>Low</v>
      </c>
      <c r="P10" s="3">
        <v>3.08</v>
      </c>
      <c r="Q10" s="2">
        <v>2.81</v>
      </c>
      <c r="R10" s="3">
        <v>2.81</v>
      </c>
      <c r="S10" s="3" t="str">
        <f>IF(Table1[[#This Row],[CGPA]]&gt;=3,"High",IF(R9&gt;=2,"Medium","Low"))</f>
        <v>Low</v>
      </c>
      <c r="T10" s="2" t="s">
        <v>2</v>
      </c>
      <c r="U10" s="2" t="s">
        <v>14</v>
      </c>
      <c r="V10" s="2" t="s">
        <v>15</v>
      </c>
      <c r="W10" s="7">
        <v>0</v>
      </c>
      <c r="X10" t="str">
        <f t="shared" si="1"/>
        <v>Active</v>
      </c>
    </row>
    <row r="11" spans="1:29" x14ac:dyDescent="0.3">
      <c r="A11" s="2">
        <v>10</v>
      </c>
      <c r="B11" s="7">
        <v>22.2</v>
      </c>
      <c r="C11" s="2" t="s">
        <v>11</v>
      </c>
      <c r="D11" s="7">
        <f>IF(ISBLANK('Raw sheet'!D11),AVERAGE('Raw sheet'!$D$2:'Raw sheet'!$D$1500),'Raw sheet'!D11)</f>
        <v>44930</v>
      </c>
      <c r="E11" s="7" t="str">
        <f>IF(Table1[[#This Row],[Family_Income]]&gt;=100000,"Upper",IF(D11&gt;=50000,"Middle","Lower"))</f>
        <v>Lower</v>
      </c>
      <c r="F11" s="2" t="s">
        <v>4</v>
      </c>
      <c r="G11" s="3">
        <f>IF(ISBLANK('Raw sheet'!F11),AVERAGE('Raw sheet'!$F$2:'Raw sheet'!$F$1500),'Raw sheet'!F11)</f>
        <v>2.98</v>
      </c>
      <c r="H11" s="18">
        <v>82.2</v>
      </c>
      <c r="I11" s="9" t="str">
        <f t="shared" si="0"/>
        <v>Good</v>
      </c>
      <c r="J11" s="2">
        <v>1</v>
      </c>
      <c r="K11" s="2">
        <v>19.7</v>
      </c>
      <c r="L11" s="2" t="s">
        <v>3</v>
      </c>
      <c r="M11" s="2" t="s">
        <v>3</v>
      </c>
      <c r="N11" s="5">
        <f>IF(ISBLANK('Raw sheet'!L11),AVERAGE('Raw sheet'!$L$2:'Raw sheet'!$L$1500),'Raw sheet'!L11)</f>
        <v>6.7</v>
      </c>
      <c r="O11" s="5" t="str">
        <f>IF(Table1[[#This Row],[Stress_Index]]&gt;=8,"High",IF(N11&gt;=5,"Medium","Low"))</f>
        <v>Medium</v>
      </c>
      <c r="P11" s="3">
        <v>1.59</v>
      </c>
      <c r="Q11" s="2">
        <v>1.73</v>
      </c>
      <c r="R11" s="3">
        <v>1.73</v>
      </c>
      <c r="S11" s="3" t="str">
        <f>IF(Table1[[#This Row],[CGPA]]&gt;=3,"High",IF(R10&gt;=2,"Medium","Low"))</f>
        <v>Medium</v>
      </c>
      <c r="T11" s="2" t="s">
        <v>2</v>
      </c>
      <c r="U11" s="2" t="s">
        <v>13</v>
      </c>
      <c r="V11" s="2" t="s">
        <v>0</v>
      </c>
      <c r="W11" s="7">
        <v>0</v>
      </c>
      <c r="X11" t="str">
        <f t="shared" si="1"/>
        <v>Active</v>
      </c>
    </row>
    <row r="12" spans="1:29" x14ac:dyDescent="0.3">
      <c r="A12" s="2">
        <v>11</v>
      </c>
      <c r="B12" s="7">
        <v>20</v>
      </c>
      <c r="C12" s="2" t="s">
        <v>11</v>
      </c>
      <c r="D12" s="7">
        <f>IF(ISBLANK('Raw sheet'!D12),AVERAGE('Raw sheet'!$D$2:'Raw sheet'!$D$1500),'Raw sheet'!D12)</f>
        <v>25000</v>
      </c>
      <c r="E12" s="7" t="str">
        <f>IF(Table1[[#This Row],[Family_Income]]&gt;=100000,"Upper",IF(D12&gt;=50000,"Middle","Lower"))</f>
        <v>Lower</v>
      </c>
      <c r="F12" s="2" t="s">
        <v>4</v>
      </c>
      <c r="G12" s="3">
        <f>IF(ISBLANK('Raw sheet'!F12),AVERAGE('Raw sheet'!$F$2:'Raw sheet'!$F$1500),'Raw sheet'!F12)</f>
        <v>5.27</v>
      </c>
      <c r="H12" s="18">
        <v>73.900000000000006</v>
      </c>
      <c r="I12" s="9" t="str">
        <f t="shared" si="0"/>
        <v>Low</v>
      </c>
      <c r="J12" s="2">
        <v>3</v>
      </c>
      <c r="K12" s="2">
        <v>39.299999999999997</v>
      </c>
      <c r="L12" s="2" t="s">
        <v>4</v>
      </c>
      <c r="M12" s="2" t="s">
        <v>3</v>
      </c>
      <c r="N12" s="5">
        <f>IF(ISBLANK('Raw sheet'!L12),AVERAGE('Raw sheet'!$L$2:'Raw sheet'!$L$1500),'Raw sheet'!L12)</f>
        <v>7.2</v>
      </c>
      <c r="O12" s="5" t="str">
        <f>IF(Table1[[#This Row],[Stress_Index]]&gt;=8,"High",IF(N12&gt;=5,"Medium","Low"))</f>
        <v>Medium</v>
      </c>
      <c r="P12" s="3">
        <v>1.52</v>
      </c>
      <c r="Q12" s="2">
        <v>1.5</v>
      </c>
      <c r="R12" s="3">
        <v>1.46</v>
      </c>
      <c r="S12" s="3" t="str">
        <f>IF(Table1[[#This Row],[CGPA]]&gt;=3,"High",IF(R11&gt;=2,"Medium","Low"))</f>
        <v>Low</v>
      </c>
      <c r="T12" s="2" t="s">
        <v>10</v>
      </c>
      <c r="U12" s="2" t="s">
        <v>8</v>
      </c>
      <c r="V12" s="2" t="s">
        <v>9</v>
      </c>
      <c r="W12" s="7">
        <v>1</v>
      </c>
      <c r="X12" t="str">
        <f t="shared" si="1"/>
        <v>Dropped Out</v>
      </c>
    </row>
    <row r="13" spans="1:29" x14ac:dyDescent="0.3">
      <c r="A13" s="2">
        <v>12</v>
      </c>
      <c r="B13" s="7">
        <v>20</v>
      </c>
      <c r="C13" s="2" t="s">
        <v>5</v>
      </c>
      <c r="D13" s="7">
        <f>IF(ISBLANK('Raw sheet'!D13),AVERAGE('Raw sheet'!$D$2:'Raw sheet'!$D$1500),'Raw sheet'!D13)</f>
        <v>46056</v>
      </c>
      <c r="E13" s="7" t="str">
        <f>IF(Table1[[#This Row],[Family_Income]]&gt;=100000,"Upper",IF(D13&gt;=50000,"Middle","Lower"))</f>
        <v>Lower</v>
      </c>
      <c r="F13" s="2" t="s">
        <v>4</v>
      </c>
      <c r="G13" s="3">
        <f>IF(ISBLANK('Raw sheet'!F13),AVERAGE('Raw sheet'!$F$2:'Raw sheet'!$F$1500),'Raw sheet'!F13)</f>
        <v>2.37</v>
      </c>
      <c r="H13" s="18">
        <v>85.2</v>
      </c>
      <c r="I13" s="9" t="str">
        <f t="shared" si="0"/>
        <v>Good</v>
      </c>
      <c r="J13" s="2">
        <v>6</v>
      </c>
      <c r="K13" s="2">
        <v>20.2</v>
      </c>
      <c r="L13" s="2" t="s">
        <v>4</v>
      </c>
      <c r="M13" s="2" t="s">
        <v>4</v>
      </c>
      <c r="N13" s="5">
        <f>IF(ISBLANK('Raw sheet'!L13),AVERAGE('Raw sheet'!$L$2:'Raw sheet'!$L$1500),'Raw sheet'!L13)</f>
        <v>8</v>
      </c>
      <c r="O13" s="5" t="str">
        <f>IF(Table1[[#This Row],[Stress_Index]]&gt;=8,"High",IF(N13&gt;=5,"Medium","Low"))</f>
        <v>High</v>
      </c>
      <c r="P13" s="3">
        <v>0</v>
      </c>
      <c r="Q13" s="2">
        <v>0.15</v>
      </c>
      <c r="R13" s="3">
        <v>0.15</v>
      </c>
      <c r="S13" s="3" t="str">
        <f>IF(Table1[[#This Row],[CGPA]]&gt;=3,"High",IF(R12&gt;=2,"Medium","Low"))</f>
        <v>Low</v>
      </c>
      <c r="T13" s="2" t="s">
        <v>12</v>
      </c>
      <c r="U13" s="2" t="s">
        <v>6</v>
      </c>
      <c r="V13" s="2" t="s">
        <v>9</v>
      </c>
      <c r="W13" s="7">
        <v>1</v>
      </c>
      <c r="X13" t="str">
        <f t="shared" si="1"/>
        <v>Dropped Out</v>
      </c>
    </row>
    <row r="14" spans="1:29" x14ac:dyDescent="0.3">
      <c r="A14" s="2">
        <v>13</v>
      </c>
      <c r="B14" s="7">
        <v>21.5</v>
      </c>
      <c r="C14" s="2" t="s">
        <v>11</v>
      </c>
      <c r="D14" s="7">
        <f>IF(ISBLANK('Raw sheet'!D14),AVERAGE('Raw sheet'!$D$2:'Raw sheet'!$D$1500),'Raw sheet'!D14)</f>
        <v>50644</v>
      </c>
      <c r="E14" s="7" t="str">
        <f>IF(Table1[[#This Row],[Family_Income]]&gt;=100000,"Upper",IF(D14&gt;=50000,"Middle","Lower"))</f>
        <v>Middle</v>
      </c>
      <c r="F14" s="2" t="s">
        <v>4</v>
      </c>
      <c r="G14" s="3">
        <f>IF(ISBLANK('Raw sheet'!F14),AVERAGE('Raw sheet'!$F$2:'Raw sheet'!$F$1500),'Raw sheet'!F14)</f>
        <v>3.54</v>
      </c>
      <c r="H14" s="18">
        <v>84.3</v>
      </c>
      <c r="I14" s="9" t="str">
        <f t="shared" si="0"/>
        <v>Good</v>
      </c>
      <c r="J14" s="2">
        <v>1</v>
      </c>
      <c r="K14" s="2">
        <v>22.7</v>
      </c>
      <c r="L14" s="2" t="s">
        <v>3</v>
      </c>
      <c r="M14" s="2" t="s">
        <v>4</v>
      </c>
      <c r="N14" s="5">
        <f>IF(ISBLANK('Raw sheet'!L14),AVERAGE('Raw sheet'!$L$2:'Raw sheet'!$L$1500),'Raw sheet'!L14)</f>
        <v>4.5999999999999996</v>
      </c>
      <c r="O14" s="5" t="str">
        <f>IF(Table1[[#This Row],[Stress_Index]]&gt;=8,"High",IF(N14&gt;=5,"Medium","Low"))</f>
        <v>Low</v>
      </c>
      <c r="P14" s="3">
        <v>2.56</v>
      </c>
      <c r="Q14" s="2">
        <v>2.65</v>
      </c>
      <c r="R14" s="3">
        <v>2.72</v>
      </c>
      <c r="S14" s="3" t="str">
        <f>IF(Table1[[#This Row],[CGPA]]&gt;=3,"High",IF(R13&gt;=2,"Medium","Low"))</f>
        <v>Low</v>
      </c>
      <c r="T14" s="2" t="s">
        <v>7</v>
      </c>
      <c r="U14" s="2" t="s">
        <v>14</v>
      </c>
      <c r="V14" s="2" t="s">
        <v>17</v>
      </c>
      <c r="W14" s="7">
        <v>0</v>
      </c>
      <c r="X14" t="str">
        <f t="shared" si="1"/>
        <v>Active</v>
      </c>
    </row>
    <row r="15" spans="1:29" x14ac:dyDescent="0.3">
      <c r="A15" s="2">
        <v>14</v>
      </c>
      <c r="B15" s="7">
        <v>17</v>
      </c>
      <c r="C15" s="2" t="s">
        <v>11</v>
      </c>
      <c r="D15" s="7">
        <f>IF(ISBLANK('Raw sheet'!D15),AVERAGE('Raw sheet'!$D$2:'Raw sheet'!$D$1500),'Raw sheet'!D15)</f>
        <v>27000</v>
      </c>
      <c r="E15" s="7" t="str">
        <f>IF(Table1[[#This Row],[Family_Income]]&gt;=100000,"Upper",IF(D15&gt;=50000,"Middle","Lower"))</f>
        <v>Lower</v>
      </c>
      <c r="F15" s="2" t="s">
        <v>4</v>
      </c>
      <c r="G15" s="3">
        <f>IF(ISBLANK('Raw sheet'!F15),AVERAGE('Raw sheet'!$F$2:'Raw sheet'!$F$1500),'Raw sheet'!F15)</f>
        <v>4.2</v>
      </c>
      <c r="H15" s="18">
        <v>84</v>
      </c>
      <c r="I15" s="9" t="str">
        <f t="shared" si="0"/>
        <v>Good</v>
      </c>
      <c r="J15" s="2">
        <v>1</v>
      </c>
      <c r="K15" s="2">
        <v>61.2</v>
      </c>
      <c r="L15" s="2" t="s">
        <v>3</v>
      </c>
      <c r="M15" s="2" t="s">
        <v>4</v>
      </c>
      <c r="N15" s="5">
        <f>IF(ISBLANK('Raw sheet'!L15),AVERAGE('Raw sheet'!$L$2:'Raw sheet'!$L$1500),'Raw sheet'!L15)</f>
        <v>4.8</v>
      </c>
      <c r="O15" s="5" t="str">
        <f>IF(Table1[[#This Row],[Stress_Index]]&gt;=8,"High",IF(N15&gt;=5,"Medium","Low"))</f>
        <v>Low</v>
      </c>
      <c r="P15" s="3">
        <v>2.68</v>
      </c>
      <c r="Q15" s="2">
        <v>2.7</v>
      </c>
      <c r="R15" s="3">
        <v>2.7</v>
      </c>
      <c r="S15" s="3" t="str">
        <f>IF(Table1[[#This Row],[CGPA]]&gt;=3,"High",IF(R14&gt;=2,"Medium","Low"))</f>
        <v>Medium</v>
      </c>
      <c r="T15" s="2" t="s">
        <v>2</v>
      </c>
      <c r="U15" s="2" t="s">
        <v>8</v>
      </c>
      <c r="V15" s="2" t="s">
        <v>9</v>
      </c>
      <c r="W15" s="7">
        <v>0</v>
      </c>
      <c r="X15" t="str">
        <f t="shared" si="1"/>
        <v>Active</v>
      </c>
    </row>
    <row r="16" spans="1:29" x14ac:dyDescent="0.3">
      <c r="A16" s="2">
        <v>15</v>
      </c>
      <c r="B16" s="7">
        <v>17.2</v>
      </c>
      <c r="C16" s="2" t="s">
        <v>5</v>
      </c>
      <c r="D16" s="7">
        <f>IF(ISBLANK('Raw sheet'!D16),AVERAGE('Raw sheet'!$D$2:'Raw sheet'!$D$1500),'Raw sheet'!D16)</f>
        <v>38587.00282087447</v>
      </c>
      <c r="E16" s="7" t="str">
        <f>IF(Table1[[#This Row],[Family_Income]]&gt;=100000,"Upper",IF(D16&gt;=50000,"Middle","Lower"))</f>
        <v>Lower</v>
      </c>
      <c r="F16" s="2" t="s">
        <v>4</v>
      </c>
      <c r="G16" s="3">
        <f>IF(ISBLANK('Raw sheet'!F16),AVERAGE('Raw sheet'!$F$2:'Raw sheet'!$F$1500),'Raw sheet'!F16)</f>
        <v>4.0178702397743278</v>
      </c>
      <c r="H16" s="18">
        <v>92.9</v>
      </c>
      <c r="I16" s="9" t="str">
        <f t="shared" si="0"/>
        <v>Good</v>
      </c>
      <c r="J16" s="2">
        <v>1</v>
      </c>
      <c r="K16" s="2">
        <v>36</v>
      </c>
      <c r="L16" s="2" t="s">
        <v>4</v>
      </c>
      <c r="M16" s="2" t="s">
        <v>3</v>
      </c>
      <c r="N16" s="5">
        <f>IF(ISBLANK('Raw sheet'!L16),AVERAGE('Raw sheet'!$L$2:'Raw sheet'!$L$1500),'Raw sheet'!L16)</f>
        <v>5.5242595204513369</v>
      </c>
      <c r="O16" s="5" t="str">
        <f>IF(Table1[[#This Row],[Stress_Index]]&gt;=8,"High",IF(N16&gt;=5,"Medium","Low"))</f>
        <v>Medium</v>
      </c>
      <c r="P16" s="3">
        <v>2.6</v>
      </c>
      <c r="Q16" s="2">
        <v>2.77</v>
      </c>
      <c r="R16" s="3">
        <v>2.92</v>
      </c>
      <c r="S16" s="3" t="str">
        <f>IF(Table1[[#This Row],[CGPA]]&gt;=3,"High",IF(R15&gt;=2,"Medium","Low"))</f>
        <v>Medium</v>
      </c>
      <c r="T16" s="2" t="s">
        <v>10</v>
      </c>
      <c r="U16" s="2" t="s">
        <v>6</v>
      </c>
      <c r="V16" s="2" t="s">
        <v>9</v>
      </c>
      <c r="W16" s="7">
        <v>0</v>
      </c>
      <c r="X16" t="str">
        <f t="shared" si="1"/>
        <v>Active</v>
      </c>
    </row>
    <row r="17" spans="1:24" x14ac:dyDescent="0.3">
      <c r="A17" s="2">
        <v>16</v>
      </c>
      <c r="B17" s="7">
        <v>19.8</v>
      </c>
      <c r="C17" s="2" t="s">
        <v>5</v>
      </c>
      <c r="D17" s="7">
        <f>IF(ISBLANK('Raw sheet'!D17),AVERAGE('Raw sheet'!$D$2:'Raw sheet'!$D$1500),'Raw sheet'!D17)</f>
        <v>26246</v>
      </c>
      <c r="E17" s="7" t="str">
        <f>IF(Table1[[#This Row],[Family_Income]]&gt;=100000,"Upper",IF(D17&gt;=50000,"Middle","Lower"))</f>
        <v>Lower</v>
      </c>
      <c r="F17" s="2" t="s">
        <v>3</v>
      </c>
      <c r="G17" s="3">
        <f>IF(ISBLANK('Raw sheet'!F17),AVERAGE('Raw sheet'!$F$2:'Raw sheet'!$F$1500),'Raw sheet'!F17)</f>
        <v>3.49</v>
      </c>
      <c r="H17" s="18">
        <v>72.5</v>
      </c>
      <c r="I17" s="9" t="str">
        <f t="shared" si="0"/>
        <v>Low</v>
      </c>
      <c r="J17" s="2">
        <v>2</v>
      </c>
      <c r="K17" s="2">
        <v>52.2</v>
      </c>
      <c r="L17" s="2" t="s">
        <v>3</v>
      </c>
      <c r="M17" s="2" t="s">
        <v>3</v>
      </c>
      <c r="N17" s="5">
        <f>IF(ISBLANK('Raw sheet'!L17),AVERAGE('Raw sheet'!$L$2:'Raw sheet'!$L$1500),'Raw sheet'!L17)</f>
        <v>7</v>
      </c>
      <c r="O17" s="5" t="str">
        <f>IF(Table1[[#This Row],[Stress_Index]]&gt;=8,"High",IF(N17&gt;=5,"Medium","Low"))</f>
        <v>Medium</v>
      </c>
      <c r="P17" s="3">
        <v>2.81</v>
      </c>
      <c r="Q17" s="2">
        <v>3.15</v>
      </c>
      <c r="R17" s="3">
        <v>3.15</v>
      </c>
      <c r="S17" s="3" t="str">
        <f>IF(Table1[[#This Row],[CGPA]]&gt;=3,"High",IF(R16&gt;=2,"Medium","Low"))</f>
        <v>High</v>
      </c>
      <c r="T17" s="2" t="s">
        <v>2</v>
      </c>
      <c r="U17" s="2" t="s">
        <v>1</v>
      </c>
      <c r="V17" s="2" t="s">
        <v>0</v>
      </c>
      <c r="W17" s="7">
        <v>0</v>
      </c>
      <c r="X17" t="str">
        <f t="shared" si="1"/>
        <v>Active</v>
      </c>
    </row>
    <row r="18" spans="1:24" x14ac:dyDescent="0.3">
      <c r="A18" s="2">
        <v>17</v>
      </c>
      <c r="B18" s="7">
        <v>18.8</v>
      </c>
      <c r="C18" s="2" t="s">
        <v>11</v>
      </c>
      <c r="D18" s="7">
        <f>IF(ISBLANK('Raw sheet'!D18),AVERAGE('Raw sheet'!$D$2:'Raw sheet'!$D$1500),'Raw sheet'!D18)</f>
        <v>28037</v>
      </c>
      <c r="E18" s="7" t="str">
        <f>IF(Table1[[#This Row],[Family_Income]]&gt;=100000,"Upper",IF(D18&gt;=50000,"Middle","Lower"))</f>
        <v>Lower</v>
      </c>
      <c r="F18" s="2" t="s">
        <v>4</v>
      </c>
      <c r="G18" s="3">
        <f>IF(ISBLANK('Raw sheet'!F18),AVERAGE('Raw sheet'!$F$2:'Raw sheet'!$F$1500),'Raw sheet'!F18)</f>
        <v>4.24</v>
      </c>
      <c r="H18" s="18">
        <v>90</v>
      </c>
      <c r="I18" s="9" t="str">
        <f t="shared" si="0"/>
        <v>Good</v>
      </c>
      <c r="J18" s="2">
        <v>2</v>
      </c>
      <c r="K18" s="2">
        <v>36.5</v>
      </c>
      <c r="L18" s="2" t="s">
        <v>3</v>
      </c>
      <c r="M18" s="2" t="s">
        <v>4</v>
      </c>
      <c r="N18" s="5">
        <f>IF(ISBLANK('Raw sheet'!L18),AVERAGE('Raw sheet'!$L$2:'Raw sheet'!$L$1500),'Raw sheet'!L18)</f>
        <v>4.5999999999999996</v>
      </c>
      <c r="O18" s="5" t="str">
        <f>IF(Table1[[#This Row],[Stress_Index]]&gt;=8,"High",IF(N18&gt;=5,"Medium","Low"))</f>
        <v>Low</v>
      </c>
      <c r="P18" s="3">
        <v>2.5499999999999998</v>
      </c>
      <c r="Q18" s="2">
        <v>2.2000000000000002</v>
      </c>
      <c r="R18" s="3">
        <v>2.2000000000000002</v>
      </c>
      <c r="S18" s="3" t="str">
        <f>IF(Table1[[#This Row],[CGPA]]&gt;=3,"High",IF(R17&gt;=2,"Medium","Low"))</f>
        <v>Medium</v>
      </c>
      <c r="T18" s="2" t="s">
        <v>2</v>
      </c>
      <c r="U18" s="2" t="s">
        <v>6</v>
      </c>
      <c r="V18" s="2" t="s">
        <v>15</v>
      </c>
      <c r="W18" s="7">
        <v>0</v>
      </c>
      <c r="X18" t="str">
        <f t="shared" si="1"/>
        <v>Active</v>
      </c>
    </row>
    <row r="19" spans="1:24" x14ac:dyDescent="0.3">
      <c r="A19" s="2">
        <v>18</v>
      </c>
      <c r="B19" s="7">
        <v>21.7</v>
      </c>
      <c r="C19" s="2" t="s">
        <v>11</v>
      </c>
      <c r="D19" s="7">
        <f>IF(ISBLANK('Raw sheet'!D19),AVERAGE('Raw sheet'!$D$2:'Raw sheet'!$D$1500),'Raw sheet'!D19)</f>
        <v>25000</v>
      </c>
      <c r="E19" s="7" t="str">
        <f>IF(Table1[[#This Row],[Family_Income]]&gt;=100000,"Upper",IF(D19&gt;=50000,"Middle","Lower"))</f>
        <v>Lower</v>
      </c>
      <c r="F19" s="2" t="s">
        <v>4</v>
      </c>
      <c r="G19" s="3">
        <f>IF(ISBLANK('Raw sheet'!F19),AVERAGE('Raw sheet'!$F$2:'Raw sheet'!$F$1500),'Raw sheet'!F19)</f>
        <v>4.8</v>
      </c>
      <c r="H19" s="18">
        <v>77.2</v>
      </c>
      <c r="I19" s="9" t="str">
        <f t="shared" si="0"/>
        <v>Good</v>
      </c>
      <c r="J19" s="2">
        <v>0</v>
      </c>
      <c r="K19" s="2">
        <v>34.799999999999997</v>
      </c>
      <c r="L19" s="2" t="s">
        <v>4</v>
      </c>
      <c r="M19" s="2" t="s">
        <v>4</v>
      </c>
      <c r="N19" s="5">
        <f>IF(ISBLANK('Raw sheet'!L19),AVERAGE('Raw sheet'!$L$2:'Raw sheet'!$L$1500),'Raw sheet'!L19)</f>
        <v>4.3</v>
      </c>
      <c r="O19" s="5" t="str">
        <f>IF(Table1[[#This Row],[Stress_Index]]&gt;=8,"High",IF(N19&gt;=5,"Medium","Low"))</f>
        <v>Low</v>
      </c>
      <c r="P19" s="3">
        <v>1.99</v>
      </c>
      <c r="Q19" s="2">
        <v>1.8</v>
      </c>
      <c r="R19" s="3">
        <v>1.78</v>
      </c>
      <c r="S19" s="3" t="str">
        <f>IF(Table1[[#This Row],[CGPA]]&gt;=3,"High",IF(R18&gt;=2,"Medium","Low"))</f>
        <v>Medium</v>
      </c>
      <c r="T19" s="2" t="s">
        <v>7</v>
      </c>
      <c r="U19" s="2" t="s">
        <v>8</v>
      </c>
      <c r="V19" s="2" t="s">
        <v>0</v>
      </c>
      <c r="W19" s="7">
        <v>0</v>
      </c>
      <c r="X19" t="str">
        <f t="shared" si="1"/>
        <v>Active</v>
      </c>
    </row>
    <row r="20" spans="1:24" x14ac:dyDescent="0.3">
      <c r="A20" s="2">
        <v>19</v>
      </c>
      <c r="B20" s="7">
        <v>19</v>
      </c>
      <c r="C20" s="2" t="s">
        <v>11</v>
      </c>
      <c r="D20" s="7">
        <f>IF(ISBLANK('Raw sheet'!D20),AVERAGE('Raw sheet'!$D$2:'Raw sheet'!$D$1500),'Raw sheet'!D20)</f>
        <v>37058</v>
      </c>
      <c r="E20" s="7" t="str">
        <f>IF(Table1[[#This Row],[Family_Income]]&gt;=100000,"Upper",IF(D20&gt;=50000,"Middle","Lower"))</f>
        <v>Lower</v>
      </c>
      <c r="F20" s="2" t="s">
        <v>4</v>
      </c>
      <c r="G20" s="3">
        <f>IF(ISBLANK('Raw sheet'!F20),AVERAGE('Raw sheet'!$F$2:'Raw sheet'!$F$1500),'Raw sheet'!F20)</f>
        <v>4.99</v>
      </c>
      <c r="H20" s="18">
        <v>93</v>
      </c>
      <c r="I20" s="9" t="str">
        <f t="shared" si="0"/>
        <v>Good</v>
      </c>
      <c r="J20" s="2">
        <v>2</v>
      </c>
      <c r="K20" s="2">
        <v>22.5</v>
      </c>
      <c r="L20" s="2" t="s">
        <v>3</v>
      </c>
      <c r="M20" s="2" t="s">
        <v>3</v>
      </c>
      <c r="N20" s="5">
        <f>IF(ISBLANK('Raw sheet'!L20),AVERAGE('Raw sheet'!$L$2:'Raw sheet'!$L$1500),'Raw sheet'!L20)</f>
        <v>4.7</v>
      </c>
      <c r="O20" s="5" t="str">
        <f>IF(Table1[[#This Row],[Stress_Index]]&gt;=8,"High",IF(N20&gt;=5,"Medium","Low"))</f>
        <v>Low</v>
      </c>
      <c r="P20" s="3">
        <v>3.25</v>
      </c>
      <c r="Q20" s="2">
        <v>3.59</v>
      </c>
      <c r="R20" s="3">
        <v>3.59</v>
      </c>
      <c r="S20" s="3" t="str">
        <f>IF(Table1[[#This Row],[CGPA]]&gt;=3,"High",IF(R19&gt;=2,"Medium","Low"))</f>
        <v>High</v>
      </c>
      <c r="T20" s="2" t="s">
        <v>2</v>
      </c>
      <c r="U20" s="2" t="s">
        <v>1</v>
      </c>
      <c r="V20" s="2" t="s">
        <v>9</v>
      </c>
      <c r="W20" s="7">
        <v>0</v>
      </c>
      <c r="X20" t="str">
        <f t="shared" si="1"/>
        <v>Active</v>
      </c>
    </row>
    <row r="21" spans="1:24" x14ac:dyDescent="0.3">
      <c r="A21" s="2">
        <v>20</v>
      </c>
      <c r="B21" s="7">
        <v>17.899999999999999</v>
      </c>
      <c r="C21" s="2" t="s">
        <v>5</v>
      </c>
      <c r="D21" s="7">
        <f>IF(ISBLANK('Raw sheet'!D21),AVERAGE('Raw sheet'!$D$2:'Raw sheet'!$D$1500),'Raw sheet'!D21)</f>
        <v>35168</v>
      </c>
      <c r="E21" s="7" t="str">
        <f>IF(Table1[[#This Row],[Family_Income]]&gt;=100000,"Upper",IF(D21&gt;=50000,"Middle","Lower"))</f>
        <v>Lower</v>
      </c>
      <c r="F21" s="2" t="s">
        <v>4</v>
      </c>
      <c r="G21" s="3">
        <f>IF(ISBLANK('Raw sheet'!F21),AVERAGE('Raw sheet'!$F$2:'Raw sheet'!$F$1500),'Raw sheet'!F21)</f>
        <v>4.4800000000000004</v>
      </c>
      <c r="H21" s="18">
        <v>65</v>
      </c>
      <c r="I21" s="9" t="str">
        <f t="shared" si="0"/>
        <v>Low</v>
      </c>
      <c r="J21" s="2">
        <v>1</v>
      </c>
      <c r="K21" s="2">
        <v>41.7</v>
      </c>
      <c r="L21" s="2" t="s">
        <v>3</v>
      </c>
      <c r="M21" s="2" t="s">
        <v>3</v>
      </c>
      <c r="N21" s="5">
        <f>IF(ISBLANK('Raw sheet'!L21),AVERAGE('Raw sheet'!$L$2:'Raw sheet'!$L$1500),'Raw sheet'!L21)</f>
        <v>5.6</v>
      </c>
      <c r="O21" s="5" t="str">
        <f>IF(Table1[[#This Row],[Stress_Index]]&gt;=8,"High",IF(N21&gt;=5,"Medium","Low"))</f>
        <v>Medium</v>
      </c>
      <c r="P21" s="3">
        <v>1.71</v>
      </c>
      <c r="Q21" s="2">
        <v>1.63</v>
      </c>
      <c r="R21" s="3">
        <v>1.63</v>
      </c>
      <c r="S21" s="3" t="str">
        <f>IF(Table1[[#This Row],[CGPA]]&gt;=3,"High",IF(R20&gt;=2,"Medium","Low"))</f>
        <v>Medium</v>
      </c>
      <c r="T21" s="2" t="s">
        <v>2</v>
      </c>
      <c r="U21" s="2" t="s">
        <v>8</v>
      </c>
      <c r="V21" s="2" t="s">
        <v>9</v>
      </c>
      <c r="W21" s="7">
        <v>1</v>
      </c>
      <c r="X21" t="str">
        <f t="shared" si="1"/>
        <v>Dropped Out</v>
      </c>
    </row>
    <row r="22" spans="1:24" x14ac:dyDescent="0.3">
      <c r="A22" s="2">
        <v>21</v>
      </c>
      <c r="B22" s="7">
        <v>24.2</v>
      </c>
      <c r="C22" s="2" t="s">
        <v>11</v>
      </c>
      <c r="D22" s="7">
        <f>IF(ISBLANK('Raw sheet'!D22),AVERAGE('Raw sheet'!$D$2:'Raw sheet'!$D$1500),'Raw sheet'!D22)</f>
        <v>38833</v>
      </c>
      <c r="E22" s="7" t="str">
        <f>IF(Table1[[#This Row],[Family_Income]]&gt;=100000,"Upper",IF(D22&gt;=50000,"Middle","Lower"))</f>
        <v>Lower</v>
      </c>
      <c r="F22" s="2" t="s">
        <v>4</v>
      </c>
      <c r="G22" s="3">
        <f>IF(ISBLANK('Raw sheet'!F22),AVERAGE('Raw sheet'!$F$2:'Raw sheet'!$F$1500),'Raw sheet'!F22)</f>
        <v>6.35</v>
      </c>
      <c r="H22" s="18">
        <v>99.8</v>
      </c>
      <c r="I22" s="9" t="str">
        <f t="shared" si="0"/>
        <v>Good</v>
      </c>
      <c r="J22" s="2">
        <v>2</v>
      </c>
      <c r="K22" s="2">
        <v>30.3</v>
      </c>
      <c r="L22" s="2" t="s">
        <v>3</v>
      </c>
      <c r="M22" s="2" t="s">
        <v>4</v>
      </c>
      <c r="N22" s="5">
        <f>IF(ISBLANK('Raw sheet'!L22),AVERAGE('Raw sheet'!$L$2:'Raw sheet'!$L$1500),'Raw sheet'!L22)</f>
        <v>3.9</v>
      </c>
      <c r="O22" s="5" t="str">
        <f>IF(Table1[[#This Row],[Stress_Index]]&gt;=8,"High",IF(N22&gt;=5,"Medium","Low"))</f>
        <v>Low</v>
      </c>
      <c r="P22" s="3">
        <v>2.63</v>
      </c>
      <c r="Q22" s="2">
        <v>2.23</v>
      </c>
      <c r="R22" s="3">
        <v>2.23</v>
      </c>
      <c r="S22" s="3" t="str">
        <f>IF(Table1[[#This Row],[CGPA]]&gt;=3,"High",IF(R21&gt;=2,"Medium","Low"))</f>
        <v>Low</v>
      </c>
      <c r="T22" s="2" t="s">
        <v>2</v>
      </c>
      <c r="U22" s="2" t="s">
        <v>14</v>
      </c>
      <c r="V22" s="2" t="s">
        <v>9</v>
      </c>
      <c r="W22" s="7">
        <v>0</v>
      </c>
      <c r="X22" t="str">
        <f t="shared" si="1"/>
        <v>Active</v>
      </c>
    </row>
    <row r="23" spans="1:24" x14ac:dyDescent="0.3">
      <c r="A23" s="2">
        <v>22</v>
      </c>
      <c r="B23" s="7">
        <v>20.5</v>
      </c>
      <c r="C23" s="2" t="s">
        <v>5</v>
      </c>
      <c r="D23" s="7">
        <f>IF(ISBLANK('Raw sheet'!D23),AVERAGE('Raw sheet'!$D$2:'Raw sheet'!$D$1500),'Raw sheet'!D23)</f>
        <v>35149</v>
      </c>
      <c r="E23" s="7" t="str">
        <f>IF(Table1[[#This Row],[Family_Income]]&gt;=100000,"Upper",IF(D23&gt;=50000,"Middle","Lower"))</f>
        <v>Lower</v>
      </c>
      <c r="F23" s="2" t="s">
        <v>4</v>
      </c>
      <c r="G23" s="3">
        <f>IF(ISBLANK('Raw sheet'!F23),AVERAGE('Raw sheet'!$F$2:'Raw sheet'!$F$1500),'Raw sheet'!F23)</f>
        <v>3.48</v>
      </c>
      <c r="H23" s="18">
        <v>79.8</v>
      </c>
      <c r="I23" s="9" t="str">
        <f t="shared" si="0"/>
        <v>Good</v>
      </c>
      <c r="J23" s="2">
        <v>0</v>
      </c>
      <c r="K23" s="2">
        <v>31</v>
      </c>
      <c r="L23" s="2" t="s">
        <v>4</v>
      </c>
      <c r="M23" s="2" t="s">
        <v>3</v>
      </c>
      <c r="N23" s="5">
        <f>IF(ISBLANK('Raw sheet'!L23),AVERAGE('Raw sheet'!$L$2:'Raw sheet'!$L$1500),'Raw sheet'!L23)</f>
        <v>6.3</v>
      </c>
      <c r="O23" s="5" t="str">
        <f>IF(Table1[[#This Row],[Stress_Index]]&gt;=8,"High",IF(N23&gt;=5,"Medium","Low"))</f>
        <v>Medium</v>
      </c>
      <c r="P23" s="3">
        <v>2.09</v>
      </c>
      <c r="Q23" s="2">
        <v>2.0099999999999998</v>
      </c>
      <c r="R23" s="3">
        <v>2</v>
      </c>
      <c r="S23" s="3" t="str">
        <f>IF(Table1[[#This Row],[CGPA]]&gt;=3,"High",IF(R22&gt;=2,"Medium","Low"))</f>
        <v>Medium</v>
      </c>
      <c r="T23" s="2" t="s">
        <v>10</v>
      </c>
      <c r="U23" s="2" t="s">
        <v>1</v>
      </c>
      <c r="V23" s="2" t="s">
        <v>0</v>
      </c>
      <c r="W23" s="7">
        <v>0</v>
      </c>
      <c r="X23" t="str">
        <f t="shared" si="1"/>
        <v>Active</v>
      </c>
    </row>
    <row r="24" spans="1:24" x14ac:dyDescent="0.3">
      <c r="A24" s="2">
        <v>23</v>
      </c>
      <c r="B24" s="7">
        <v>21.1</v>
      </c>
      <c r="C24" s="2" t="s">
        <v>11</v>
      </c>
      <c r="D24" s="7">
        <f>IF(ISBLANK('Raw sheet'!D24),AVERAGE('Raw sheet'!$D$2:'Raw sheet'!$D$1500),'Raw sheet'!D24)</f>
        <v>46069</v>
      </c>
      <c r="E24" s="7" t="str">
        <f>IF(Table1[[#This Row],[Family_Income]]&gt;=100000,"Upper",IF(D24&gt;=50000,"Middle","Lower"))</f>
        <v>Lower</v>
      </c>
      <c r="F24" s="2" t="s">
        <v>4</v>
      </c>
      <c r="G24" s="3">
        <f>IF(ISBLANK('Raw sheet'!F24),AVERAGE('Raw sheet'!$F$2:'Raw sheet'!$F$1500),'Raw sheet'!F24)</f>
        <v>6.25</v>
      </c>
      <c r="H24" s="18">
        <v>72.3</v>
      </c>
      <c r="I24" s="9" t="str">
        <f t="shared" si="0"/>
        <v>Low</v>
      </c>
      <c r="J24" s="2">
        <v>2</v>
      </c>
      <c r="K24" s="2">
        <v>26.9</v>
      </c>
      <c r="L24" s="2" t="s">
        <v>4</v>
      </c>
      <c r="M24" s="2" t="s">
        <v>4</v>
      </c>
      <c r="N24" s="5">
        <f>IF(ISBLANK('Raw sheet'!L24),AVERAGE('Raw sheet'!$L$2:'Raw sheet'!$L$1500),'Raw sheet'!L24)</f>
        <v>2.4</v>
      </c>
      <c r="O24" s="5" t="str">
        <f>IF(Table1[[#This Row],[Stress_Index]]&gt;=8,"High",IF(N24&gt;=5,"Medium","Low"))</f>
        <v>Low</v>
      </c>
      <c r="P24" s="3">
        <v>4</v>
      </c>
      <c r="Q24" s="2">
        <v>4</v>
      </c>
      <c r="R24" s="3">
        <v>3.92</v>
      </c>
      <c r="S24" s="3" t="str">
        <f>IF(Table1[[#This Row],[CGPA]]&gt;=3,"High",IF(R23&gt;=2,"Medium","Low"))</f>
        <v>High</v>
      </c>
      <c r="T24" s="2" t="s">
        <v>10</v>
      </c>
      <c r="U24" s="2" t="s">
        <v>14</v>
      </c>
      <c r="V24" s="2" t="s">
        <v>9</v>
      </c>
      <c r="W24" s="7">
        <v>0</v>
      </c>
      <c r="X24" t="str">
        <f t="shared" si="1"/>
        <v>Active</v>
      </c>
    </row>
    <row r="25" spans="1:24" x14ac:dyDescent="0.3">
      <c r="A25" s="2">
        <v>24</v>
      </c>
      <c r="B25" s="7">
        <v>17.899999999999999</v>
      </c>
      <c r="C25" s="2" t="s">
        <v>11</v>
      </c>
      <c r="D25" s="7">
        <f>IF(ISBLANK('Raw sheet'!D25),AVERAGE('Raw sheet'!$D$2:'Raw sheet'!$D$1500),'Raw sheet'!D25)</f>
        <v>26700</v>
      </c>
      <c r="E25" s="7" t="str">
        <f>IF(Table1[[#This Row],[Family_Income]]&gt;=100000,"Upper",IF(D25&gt;=50000,"Middle","Lower"))</f>
        <v>Lower</v>
      </c>
      <c r="F25" s="2" t="s">
        <v>4</v>
      </c>
      <c r="G25" s="3">
        <f>IF(ISBLANK('Raw sheet'!F25),AVERAGE('Raw sheet'!$F$2:'Raw sheet'!$F$1500),'Raw sheet'!F25)</f>
        <v>4.9000000000000004</v>
      </c>
      <c r="H25" s="18">
        <v>89.3</v>
      </c>
      <c r="I25" s="9" t="str">
        <f t="shared" si="0"/>
        <v>Good</v>
      </c>
      <c r="J25" s="2">
        <v>3</v>
      </c>
      <c r="K25" s="2">
        <v>28.8</v>
      </c>
      <c r="L25" s="2" t="s">
        <v>3</v>
      </c>
      <c r="M25" s="2" t="s">
        <v>4</v>
      </c>
      <c r="N25" s="5">
        <f>IF(ISBLANK('Raw sheet'!L25),AVERAGE('Raw sheet'!$L$2:'Raw sheet'!$L$1500),'Raw sheet'!L25)</f>
        <v>4</v>
      </c>
      <c r="O25" s="5" t="str">
        <f>IF(Table1[[#This Row],[Stress_Index]]&gt;=8,"High",IF(N25&gt;=5,"Medium","Low"))</f>
        <v>Low</v>
      </c>
      <c r="P25" s="3">
        <v>3.14</v>
      </c>
      <c r="Q25" s="2">
        <v>3.11</v>
      </c>
      <c r="R25" s="3">
        <v>3.04</v>
      </c>
      <c r="S25" s="3" t="str">
        <f>IF(Table1[[#This Row],[CGPA]]&gt;=3,"High",IF(R24&gt;=2,"Medium","Low"))</f>
        <v>High</v>
      </c>
      <c r="T25" s="2" t="s">
        <v>7</v>
      </c>
      <c r="U25" s="2" t="s">
        <v>8</v>
      </c>
      <c r="V25" s="2" t="s">
        <v>9</v>
      </c>
      <c r="W25" s="7">
        <v>0</v>
      </c>
      <c r="X25" t="str">
        <f t="shared" si="1"/>
        <v>Active</v>
      </c>
    </row>
    <row r="26" spans="1:24" x14ac:dyDescent="0.3">
      <c r="A26" s="2">
        <v>25</v>
      </c>
      <c r="B26" s="7">
        <v>19.8</v>
      </c>
      <c r="C26" s="2" t="s">
        <v>11</v>
      </c>
      <c r="D26" s="7">
        <f>IF(ISBLANK('Raw sheet'!D26),AVERAGE('Raw sheet'!$D$2:'Raw sheet'!$D$1500),'Raw sheet'!D26)</f>
        <v>33559</v>
      </c>
      <c r="E26" s="7" t="str">
        <f>IF(Table1[[#This Row],[Family_Income]]&gt;=100000,"Upper",IF(D26&gt;=50000,"Middle","Lower"))</f>
        <v>Lower</v>
      </c>
      <c r="F26" s="2" t="s">
        <v>4</v>
      </c>
      <c r="G26" s="3">
        <f>IF(ISBLANK('Raw sheet'!F26),AVERAGE('Raw sheet'!$F$2:'Raw sheet'!$F$1500),'Raw sheet'!F26)</f>
        <v>4.32</v>
      </c>
      <c r="H26" s="18">
        <v>86.1</v>
      </c>
      <c r="I26" s="9" t="str">
        <f t="shared" si="0"/>
        <v>Good</v>
      </c>
      <c r="J26" s="2">
        <v>3</v>
      </c>
      <c r="K26" s="2">
        <v>30.3</v>
      </c>
      <c r="L26" s="2" t="s">
        <v>4</v>
      </c>
      <c r="M26" s="2" t="s">
        <v>3</v>
      </c>
      <c r="N26" s="5">
        <f>IF(ISBLANK('Raw sheet'!L26),AVERAGE('Raw sheet'!$L$2:'Raw sheet'!$L$1500),'Raw sheet'!L26)</f>
        <v>5.8</v>
      </c>
      <c r="O26" s="5" t="str">
        <f>IF(Table1[[#This Row],[Stress_Index]]&gt;=8,"High",IF(N26&gt;=5,"Medium","Low"))</f>
        <v>Medium</v>
      </c>
      <c r="P26" s="3">
        <v>0.42</v>
      </c>
      <c r="Q26" s="2">
        <v>0.39</v>
      </c>
      <c r="R26" s="3">
        <v>0.43</v>
      </c>
      <c r="S26" s="3" t="str">
        <f>IF(Table1[[#This Row],[CGPA]]&gt;=3,"High",IF(R25&gt;=2,"Medium","Low"))</f>
        <v>Medium</v>
      </c>
      <c r="T26" s="2" t="s">
        <v>7</v>
      </c>
      <c r="U26" s="2" t="s">
        <v>8</v>
      </c>
      <c r="V26" s="2" t="s">
        <v>16</v>
      </c>
      <c r="W26" s="7">
        <v>1</v>
      </c>
      <c r="X26" t="str">
        <f t="shared" si="1"/>
        <v>Dropped Out</v>
      </c>
    </row>
    <row r="27" spans="1:24" x14ac:dyDescent="0.3">
      <c r="A27" s="2">
        <v>26</v>
      </c>
      <c r="B27" s="7">
        <v>21.2</v>
      </c>
      <c r="C27" s="2" t="s">
        <v>11</v>
      </c>
      <c r="D27" s="7">
        <f>IF(ISBLANK('Raw sheet'!D27),AVERAGE('Raw sheet'!$D$2:'Raw sheet'!$D$1500),'Raw sheet'!D27)</f>
        <v>25000</v>
      </c>
      <c r="E27" s="7" t="str">
        <f>IF(Table1[[#This Row],[Family_Income]]&gt;=100000,"Upper",IF(D27&gt;=50000,"Middle","Lower"))</f>
        <v>Lower</v>
      </c>
      <c r="F27" s="2" t="s">
        <v>4</v>
      </c>
      <c r="G27" s="3">
        <f>IF(ISBLANK('Raw sheet'!F27),AVERAGE('Raw sheet'!$F$2:'Raw sheet'!$F$1500),'Raw sheet'!F27)</f>
        <v>4.42</v>
      </c>
      <c r="H27" s="18">
        <v>85.6</v>
      </c>
      <c r="I27" s="9" t="str">
        <f t="shared" si="0"/>
        <v>Good</v>
      </c>
      <c r="J27" s="2">
        <v>2</v>
      </c>
      <c r="K27" s="2">
        <v>31.5</v>
      </c>
      <c r="L27" s="2" t="s">
        <v>3</v>
      </c>
      <c r="M27" s="2" t="s">
        <v>3</v>
      </c>
      <c r="N27" s="5">
        <f>IF(ISBLANK('Raw sheet'!L27),AVERAGE('Raw sheet'!$L$2:'Raw sheet'!$L$1500),'Raw sheet'!L27)</f>
        <v>3.8</v>
      </c>
      <c r="O27" s="5" t="str">
        <f>IF(Table1[[#This Row],[Stress_Index]]&gt;=8,"High",IF(N27&gt;=5,"Medium","Low"))</f>
        <v>Low</v>
      </c>
      <c r="P27" s="3">
        <v>3.47</v>
      </c>
      <c r="Q27" s="2">
        <v>3.7</v>
      </c>
      <c r="R27" s="3">
        <v>3.66</v>
      </c>
      <c r="S27" s="3" t="str">
        <f>IF(Table1[[#This Row],[CGPA]]&gt;=3,"High",IF(R26&gt;=2,"Medium","Low"))</f>
        <v>High</v>
      </c>
      <c r="T27" s="2" t="s">
        <v>12</v>
      </c>
      <c r="U27" s="2" t="s">
        <v>14</v>
      </c>
      <c r="V27" s="2" t="s">
        <v>0</v>
      </c>
      <c r="W27" s="7">
        <v>0</v>
      </c>
      <c r="X27" t="str">
        <f t="shared" si="1"/>
        <v>Active</v>
      </c>
    </row>
    <row r="28" spans="1:24" x14ac:dyDescent="0.3">
      <c r="A28" s="2">
        <v>27</v>
      </c>
      <c r="B28" s="7">
        <v>18.5</v>
      </c>
      <c r="C28" s="2" t="s">
        <v>11</v>
      </c>
      <c r="D28" s="7">
        <f>IF(ISBLANK('Raw sheet'!D28),AVERAGE('Raw sheet'!$D$2:'Raw sheet'!$D$1500),'Raw sheet'!D28)</f>
        <v>25000</v>
      </c>
      <c r="E28" s="7" t="str">
        <f>IF(Table1[[#This Row],[Family_Income]]&gt;=100000,"Upper",IF(D28&gt;=50000,"Middle","Lower"))</f>
        <v>Lower</v>
      </c>
      <c r="F28" s="2" t="s">
        <v>4</v>
      </c>
      <c r="G28" s="3">
        <f>IF(ISBLANK('Raw sheet'!F28),AVERAGE('Raw sheet'!$F$2:'Raw sheet'!$F$1500),'Raw sheet'!F28)</f>
        <v>5.22</v>
      </c>
      <c r="H28" s="18">
        <v>89.4</v>
      </c>
      <c r="I28" s="9" t="str">
        <f t="shared" si="0"/>
        <v>Good</v>
      </c>
      <c r="J28" s="2">
        <v>0</v>
      </c>
      <c r="K28" s="2">
        <v>29.4</v>
      </c>
      <c r="L28" s="2" t="s">
        <v>3</v>
      </c>
      <c r="M28" s="2" t="s">
        <v>3</v>
      </c>
      <c r="N28" s="5">
        <f>IF(ISBLANK('Raw sheet'!L28),AVERAGE('Raw sheet'!$L$2:'Raw sheet'!$L$1500),'Raw sheet'!L28)</f>
        <v>4.7</v>
      </c>
      <c r="O28" s="5" t="str">
        <f>IF(Table1[[#This Row],[Stress_Index]]&gt;=8,"High",IF(N28&gt;=5,"Medium","Low"))</f>
        <v>Low</v>
      </c>
      <c r="P28" s="3">
        <v>1.66</v>
      </c>
      <c r="Q28" s="2">
        <v>1.77</v>
      </c>
      <c r="R28" s="3">
        <v>1.67</v>
      </c>
      <c r="S28" s="3" t="str">
        <f>IF(Table1[[#This Row],[CGPA]]&gt;=3,"High",IF(R27&gt;=2,"Medium","Low"))</f>
        <v>Medium</v>
      </c>
      <c r="T28" s="2" t="s">
        <v>10</v>
      </c>
      <c r="U28" s="2" t="s">
        <v>13</v>
      </c>
      <c r="V28" s="2" t="s">
        <v>9</v>
      </c>
      <c r="W28" s="7">
        <v>0</v>
      </c>
      <c r="X28" t="str">
        <f t="shared" si="1"/>
        <v>Active</v>
      </c>
    </row>
    <row r="29" spans="1:24" x14ac:dyDescent="0.3">
      <c r="A29" s="2">
        <v>28</v>
      </c>
      <c r="B29" s="7">
        <v>21.8</v>
      </c>
      <c r="C29" s="2" t="s">
        <v>11</v>
      </c>
      <c r="D29" s="7">
        <f>IF(ISBLANK('Raw sheet'!D29),AVERAGE('Raw sheet'!$D$2:'Raw sheet'!$D$1500),'Raw sheet'!D29)</f>
        <v>66367</v>
      </c>
      <c r="E29" s="7" t="str">
        <f>IF(Table1[[#This Row],[Family_Income]]&gt;=100000,"Upper",IF(D29&gt;=50000,"Middle","Lower"))</f>
        <v>Middle</v>
      </c>
      <c r="F29" s="2" t="s">
        <v>4</v>
      </c>
      <c r="G29" s="3">
        <f>IF(ISBLANK('Raw sheet'!F29),AVERAGE('Raw sheet'!$F$2:'Raw sheet'!$F$1500),'Raw sheet'!F29)</f>
        <v>3.07</v>
      </c>
      <c r="H29" s="18">
        <v>82.3</v>
      </c>
      <c r="I29" s="9" t="str">
        <f t="shared" si="0"/>
        <v>Good</v>
      </c>
      <c r="J29" s="2">
        <v>4</v>
      </c>
      <c r="K29" s="2">
        <v>11.3</v>
      </c>
      <c r="L29" s="2" t="s">
        <v>3</v>
      </c>
      <c r="M29" s="2" t="s">
        <v>3</v>
      </c>
      <c r="N29" s="5">
        <f>IF(ISBLANK('Raw sheet'!L29),AVERAGE('Raw sheet'!$L$2:'Raw sheet'!$L$1500),'Raw sheet'!L29)</f>
        <v>5.3</v>
      </c>
      <c r="O29" s="5" t="str">
        <f>IF(Table1[[#This Row],[Stress_Index]]&gt;=8,"High",IF(N29&gt;=5,"Medium","Low"))</f>
        <v>Medium</v>
      </c>
      <c r="P29" s="3">
        <v>1.01</v>
      </c>
      <c r="Q29" s="2">
        <v>0.91</v>
      </c>
      <c r="R29" s="3">
        <v>0.82</v>
      </c>
      <c r="S29" s="3" t="str">
        <f>IF(Table1[[#This Row],[CGPA]]&gt;=3,"High",IF(R28&gt;=2,"Medium","Low"))</f>
        <v>Low</v>
      </c>
      <c r="T29" s="2" t="s">
        <v>10</v>
      </c>
      <c r="U29" s="2" t="s">
        <v>14</v>
      </c>
      <c r="V29" s="2" t="s">
        <v>15</v>
      </c>
      <c r="W29" s="7">
        <v>0</v>
      </c>
      <c r="X29" t="str">
        <f t="shared" si="1"/>
        <v>Active</v>
      </c>
    </row>
    <row r="30" spans="1:24" x14ac:dyDescent="0.3">
      <c r="A30" s="2">
        <v>29</v>
      </c>
      <c r="B30" s="7">
        <v>19.7</v>
      </c>
      <c r="C30" s="2" t="s">
        <v>5</v>
      </c>
      <c r="D30" s="7">
        <f>IF(ISBLANK('Raw sheet'!D30),AVERAGE('Raw sheet'!$D$2:'Raw sheet'!$D$1500),'Raw sheet'!D30)</f>
        <v>25000</v>
      </c>
      <c r="E30" s="7" t="str">
        <f>IF(Table1[[#This Row],[Family_Income]]&gt;=100000,"Upper",IF(D30&gt;=50000,"Middle","Lower"))</f>
        <v>Lower</v>
      </c>
      <c r="F30" s="2" t="s">
        <v>4</v>
      </c>
      <c r="G30" s="3">
        <f>IF(ISBLANK('Raw sheet'!F30),AVERAGE('Raw sheet'!$F$2:'Raw sheet'!$F$1500),'Raw sheet'!F30)</f>
        <v>4.1900000000000004</v>
      </c>
      <c r="H30" s="18">
        <v>79.7</v>
      </c>
      <c r="I30" s="9" t="str">
        <f t="shared" si="0"/>
        <v>Good</v>
      </c>
      <c r="J30" s="2">
        <v>1</v>
      </c>
      <c r="K30" s="2">
        <v>36.5</v>
      </c>
      <c r="L30" s="2" t="s">
        <v>4</v>
      </c>
      <c r="M30" s="2" t="s">
        <v>3</v>
      </c>
      <c r="N30" s="5">
        <f>IF(ISBLANK('Raw sheet'!L30),AVERAGE('Raw sheet'!$L$2:'Raw sheet'!$L$1500),'Raw sheet'!L30)</f>
        <v>9.3000000000000007</v>
      </c>
      <c r="O30" s="5" t="str">
        <f>IF(Table1[[#This Row],[Stress_Index]]&gt;=8,"High",IF(N30&gt;=5,"Medium","Low"))</f>
        <v>High</v>
      </c>
      <c r="P30" s="3">
        <v>1.1499999999999999</v>
      </c>
      <c r="Q30" s="2">
        <v>0.77</v>
      </c>
      <c r="R30" s="3">
        <v>0.76</v>
      </c>
      <c r="S30" s="3" t="str">
        <f>IF(Table1[[#This Row],[CGPA]]&gt;=3,"High",IF(R29&gt;=2,"Medium","Low"))</f>
        <v>Low</v>
      </c>
      <c r="T30" s="2" t="s">
        <v>10</v>
      </c>
      <c r="U30" s="2" t="s">
        <v>8</v>
      </c>
      <c r="V30" s="2" t="s">
        <v>15</v>
      </c>
      <c r="W30" s="7">
        <v>0</v>
      </c>
      <c r="X30" t="str">
        <f t="shared" si="1"/>
        <v>Active</v>
      </c>
    </row>
    <row r="31" spans="1:24" x14ac:dyDescent="0.3">
      <c r="A31" s="2">
        <v>30</v>
      </c>
      <c r="B31" s="7">
        <v>20.399999999999999</v>
      </c>
      <c r="C31" s="2" t="s">
        <v>11</v>
      </c>
      <c r="D31" s="7">
        <f>IF(ISBLANK('Raw sheet'!D31),AVERAGE('Raw sheet'!$D$2:'Raw sheet'!$D$1500),'Raw sheet'!D31)</f>
        <v>38587.00282087447</v>
      </c>
      <c r="E31" s="7" t="str">
        <f>IF(Table1[[#This Row],[Family_Income]]&gt;=100000,"Upper",IF(D31&gt;=50000,"Middle","Lower"))</f>
        <v>Lower</v>
      </c>
      <c r="F31" s="2" t="s">
        <v>3</v>
      </c>
      <c r="G31" s="3">
        <f>IF(ISBLANK('Raw sheet'!F31),AVERAGE('Raw sheet'!$F$2:'Raw sheet'!$F$1500),'Raw sheet'!F31)</f>
        <v>4.0178702397743278</v>
      </c>
      <c r="H31" s="18">
        <v>72.7</v>
      </c>
      <c r="I31" s="9" t="str">
        <f t="shared" si="0"/>
        <v>Low</v>
      </c>
      <c r="J31" s="2">
        <v>3</v>
      </c>
      <c r="K31" s="2">
        <v>28.5</v>
      </c>
      <c r="L31" s="2" t="s">
        <v>3</v>
      </c>
      <c r="M31" s="2" t="s">
        <v>3</v>
      </c>
      <c r="N31" s="5">
        <f>IF(ISBLANK('Raw sheet'!L31),AVERAGE('Raw sheet'!$L$2:'Raw sheet'!$L$1500),'Raw sheet'!L31)</f>
        <v>5.5242595204513369</v>
      </c>
      <c r="O31" s="5" t="str">
        <f>IF(Table1[[#This Row],[Stress_Index]]&gt;=8,"High",IF(N31&gt;=5,"Medium","Low"))</f>
        <v>Medium</v>
      </c>
      <c r="P31" s="3">
        <v>2.78</v>
      </c>
      <c r="Q31" s="2">
        <v>3.03</v>
      </c>
      <c r="R31" s="3">
        <v>3.03</v>
      </c>
      <c r="S31" s="3" t="str">
        <f>IF(Table1[[#This Row],[CGPA]]&gt;=3,"High",IF(R30&gt;=2,"Medium","Low"))</f>
        <v>High</v>
      </c>
      <c r="T31" s="2" t="s">
        <v>2</v>
      </c>
      <c r="U31" s="2" t="s">
        <v>14</v>
      </c>
      <c r="V31" s="2" t="s">
        <v>15</v>
      </c>
      <c r="W31" s="7">
        <v>0</v>
      </c>
      <c r="X31" t="str">
        <f t="shared" si="1"/>
        <v>Active</v>
      </c>
    </row>
    <row r="32" spans="1:24" x14ac:dyDescent="0.3">
      <c r="A32" s="2">
        <v>31</v>
      </c>
      <c r="B32" s="7">
        <v>19.7</v>
      </c>
      <c r="C32" s="2" t="s">
        <v>11</v>
      </c>
      <c r="D32" s="7">
        <f>IF(ISBLANK('Raw sheet'!D32),AVERAGE('Raw sheet'!$D$2:'Raw sheet'!$D$1500),'Raw sheet'!D32)</f>
        <v>25000</v>
      </c>
      <c r="E32" s="7" t="str">
        <f>IF(Table1[[#This Row],[Family_Income]]&gt;=100000,"Upper",IF(D32&gt;=50000,"Middle","Lower"))</f>
        <v>Lower</v>
      </c>
      <c r="F32" s="2" t="s">
        <v>4</v>
      </c>
      <c r="G32" s="3">
        <f>IF(ISBLANK('Raw sheet'!F32),AVERAGE('Raw sheet'!$F$2:'Raw sheet'!$F$1500),'Raw sheet'!F32)</f>
        <v>6.08</v>
      </c>
      <c r="H32" s="18">
        <v>81.099999999999994</v>
      </c>
      <c r="I32" s="9" t="str">
        <f t="shared" si="0"/>
        <v>Good</v>
      </c>
      <c r="J32" s="2">
        <v>7</v>
      </c>
      <c r="K32" s="2">
        <v>5</v>
      </c>
      <c r="L32" s="2" t="s">
        <v>4</v>
      </c>
      <c r="M32" s="2" t="s">
        <v>3</v>
      </c>
      <c r="N32" s="5">
        <f>IF(ISBLANK('Raw sheet'!L32),AVERAGE('Raw sheet'!$L$2:'Raw sheet'!$L$1500),'Raw sheet'!L32)</f>
        <v>5.9</v>
      </c>
      <c r="O32" s="5" t="str">
        <f>IF(Table1[[#This Row],[Stress_Index]]&gt;=8,"High",IF(N32&gt;=5,"Medium","Low"))</f>
        <v>Medium</v>
      </c>
      <c r="P32" s="3">
        <v>3.96</v>
      </c>
      <c r="Q32" s="2">
        <v>3.8</v>
      </c>
      <c r="R32" s="3">
        <v>3.82</v>
      </c>
      <c r="S32" s="3" t="str">
        <f>IF(Table1[[#This Row],[CGPA]]&gt;=3,"High",IF(R31&gt;=2,"Medium","Low"))</f>
        <v>High</v>
      </c>
      <c r="T32" s="2" t="s">
        <v>7</v>
      </c>
      <c r="U32" s="2" t="s">
        <v>14</v>
      </c>
      <c r="V32" s="2" t="s">
        <v>9</v>
      </c>
      <c r="W32" s="7">
        <v>0</v>
      </c>
      <c r="X32" t="str">
        <f t="shared" si="1"/>
        <v>Active</v>
      </c>
    </row>
    <row r="33" spans="1:24" x14ac:dyDescent="0.3">
      <c r="A33" s="2">
        <v>32</v>
      </c>
      <c r="B33" s="7">
        <v>25.1</v>
      </c>
      <c r="C33" s="2" t="s">
        <v>5</v>
      </c>
      <c r="D33" s="7">
        <f>IF(ISBLANK('Raw sheet'!D33),AVERAGE('Raw sheet'!$D$2:'Raw sheet'!$D$1500),'Raw sheet'!D33)</f>
        <v>38587.00282087447</v>
      </c>
      <c r="E33" s="7" t="str">
        <f>IF(Table1[[#This Row],[Family_Income]]&gt;=100000,"Upper",IF(D33&gt;=50000,"Middle","Lower"))</f>
        <v>Lower</v>
      </c>
      <c r="F33" s="2" t="s">
        <v>4</v>
      </c>
      <c r="G33" s="3">
        <f>IF(ISBLANK('Raw sheet'!F33),AVERAGE('Raw sheet'!$F$2:'Raw sheet'!$F$1500),'Raw sheet'!F33)</f>
        <v>4.0178702397743278</v>
      </c>
      <c r="H33" s="18">
        <v>77.900000000000006</v>
      </c>
      <c r="I33" s="9" t="str">
        <f t="shared" si="0"/>
        <v>Good</v>
      </c>
      <c r="J33" s="2">
        <v>3</v>
      </c>
      <c r="K33" s="2">
        <v>10.9</v>
      </c>
      <c r="L33" s="2" t="s">
        <v>3</v>
      </c>
      <c r="M33" s="2" t="s">
        <v>4</v>
      </c>
      <c r="N33" s="5">
        <f>IF(ISBLANK('Raw sheet'!L33),AVERAGE('Raw sheet'!$L$2:'Raw sheet'!$L$1500),'Raw sheet'!L33)</f>
        <v>5.5242595204513369</v>
      </c>
      <c r="O33" s="5" t="str">
        <f>IF(Table1[[#This Row],[Stress_Index]]&gt;=8,"High",IF(N33&gt;=5,"Medium","Low"))</f>
        <v>Medium</v>
      </c>
      <c r="P33" s="3">
        <v>2.56</v>
      </c>
      <c r="Q33" s="2">
        <v>2.4</v>
      </c>
      <c r="R33" s="3">
        <v>2.48</v>
      </c>
      <c r="S33" s="3" t="str">
        <f>IF(Table1[[#This Row],[CGPA]]&gt;=3,"High",IF(R32&gt;=2,"Medium","Low"))</f>
        <v>Medium</v>
      </c>
      <c r="T33" s="2" t="s">
        <v>10</v>
      </c>
      <c r="U33" s="2" t="s">
        <v>13</v>
      </c>
      <c r="V33" s="2" t="s">
        <v>9</v>
      </c>
      <c r="W33" s="7">
        <v>1</v>
      </c>
      <c r="X33" t="str">
        <f t="shared" si="1"/>
        <v>Dropped Out</v>
      </c>
    </row>
    <row r="34" spans="1:24" x14ac:dyDescent="0.3">
      <c r="A34" s="2">
        <v>33</v>
      </c>
      <c r="B34" s="7">
        <v>21</v>
      </c>
      <c r="C34" s="2" t="s">
        <v>5</v>
      </c>
      <c r="D34" s="7">
        <f>IF(ISBLANK('Raw sheet'!D34),AVERAGE('Raw sheet'!$D$2:'Raw sheet'!$D$1500),'Raw sheet'!D34)</f>
        <v>34785</v>
      </c>
      <c r="E34" s="7" t="str">
        <f>IF(Table1[[#This Row],[Family_Income]]&gt;=100000,"Upper",IF(D34&gt;=50000,"Middle","Lower"))</f>
        <v>Lower</v>
      </c>
      <c r="F34" s="2" t="s">
        <v>4</v>
      </c>
      <c r="G34" s="3">
        <f>IF(ISBLANK('Raw sheet'!F34),AVERAGE('Raw sheet'!$F$2:'Raw sheet'!$F$1500),'Raw sheet'!F34)</f>
        <v>6.6</v>
      </c>
      <c r="H34" s="18">
        <v>81.900000000000006</v>
      </c>
      <c r="I34" s="9" t="str">
        <f t="shared" si="0"/>
        <v>Good</v>
      </c>
      <c r="J34" s="2">
        <v>2</v>
      </c>
      <c r="K34" s="2">
        <v>24.3</v>
      </c>
      <c r="L34" s="2" t="s">
        <v>3</v>
      </c>
      <c r="M34" s="2" t="s">
        <v>3</v>
      </c>
      <c r="N34" s="5">
        <f>IF(ISBLANK('Raw sheet'!L34),AVERAGE('Raw sheet'!$L$2:'Raw sheet'!$L$1500),'Raw sheet'!L34)</f>
        <v>3.6</v>
      </c>
      <c r="O34" s="5" t="str">
        <f>IF(Table1[[#This Row],[Stress_Index]]&gt;=8,"High",IF(N34&gt;=5,"Medium","Low"))</f>
        <v>Low</v>
      </c>
      <c r="P34" s="3">
        <v>3.62</v>
      </c>
      <c r="Q34" s="2">
        <v>3.52</v>
      </c>
      <c r="R34" s="3">
        <v>3.53</v>
      </c>
      <c r="S34" s="3" t="str">
        <f>IF(Table1[[#This Row],[CGPA]]&gt;=3,"High",IF(R33&gt;=2,"Medium","Low"))</f>
        <v>High</v>
      </c>
      <c r="T34" s="2" t="s">
        <v>7</v>
      </c>
      <c r="U34" s="2" t="s">
        <v>1</v>
      </c>
      <c r="V34" s="2" t="s">
        <v>16</v>
      </c>
      <c r="W34" s="7">
        <v>0</v>
      </c>
      <c r="X34" t="str">
        <f t="shared" si="1"/>
        <v>Active</v>
      </c>
    </row>
    <row r="35" spans="1:24" x14ac:dyDescent="0.3">
      <c r="A35" s="2">
        <v>34</v>
      </c>
      <c r="B35" s="7">
        <v>18.7</v>
      </c>
      <c r="C35" s="2" t="s">
        <v>5</v>
      </c>
      <c r="D35" s="7">
        <f>IF(ISBLANK('Raw sheet'!D35),AVERAGE('Raw sheet'!$D$2:'Raw sheet'!$D$1500),'Raw sheet'!D35)</f>
        <v>38587.00282087447</v>
      </c>
      <c r="E35" s="7" t="str">
        <f>IF(Table1[[#This Row],[Family_Income]]&gt;=100000,"Upper",IF(D35&gt;=50000,"Middle","Lower"))</f>
        <v>Lower</v>
      </c>
      <c r="F35" s="2" t="s">
        <v>4</v>
      </c>
      <c r="G35" s="3">
        <f>IF(ISBLANK('Raw sheet'!F35),AVERAGE('Raw sheet'!$F$2:'Raw sheet'!$F$1500),'Raw sheet'!F35)</f>
        <v>4.0178702397743278</v>
      </c>
      <c r="H35" s="18">
        <v>67.900000000000006</v>
      </c>
      <c r="I35" s="9" t="str">
        <f t="shared" si="0"/>
        <v>Low</v>
      </c>
      <c r="J35" s="2">
        <v>1</v>
      </c>
      <c r="K35" s="2">
        <v>45.3</v>
      </c>
      <c r="L35" s="2" t="s">
        <v>4</v>
      </c>
      <c r="M35" s="2" t="s">
        <v>4</v>
      </c>
      <c r="N35" s="5">
        <f>IF(ISBLANK('Raw sheet'!L35),AVERAGE('Raw sheet'!$L$2:'Raw sheet'!$L$1500),'Raw sheet'!L35)</f>
        <v>5.5242595204513369</v>
      </c>
      <c r="O35" s="5" t="str">
        <f>IF(Table1[[#This Row],[Stress_Index]]&gt;=8,"High",IF(N35&gt;=5,"Medium","Low"))</f>
        <v>Medium</v>
      </c>
      <c r="P35" s="3">
        <v>1.64</v>
      </c>
      <c r="Q35" s="2">
        <v>1.69</v>
      </c>
      <c r="R35" s="3">
        <v>1.65</v>
      </c>
      <c r="S35" s="3" t="str">
        <f>IF(Table1[[#This Row],[CGPA]]&gt;=3,"High",IF(R34&gt;=2,"Medium","Low"))</f>
        <v>Medium</v>
      </c>
      <c r="T35" s="2" t="s">
        <v>10</v>
      </c>
      <c r="U35" s="2" t="s">
        <v>1</v>
      </c>
      <c r="V35" s="2" t="s">
        <v>9</v>
      </c>
      <c r="W35" s="7">
        <v>0</v>
      </c>
      <c r="X35" t="str">
        <f t="shared" si="1"/>
        <v>Active</v>
      </c>
    </row>
    <row r="36" spans="1:24" x14ac:dyDescent="0.3">
      <c r="A36" s="2">
        <v>35</v>
      </c>
      <c r="B36" s="7">
        <v>22.8</v>
      </c>
      <c r="C36" s="2" t="s">
        <v>11</v>
      </c>
      <c r="D36" s="7">
        <f>IF(ISBLANK('Raw sheet'!D36),AVERAGE('Raw sheet'!$D$2:'Raw sheet'!$D$1500),'Raw sheet'!D36)</f>
        <v>25000</v>
      </c>
      <c r="E36" s="7" t="str">
        <f>IF(Table1[[#This Row],[Family_Income]]&gt;=100000,"Upper",IF(D36&gt;=50000,"Middle","Lower"))</f>
        <v>Lower</v>
      </c>
      <c r="F36" s="2" t="s">
        <v>4</v>
      </c>
      <c r="G36" s="3">
        <f>IF(ISBLANK('Raw sheet'!F36),AVERAGE('Raw sheet'!$F$2:'Raw sheet'!$F$1500),'Raw sheet'!F36)</f>
        <v>2.19</v>
      </c>
      <c r="H36" s="18">
        <v>95.9</v>
      </c>
      <c r="I36" s="9" t="str">
        <f t="shared" si="0"/>
        <v>Good</v>
      </c>
      <c r="J36" s="2">
        <v>2</v>
      </c>
      <c r="K36" s="2">
        <v>37.299999999999997</v>
      </c>
      <c r="L36" s="2" t="s">
        <v>4</v>
      </c>
      <c r="M36" s="2" t="s">
        <v>4</v>
      </c>
      <c r="N36" s="5">
        <f>IF(ISBLANK('Raw sheet'!L36),AVERAGE('Raw sheet'!$L$2:'Raw sheet'!$L$1500),'Raw sheet'!L36)</f>
        <v>5.2</v>
      </c>
      <c r="O36" s="5" t="str">
        <f>IF(Table1[[#This Row],[Stress_Index]]&gt;=8,"High",IF(N36&gt;=5,"Medium","Low"))</f>
        <v>Medium</v>
      </c>
      <c r="P36" s="3">
        <v>0.76</v>
      </c>
      <c r="Q36" s="2">
        <v>0.14000000000000001</v>
      </c>
      <c r="R36" s="3">
        <v>0.02</v>
      </c>
      <c r="S36" s="3" t="str">
        <f>IF(Table1[[#This Row],[CGPA]]&gt;=3,"High",IF(R35&gt;=2,"Medium","Low"))</f>
        <v>Low</v>
      </c>
      <c r="T36" s="2" t="s">
        <v>10</v>
      </c>
      <c r="U36" s="2" t="s">
        <v>13</v>
      </c>
      <c r="V36" s="2" t="s">
        <v>9</v>
      </c>
      <c r="W36" s="7">
        <v>0</v>
      </c>
      <c r="X36" t="str">
        <f t="shared" si="1"/>
        <v>Active</v>
      </c>
    </row>
    <row r="37" spans="1:24" x14ac:dyDescent="0.3">
      <c r="A37" s="2">
        <v>36</v>
      </c>
      <c r="B37" s="7">
        <v>18.3</v>
      </c>
      <c r="C37" s="2" t="s">
        <v>11</v>
      </c>
      <c r="D37" s="7">
        <f>IF(ISBLANK('Raw sheet'!D37),AVERAGE('Raw sheet'!$D$2:'Raw sheet'!$D$1500),'Raw sheet'!D37)</f>
        <v>38587.00282087447</v>
      </c>
      <c r="E37" s="7" t="str">
        <f>IF(Table1[[#This Row],[Family_Income]]&gt;=100000,"Upper",IF(D37&gt;=50000,"Middle","Lower"))</f>
        <v>Lower</v>
      </c>
      <c r="F37" s="2" t="s">
        <v>4</v>
      </c>
      <c r="G37" s="3">
        <f>IF(ISBLANK('Raw sheet'!F37),AVERAGE('Raw sheet'!$F$2:'Raw sheet'!$F$1500),'Raw sheet'!F37)</f>
        <v>4.0178702397743278</v>
      </c>
      <c r="H37" s="18">
        <v>61</v>
      </c>
      <c r="I37" s="9" t="str">
        <f t="shared" si="0"/>
        <v>Low</v>
      </c>
      <c r="J37" s="2">
        <v>1</v>
      </c>
      <c r="K37" s="2">
        <v>21.8</v>
      </c>
      <c r="L37" s="2" t="s">
        <v>3</v>
      </c>
      <c r="M37" s="2" t="s">
        <v>4</v>
      </c>
      <c r="N37" s="5">
        <f>IF(ISBLANK('Raw sheet'!L37),AVERAGE('Raw sheet'!$L$2:'Raw sheet'!$L$1500),'Raw sheet'!L37)</f>
        <v>5.5242595204513369</v>
      </c>
      <c r="O37" s="5" t="str">
        <f>IF(Table1[[#This Row],[Stress_Index]]&gt;=8,"High",IF(N37&gt;=5,"Medium","Low"))</f>
        <v>Medium</v>
      </c>
      <c r="P37" s="3">
        <v>0.81</v>
      </c>
      <c r="Q37" s="2">
        <v>0.96</v>
      </c>
      <c r="R37" s="3">
        <v>0.97</v>
      </c>
      <c r="S37" s="3" t="str">
        <f>IF(Table1[[#This Row],[CGPA]]&gt;=3,"High",IF(R36&gt;=2,"Medium","Low"))</f>
        <v>Low</v>
      </c>
      <c r="T37" s="2" t="s">
        <v>10</v>
      </c>
      <c r="U37" s="2" t="s">
        <v>1</v>
      </c>
      <c r="V37" s="2" t="s">
        <v>9</v>
      </c>
      <c r="W37" s="7">
        <v>1</v>
      </c>
      <c r="X37" t="str">
        <f t="shared" si="1"/>
        <v>Dropped Out</v>
      </c>
    </row>
    <row r="38" spans="1:24" x14ac:dyDescent="0.3">
      <c r="A38" s="2">
        <v>37</v>
      </c>
      <c r="B38" s="7">
        <v>21.5</v>
      </c>
      <c r="C38" s="2" t="s">
        <v>5</v>
      </c>
      <c r="D38" s="7">
        <f>IF(ISBLANK('Raw sheet'!D38),AVERAGE('Raw sheet'!$D$2:'Raw sheet'!$D$1500),'Raw sheet'!D38)</f>
        <v>26034</v>
      </c>
      <c r="E38" s="7" t="str">
        <f>IF(Table1[[#This Row],[Family_Income]]&gt;=100000,"Upper",IF(D38&gt;=50000,"Middle","Lower"))</f>
        <v>Lower</v>
      </c>
      <c r="F38" s="2" t="s">
        <v>3</v>
      </c>
      <c r="G38" s="3">
        <f>IF(ISBLANK('Raw sheet'!F38),AVERAGE('Raw sheet'!$F$2:'Raw sheet'!$F$1500),'Raw sheet'!F38)</f>
        <v>2.9</v>
      </c>
      <c r="H38" s="18">
        <v>80.900000000000006</v>
      </c>
      <c r="I38" s="9" t="str">
        <f t="shared" si="0"/>
        <v>Good</v>
      </c>
      <c r="J38" s="2">
        <v>1</v>
      </c>
      <c r="K38" s="2">
        <v>27.7</v>
      </c>
      <c r="L38" s="2" t="s">
        <v>3</v>
      </c>
      <c r="M38" s="2" t="s">
        <v>4</v>
      </c>
      <c r="N38" s="5">
        <f>IF(ISBLANK('Raw sheet'!L38),AVERAGE('Raw sheet'!$L$2:'Raw sheet'!$L$1500),'Raw sheet'!L38)</f>
        <v>7.6</v>
      </c>
      <c r="O38" s="5" t="str">
        <f>IF(Table1[[#This Row],[Stress_Index]]&gt;=8,"High",IF(N38&gt;=5,"Medium","Low"))</f>
        <v>Medium</v>
      </c>
      <c r="P38" s="3">
        <v>1.61</v>
      </c>
      <c r="Q38" s="2">
        <v>1.41</v>
      </c>
      <c r="R38" s="3">
        <v>1.45</v>
      </c>
      <c r="S38" s="3" t="str">
        <f>IF(Table1[[#This Row],[CGPA]]&gt;=3,"High",IF(R37&gt;=2,"Medium","Low"))</f>
        <v>Low</v>
      </c>
      <c r="T38" s="2" t="s">
        <v>7</v>
      </c>
      <c r="U38" s="2" t="s">
        <v>8</v>
      </c>
      <c r="V38" s="2" t="s">
        <v>9</v>
      </c>
      <c r="W38" s="7">
        <v>0</v>
      </c>
      <c r="X38" t="str">
        <f t="shared" si="1"/>
        <v>Active</v>
      </c>
    </row>
    <row r="39" spans="1:24" x14ac:dyDescent="0.3">
      <c r="A39" s="2">
        <v>38</v>
      </c>
      <c r="B39" s="7">
        <v>17</v>
      </c>
      <c r="C39" s="2" t="s">
        <v>11</v>
      </c>
      <c r="D39" s="7">
        <f>IF(ISBLANK('Raw sheet'!D39),AVERAGE('Raw sheet'!$D$2:'Raw sheet'!$D$1500),'Raw sheet'!D39)</f>
        <v>25000</v>
      </c>
      <c r="E39" s="7" t="str">
        <f>IF(Table1[[#This Row],[Family_Income]]&gt;=100000,"Upper",IF(D39&gt;=50000,"Middle","Lower"))</f>
        <v>Lower</v>
      </c>
      <c r="F39" s="2" t="s">
        <v>4</v>
      </c>
      <c r="G39" s="3">
        <f>IF(ISBLANK('Raw sheet'!F39),AVERAGE('Raw sheet'!$F$2:'Raw sheet'!$F$1500),'Raw sheet'!F39)</f>
        <v>6.16</v>
      </c>
      <c r="H39" s="18">
        <v>78.5</v>
      </c>
      <c r="I39" s="9" t="str">
        <f t="shared" si="0"/>
        <v>Good</v>
      </c>
      <c r="J39" s="2">
        <v>0</v>
      </c>
      <c r="K39" s="2">
        <v>43.3</v>
      </c>
      <c r="L39" s="2" t="s">
        <v>3</v>
      </c>
      <c r="M39" s="2" t="s">
        <v>3</v>
      </c>
      <c r="N39" s="5">
        <f>IF(ISBLANK('Raw sheet'!L39),AVERAGE('Raw sheet'!$L$2:'Raw sheet'!$L$1500),'Raw sheet'!L39)</f>
        <v>4.7</v>
      </c>
      <c r="O39" s="5" t="str">
        <f>IF(Table1[[#This Row],[Stress_Index]]&gt;=8,"High",IF(N39&gt;=5,"Medium","Low"))</f>
        <v>Low</v>
      </c>
      <c r="P39" s="3">
        <v>3.66</v>
      </c>
      <c r="Q39" s="2">
        <v>3.35</v>
      </c>
      <c r="R39" s="3">
        <v>3.42</v>
      </c>
      <c r="S39" s="3" t="str">
        <f>IF(Table1[[#This Row],[CGPA]]&gt;=3,"High",IF(R38&gt;=2,"Medium","Low"))</f>
        <v>High</v>
      </c>
      <c r="T39" s="2" t="s">
        <v>12</v>
      </c>
      <c r="U39" s="2" t="s">
        <v>13</v>
      </c>
      <c r="V39" s="2" t="s">
        <v>15</v>
      </c>
      <c r="W39" s="7">
        <v>0</v>
      </c>
      <c r="X39" t="str">
        <f t="shared" si="1"/>
        <v>Active</v>
      </c>
    </row>
    <row r="40" spans="1:24" x14ac:dyDescent="0.3">
      <c r="A40" s="2">
        <v>39</v>
      </c>
      <c r="B40" s="7">
        <v>18.100000000000001</v>
      </c>
      <c r="C40" s="2" t="s">
        <v>5</v>
      </c>
      <c r="D40" s="7">
        <f>IF(ISBLANK('Raw sheet'!D40),AVERAGE('Raw sheet'!$D$2:'Raw sheet'!$D$1500),'Raw sheet'!D40)</f>
        <v>77705</v>
      </c>
      <c r="E40" s="7" t="str">
        <f>IF(Table1[[#This Row],[Family_Income]]&gt;=100000,"Upper",IF(D40&gt;=50000,"Middle","Lower"))</f>
        <v>Middle</v>
      </c>
      <c r="F40" s="2" t="s">
        <v>4</v>
      </c>
      <c r="G40" s="3">
        <f>IF(ISBLANK('Raw sheet'!F40),AVERAGE('Raw sheet'!$F$2:'Raw sheet'!$F$1500),'Raw sheet'!F40)</f>
        <v>2.25</v>
      </c>
      <c r="H40" s="18">
        <v>70.8</v>
      </c>
      <c r="I40" s="9" t="str">
        <f t="shared" si="0"/>
        <v>Low</v>
      </c>
      <c r="J40" s="2">
        <v>1</v>
      </c>
      <c r="K40" s="2">
        <v>22.6</v>
      </c>
      <c r="L40" s="2" t="s">
        <v>3</v>
      </c>
      <c r="M40" s="2" t="s">
        <v>3</v>
      </c>
      <c r="N40" s="5">
        <f>IF(ISBLANK('Raw sheet'!L40),AVERAGE('Raw sheet'!$L$2:'Raw sheet'!$L$1500),'Raw sheet'!L40)</f>
        <v>5</v>
      </c>
      <c r="O40" s="5" t="str">
        <f>IF(Table1[[#This Row],[Stress_Index]]&gt;=8,"High",IF(N40&gt;=5,"Medium","Low"))</f>
        <v>Medium</v>
      </c>
      <c r="P40" s="3">
        <v>2.16</v>
      </c>
      <c r="Q40" s="2">
        <v>1.91</v>
      </c>
      <c r="R40" s="3">
        <v>2.0099999999999998</v>
      </c>
      <c r="S40" s="3" t="str">
        <f>IF(Table1[[#This Row],[CGPA]]&gt;=3,"High",IF(R39&gt;=2,"Medium","Low"))</f>
        <v>Medium</v>
      </c>
      <c r="T40" s="2" t="s">
        <v>12</v>
      </c>
      <c r="U40" s="2" t="s">
        <v>8</v>
      </c>
      <c r="V40" s="2" t="s">
        <v>17</v>
      </c>
      <c r="W40" s="7">
        <v>0</v>
      </c>
      <c r="X40" t="str">
        <f t="shared" si="1"/>
        <v>Active</v>
      </c>
    </row>
    <row r="41" spans="1:24" x14ac:dyDescent="0.3">
      <c r="A41" s="2">
        <v>40</v>
      </c>
      <c r="B41" s="7">
        <v>21.4</v>
      </c>
      <c r="C41" s="2" t="s">
        <v>11</v>
      </c>
      <c r="D41" s="7">
        <f>IF(ISBLANK('Raw sheet'!D41),AVERAGE('Raw sheet'!$D$2:'Raw sheet'!$D$1500),'Raw sheet'!D41)</f>
        <v>38587.00282087447</v>
      </c>
      <c r="E41" s="7" t="str">
        <f>IF(Table1[[#This Row],[Family_Income]]&gt;=100000,"Upper",IF(D41&gt;=50000,"Middle","Lower"))</f>
        <v>Lower</v>
      </c>
      <c r="F41" s="2" t="s">
        <v>4</v>
      </c>
      <c r="G41" s="3">
        <f>IF(ISBLANK('Raw sheet'!F41),AVERAGE('Raw sheet'!$F$2:'Raw sheet'!$F$1500),'Raw sheet'!F41)</f>
        <v>4.0178702397743278</v>
      </c>
      <c r="H41" s="18">
        <v>85</v>
      </c>
      <c r="I41" s="9" t="str">
        <f t="shared" si="0"/>
        <v>Good</v>
      </c>
      <c r="J41" s="2">
        <v>3</v>
      </c>
      <c r="K41" s="2">
        <v>17</v>
      </c>
      <c r="L41" s="2" t="s">
        <v>4</v>
      </c>
      <c r="M41" s="2" t="s">
        <v>3</v>
      </c>
      <c r="N41" s="5">
        <f>IF(ISBLANK('Raw sheet'!L41),AVERAGE('Raw sheet'!$L$2:'Raw sheet'!$L$1500),'Raw sheet'!L41)</f>
        <v>5.5242595204513369</v>
      </c>
      <c r="O41" s="5" t="str">
        <f>IF(Table1[[#This Row],[Stress_Index]]&gt;=8,"High",IF(N41&gt;=5,"Medium","Low"))</f>
        <v>Medium</v>
      </c>
      <c r="P41" s="3">
        <v>3.1</v>
      </c>
      <c r="Q41" s="2">
        <v>3.57</v>
      </c>
      <c r="R41" s="3">
        <v>3.55</v>
      </c>
      <c r="S41" s="3" t="str">
        <f>IF(Table1[[#This Row],[CGPA]]&gt;=3,"High",IF(R40&gt;=2,"Medium","Low"))</f>
        <v>High</v>
      </c>
      <c r="T41" s="2" t="s">
        <v>12</v>
      </c>
      <c r="U41" s="2" t="s">
        <v>8</v>
      </c>
      <c r="V41" s="2" t="s">
        <v>0</v>
      </c>
      <c r="W41" s="7">
        <v>0</v>
      </c>
      <c r="X41" t="str">
        <f t="shared" si="1"/>
        <v>Active</v>
      </c>
    </row>
    <row r="42" spans="1:24" x14ac:dyDescent="0.3">
      <c r="A42" s="2">
        <v>41</v>
      </c>
      <c r="B42" s="7">
        <v>22.6</v>
      </c>
      <c r="C42" s="2" t="s">
        <v>5</v>
      </c>
      <c r="D42" s="7">
        <f>IF(ISBLANK('Raw sheet'!D42),AVERAGE('Raw sheet'!$D$2:'Raw sheet'!$D$1500),'Raw sheet'!D42)</f>
        <v>25000</v>
      </c>
      <c r="E42" s="7" t="str">
        <f>IF(Table1[[#This Row],[Family_Income]]&gt;=100000,"Upper",IF(D42&gt;=50000,"Middle","Lower"))</f>
        <v>Lower</v>
      </c>
      <c r="F42" s="2" t="s">
        <v>3</v>
      </c>
      <c r="G42" s="3">
        <f>IF(ISBLANK('Raw sheet'!F42),AVERAGE('Raw sheet'!$F$2:'Raw sheet'!$F$1500),'Raw sheet'!F42)</f>
        <v>5.91</v>
      </c>
      <c r="H42" s="18">
        <v>74.5</v>
      </c>
      <c r="I42" s="9" t="str">
        <f t="shared" si="0"/>
        <v>Low</v>
      </c>
      <c r="J42" s="2">
        <v>2</v>
      </c>
      <c r="K42" s="2">
        <v>40.6</v>
      </c>
      <c r="L42" s="2" t="s">
        <v>3</v>
      </c>
      <c r="M42" s="2" t="s">
        <v>3</v>
      </c>
      <c r="N42" s="5">
        <f>IF(ISBLANK('Raw sheet'!L42),AVERAGE('Raw sheet'!$L$2:'Raw sheet'!$L$1500),'Raw sheet'!L42)</f>
        <v>5.6</v>
      </c>
      <c r="O42" s="5" t="str">
        <f>IF(Table1[[#This Row],[Stress_Index]]&gt;=8,"High",IF(N42&gt;=5,"Medium","Low"))</f>
        <v>Medium</v>
      </c>
      <c r="P42" s="3">
        <v>2.29</v>
      </c>
      <c r="Q42" s="2">
        <v>2.36</v>
      </c>
      <c r="R42" s="3">
        <v>2.35</v>
      </c>
      <c r="S42" s="3" t="str">
        <f>IF(Table1[[#This Row],[CGPA]]&gt;=3,"High",IF(R41&gt;=2,"Medium","Low"))</f>
        <v>Medium</v>
      </c>
      <c r="T42" s="2" t="s">
        <v>12</v>
      </c>
      <c r="U42" s="2" t="s">
        <v>6</v>
      </c>
      <c r="V42" s="2" t="s">
        <v>9</v>
      </c>
      <c r="W42" s="7">
        <v>0</v>
      </c>
      <c r="X42" t="str">
        <f t="shared" si="1"/>
        <v>Active</v>
      </c>
    </row>
    <row r="43" spans="1:24" x14ac:dyDescent="0.3">
      <c r="A43" s="2">
        <v>42</v>
      </c>
      <c r="B43" s="7">
        <v>21.4</v>
      </c>
      <c r="C43" s="2" t="s">
        <v>5</v>
      </c>
      <c r="D43" s="7">
        <f>IF(ISBLANK('Raw sheet'!D43),AVERAGE('Raw sheet'!$D$2:'Raw sheet'!$D$1500),'Raw sheet'!D43)</f>
        <v>41216</v>
      </c>
      <c r="E43" s="7" t="str">
        <f>IF(Table1[[#This Row],[Family_Income]]&gt;=100000,"Upper",IF(D43&gt;=50000,"Middle","Lower"))</f>
        <v>Lower</v>
      </c>
      <c r="F43" s="2" t="s">
        <v>4</v>
      </c>
      <c r="G43" s="3">
        <f>IF(ISBLANK('Raw sheet'!F43),AVERAGE('Raw sheet'!$F$2:'Raw sheet'!$F$1500),'Raw sheet'!F43)</f>
        <v>7.6</v>
      </c>
      <c r="H43" s="18">
        <v>85</v>
      </c>
      <c r="I43" s="9" t="str">
        <f t="shared" si="0"/>
        <v>Good</v>
      </c>
      <c r="J43" s="2">
        <v>1</v>
      </c>
      <c r="K43" s="2">
        <v>43.4</v>
      </c>
      <c r="L43" s="2" t="s">
        <v>4</v>
      </c>
      <c r="M43" s="2" t="s">
        <v>4</v>
      </c>
      <c r="N43" s="5">
        <f>IF(ISBLANK('Raw sheet'!L43),AVERAGE('Raw sheet'!$L$2:'Raw sheet'!$L$1500),'Raw sheet'!L43)</f>
        <v>4.4000000000000004</v>
      </c>
      <c r="O43" s="5" t="str">
        <f>IF(Table1[[#This Row],[Stress_Index]]&gt;=8,"High",IF(N43&gt;=5,"Medium","Low"))</f>
        <v>Low</v>
      </c>
      <c r="P43" s="3">
        <v>1.62</v>
      </c>
      <c r="Q43" s="2">
        <v>1.69</v>
      </c>
      <c r="R43" s="3">
        <v>1.69</v>
      </c>
      <c r="S43" s="3" t="str">
        <f>IF(Table1[[#This Row],[CGPA]]&gt;=3,"High",IF(R42&gt;=2,"Medium","Low"))</f>
        <v>Medium</v>
      </c>
      <c r="T43" s="2" t="s">
        <v>2</v>
      </c>
      <c r="U43" s="2" t="s">
        <v>8</v>
      </c>
      <c r="V43" s="2" t="s">
        <v>15</v>
      </c>
      <c r="W43" s="7">
        <v>0</v>
      </c>
      <c r="X43" t="str">
        <f t="shared" si="1"/>
        <v>Active</v>
      </c>
    </row>
    <row r="44" spans="1:24" x14ac:dyDescent="0.3">
      <c r="A44" s="2">
        <v>43</v>
      </c>
      <c r="B44" s="7">
        <v>20.7</v>
      </c>
      <c r="C44" s="2" t="s">
        <v>5</v>
      </c>
      <c r="D44" s="7">
        <f>IF(ISBLANK('Raw sheet'!D44),AVERAGE('Raw sheet'!$D$2:'Raw sheet'!$D$1500),'Raw sheet'!D44)</f>
        <v>49772</v>
      </c>
      <c r="E44" s="7" t="str">
        <f>IF(Table1[[#This Row],[Family_Income]]&gt;=100000,"Upper",IF(D44&gt;=50000,"Middle","Lower"))</f>
        <v>Lower</v>
      </c>
      <c r="F44" s="2" t="s">
        <v>4</v>
      </c>
      <c r="G44" s="3">
        <f>IF(ISBLANK('Raw sheet'!F44),AVERAGE('Raw sheet'!$F$2:'Raw sheet'!$F$1500),'Raw sheet'!F44)</f>
        <v>3.86</v>
      </c>
      <c r="H44" s="18">
        <v>95.6</v>
      </c>
      <c r="I44" s="9" t="str">
        <f t="shared" si="0"/>
        <v>Good</v>
      </c>
      <c r="J44" s="2">
        <v>6</v>
      </c>
      <c r="K44" s="2">
        <v>22.7</v>
      </c>
      <c r="L44" s="2" t="s">
        <v>3</v>
      </c>
      <c r="M44" s="2" t="s">
        <v>4</v>
      </c>
      <c r="N44" s="5">
        <f>IF(ISBLANK('Raw sheet'!L44),AVERAGE('Raw sheet'!$L$2:'Raw sheet'!$L$1500),'Raw sheet'!L44)</f>
        <v>6.7</v>
      </c>
      <c r="O44" s="5" t="str">
        <f>IF(Table1[[#This Row],[Stress_Index]]&gt;=8,"High",IF(N44&gt;=5,"Medium","Low"))</f>
        <v>Medium</v>
      </c>
      <c r="P44" s="3">
        <v>2.34</v>
      </c>
      <c r="Q44" s="2">
        <v>2.71</v>
      </c>
      <c r="R44" s="3">
        <v>2.71</v>
      </c>
      <c r="S44" s="3" t="str">
        <f>IF(Table1[[#This Row],[CGPA]]&gt;=3,"High",IF(R43&gt;=2,"Medium","Low"))</f>
        <v>Low</v>
      </c>
      <c r="T44" s="2" t="s">
        <v>2</v>
      </c>
      <c r="U44" s="2" t="s">
        <v>8</v>
      </c>
      <c r="V44" s="2" t="s">
        <v>9</v>
      </c>
      <c r="W44" s="7">
        <v>0</v>
      </c>
      <c r="X44" t="str">
        <f t="shared" si="1"/>
        <v>Active</v>
      </c>
    </row>
    <row r="45" spans="1:24" x14ac:dyDescent="0.3">
      <c r="A45" s="2">
        <v>44</v>
      </c>
      <c r="B45" s="7">
        <v>20.3</v>
      </c>
      <c r="C45" s="2" t="s">
        <v>5</v>
      </c>
      <c r="D45" s="7">
        <f>IF(ISBLANK('Raw sheet'!D45),AVERAGE('Raw sheet'!$D$2:'Raw sheet'!$D$1500),'Raw sheet'!D45)</f>
        <v>41183</v>
      </c>
      <c r="E45" s="7" t="str">
        <f>IF(Table1[[#This Row],[Family_Income]]&gt;=100000,"Upper",IF(D45&gt;=50000,"Middle","Lower"))</f>
        <v>Lower</v>
      </c>
      <c r="F45" s="2" t="s">
        <v>4</v>
      </c>
      <c r="G45" s="3">
        <f>IF(ISBLANK('Raw sheet'!F45),AVERAGE('Raw sheet'!$F$2:'Raw sheet'!$F$1500),'Raw sheet'!F45)</f>
        <v>4.1500000000000004</v>
      </c>
      <c r="H45" s="18">
        <v>72.099999999999994</v>
      </c>
      <c r="I45" s="9" t="str">
        <f t="shared" si="0"/>
        <v>Low</v>
      </c>
      <c r="J45" s="2">
        <v>2</v>
      </c>
      <c r="K45" s="2">
        <v>35.9</v>
      </c>
      <c r="L45" s="2" t="s">
        <v>4</v>
      </c>
      <c r="M45" s="2" t="s">
        <v>4</v>
      </c>
      <c r="N45" s="5">
        <f>IF(ISBLANK('Raw sheet'!L45),AVERAGE('Raw sheet'!$L$2:'Raw sheet'!$L$1500),'Raw sheet'!L45)</f>
        <v>8.4</v>
      </c>
      <c r="O45" s="5" t="str">
        <f>IF(Table1[[#This Row],[Stress_Index]]&gt;=8,"High",IF(N45&gt;=5,"Medium","Low"))</f>
        <v>High</v>
      </c>
      <c r="P45" s="3">
        <v>2.3199999999999998</v>
      </c>
      <c r="Q45" s="2">
        <v>2.79</v>
      </c>
      <c r="R45" s="3">
        <v>2.82</v>
      </c>
      <c r="S45" s="3" t="str">
        <f>IF(Table1[[#This Row],[CGPA]]&gt;=3,"High",IF(R44&gt;=2,"Medium","Low"))</f>
        <v>Medium</v>
      </c>
      <c r="T45" s="2" t="s">
        <v>10</v>
      </c>
      <c r="U45" s="2" t="s">
        <v>8</v>
      </c>
      <c r="V45" s="2" t="s">
        <v>15</v>
      </c>
      <c r="W45" s="7">
        <v>1</v>
      </c>
      <c r="X45" t="str">
        <f t="shared" si="1"/>
        <v>Dropped Out</v>
      </c>
    </row>
    <row r="46" spans="1:24" x14ac:dyDescent="0.3">
      <c r="A46" s="2">
        <v>45</v>
      </c>
      <c r="B46" s="7">
        <v>17.7</v>
      </c>
      <c r="C46" s="2" t="s">
        <v>11</v>
      </c>
      <c r="D46" s="7">
        <f>IF(ISBLANK('Raw sheet'!D46),AVERAGE('Raw sheet'!$D$2:'Raw sheet'!$D$1500),'Raw sheet'!D46)</f>
        <v>25000</v>
      </c>
      <c r="E46" s="7" t="str">
        <f>IF(Table1[[#This Row],[Family_Income]]&gt;=100000,"Upper",IF(D46&gt;=50000,"Middle","Lower"))</f>
        <v>Lower</v>
      </c>
      <c r="F46" s="2" t="s">
        <v>4</v>
      </c>
      <c r="G46" s="3">
        <f>IF(ISBLANK('Raw sheet'!F46),AVERAGE('Raw sheet'!$F$2:'Raw sheet'!$F$1500),'Raw sheet'!F46)</f>
        <v>2.48</v>
      </c>
      <c r="H46" s="18">
        <v>89</v>
      </c>
      <c r="I46" s="9" t="str">
        <f t="shared" si="0"/>
        <v>Good</v>
      </c>
      <c r="J46" s="2">
        <v>1</v>
      </c>
      <c r="K46" s="2">
        <v>29.5</v>
      </c>
      <c r="L46" s="2" t="s">
        <v>3</v>
      </c>
      <c r="M46" s="2" t="s">
        <v>4</v>
      </c>
      <c r="N46" s="5">
        <f>IF(ISBLANK('Raw sheet'!L46),AVERAGE('Raw sheet'!$L$2:'Raw sheet'!$L$1500),'Raw sheet'!L46)</f>
        <v>7.4</v>
      </c>
      <c r="O46" s="5" t="str">
        <f>IF(Table1[[#This Row],[Stress_Index]]&gt;=8,"High",IF(N46&gt;=5,"Medium","Low"))</f>
        <v>Medium</v>
      </c>
      <c r="P46" s="3">
        <v>0.63</v>
      </c>
      <c r="Q46" s="2">
        <v>0.45</v>
      </c>
      <c r="R46" s="3">
        <v>0.5</v>
      </c>
      <c r="S46" s="3" t="str">
        <f>IF(Table1[[#This Row],[CGPA]]&gt;=3,"High",IF(R45&gt;=2,"Medium","Low"))</f>
        <v>Medium</v>
      </c>
      <c r="T46" s="2" t="s">
        <v>7</v>
      </c>
      <c r="U46" s="2" t="s">
        <v>6</v>
      </c>
      <c r="V46" s="2" t="s">
        <v>0</v>
      </c>
      <c r="W46" s="7">
        <v>0</v>
      </c>
      <c r="X46" t="str">
        <f t="shared" si="1"/>
        <v>Active</v>
      </c>
    </row>
    <row r="47" spans="1:24" x14ac:dyDescent="0.3">
      <c r="A47" s="2">
        <v>46</v>
      </c>
      <c r="B47" s="7">
        <v>19.399999999999999</v>
      </c>
      <c r="C47" s="2" t="s">
        <v>11</v>
      </c>
      <c r="D47" s="7">
        <f>IF(ISBLANK('Raw sheet'!D47),AVERAGE('Raw sheet'!$D$2:'Raw sheet'!$D$1500),'Raw sheet'!D47)</f>
        <v>25682</v>
      </c>
      <c r="E47" s="7" t="str">
        <f>IF(Table1[[#This Row],[Family_Income]]&gt;=100000,"Upper",IF(D47&gt;=50000,"Middle","Lower"))</f>
        <v>Lower</v>
      </c>
      <c r="F47" s="2" t="s">
        <v>4</v>
      </c>
      <c r="G47" s="3">
        <f>IF(ISBLANK('Raw sheet'!F47),AVERAGE('Raw sheet'!$F$2:'Raw sheet'!$F$1500),'Raw sheet'!F47)</f>
        <v>3.51</v>
      </c>
      <c r="H47" s="18">
        <v>69.7</v>
      </c>
      <c r="I47" s="9" t="str">
        <f t="shared" si="0"/>
        <v>Low</v>
      </c>
      <c r="J47" s="2">
        <v>2</v>
      </c>
      <c r="K47" s="2">
        <v>22.9</v>
      </c>
      <c r="L47" s="2" t="s">
        <v>3</v>
      </c>
      <c r="M47" s="2" t="s">
        <v>3</v>
      </c>
      <c r="N47" s="5">
        <f>IF(ISBLANK('Raw sheet'!L47),AVERAGE('Raw sheet'!$L$2:'Raw sheet'!$L$1500),'Raw sheet'!L47)</f>
        <v>7.9</v>
      </c>
      <c r="O47" s="5" t="str">
        <f>IF(Table1[[#This Row],[Stress_Index]]&gt;=8,"High",IF(N47&gt;=5,"Medium","Low"))</f>
        <v>Medium</v>
      </c>
      <c r="P47" s="3">
        <v>1.58</v>
      </c>
      <c r="Q47" s="2">
        <v>1.43</v>
      </c>
      <c r="R47" s="3">
        <v>1.43</v>
      </c>
      <c r="S47" s="3" t="str">
        <f>IF(Table1[[#This Row],[CGPA]]&gt;=3,"High",IF(R46&gt;=2,"Medium","Low"))</f>
        <v>Low</v>
      </c>
      <c r="T47" s="2" t="s">
        <v>2</v>
      </c>
      <c r="U47" s="2" t="s">
        <v>8</v>
      </c>
      <c r="V47" s="2" t="s">
        <v>0</v>
      </c>
      <c r="W47" s="7">
        <v>0</v>
      </c>
      <c r="X47" t="str">
        <f t="shared" si="1"/>
        <v>Active</v>
      </c>
    </row>
    <row r="48" spans="1:24" x14ac:dyDescent="0.3">
      <c r="A48" s="2">
        <v>47</v>
      </c>
      <c r="B48" s="7">
        <v>20</v>
      </c>
      <c r="C48" s="2" t="s">
        <v>5</v>
      </c>
      <c r="D48" s="7">
        <f>IF(ISBLANK('Raw sheet'!D48),AVERAGE('Raw sheet'!$D$2:'Raw sheet'!$D$1500),'Raw sheet'!D48)</f>
        <v>25000</v>
      </c>
      <c r="E48" s="7" t="str">
        <f>IF(Table1[[#This Row],[Family_Income]]&gt;=100000,"Upper",IF(D48&gt;=50000,"Middle","Lower"))</f>
        <v>Lower</v>
      </c>
      <c r="F48" s="2" t="s">
        <v>4</v>
      </c>
      <c r="G48" s="3">
        <f>IF(ISBLANK('Raw sheet'!F48),AVERAGE('Raw sheet'!$F$2:'Raw sheet'!$F$1500),'Raw sheet'!F48)</f>
        <v>6.84</v>
      </c>
      <c r="H48" s="18">
        <v>75.599999999999994</v>
      </c>
      <c r="I48" s="9" t="str">
        <f t="shared" si="0"/>
        <v>Good</v>
      </c>
      <c r="J48" s="2">
        <v>1</v>
      </c>
      <c r="K48" s="2">
        <v>44</v>
      </c>
      <c r="L48" s="2" t="s">
        <v>4</v>
      </c>
      <c r="M48" s="2" t="s">
        <v>3</v>
      </c>
      <c r="N48" s="5">
        <f>IF(ISBLANK('Raw sheet'!L48),AVERAGE('Raw sheet'!$L$2:'Raw sheet'!$L$1500),'Raw sheet'!L48)</f>
        <v>5.2</v>
      </c>
      <c r="O48" s="5" t="str">
        <f>IF(Table1[[#This Row],[Stress_Index]]&gt;=8,"High",IF(N48&gt;=5,"Medium","Low"))</f>
        <v>Medium</v>
      </c>
      <c r="P48" s="3">
        <v>3.36</v>
      </c>
      <c r="Q48" s="2">
        <v>3.59</v>
      </c>
      <c r="R48" s="3">
        <v>3.66</v>
      </c>
      <c r="S48" s="3" t="str">
        <f>IF(Table1[[#This Row],[CGPA]]&gt;=3,"High",IF(R47&gt;=2,"Medium","Low"))</f>
        <v>High</v>
      </c>
      <c r="T48" s="2" t="s">
        <v>7</v>
      </c>
      <c r="U48" s="2" t="s">
        <v>8</v>
      </c>
      <c r="V48" s="2" t="s">
        <v>9</v>
      </c>
      <c r="W48" s="7">
        <v>0</v>
      </c>
      <c r="X48" t="str">
        <f t="shared" si="1"/>
        <v>Active</v>
      </c>
    </row>
    <row r="49" spans="1:24" x14ac:dyDescent="0.3">
      <c r="A49" s="2">
        <v>48</v>
      </c>
      <c r="B49" s="7">
        <v>23.3</v>
      </c>
      <c r="C49" s="2" t="s">
        <v>5</v>
      </c>
      <c r="D49" s="7">
        <f>IF(ISBLANK('Raw sheet'!D49),AVERAGE('Raw sheet'!$D$2:'Raw sheet'!$D$1500),'Raw sheet'!D49)</f>
        <v>25000</v>
      </c>
      <c r="E49" s="7" t="str">
        <f>IF(Table1[[#This Row],[Family_Income]]&gt;=100000,"Upper",IF(D49&gt;=50000,"Middle","Lower"))</f>
        <v>Lower</v>
      </c>
      <c r="F49" s="2" t="s">
        <v>4</v>
      </c>
      <c r="G49" s="3">
        <f>IF(ISBLANK('Raw sheet'!F49),AVERAGE('Raw sheet'!$F$2:'Raw sheet'!$F$1500),'Raw sheet'!F49)</f>
        <v>5.13</v>
      </c>
      <c r="H49" s="18">
        <v>86.5</v>
      </c>
      <c r="I49" s="9" t="str">
        <f t="shared" si="0"/>
        <v>Good</v>
      </c>
      <c r="J49" s="2">
        <v>1</v>
      </c>
      <c r="K49" s="2">
        <v>22</v>
      </c>
      <c r="L49" s="2" t="s">
        <v>4</v>
      </c>
      <c r="M49" s="2" t="s">
        <v>3</v>
      </c>
      <c r="N49" s="5">
        <f>IF(ISBLANK('Raw sheet'!L49),AVERAGE('Raw sheet'!$L$2:'Raw sheet'!$L$1500),'Raw sheet'!L49)</f>
        <v>3.6</v>
      </c>
      <c r="O49" s="5" t="str">
        <f>IF(Table1[[#This Row],[Stress_Index]]&gt;=8,"High",IF(N49&gt;=5,"Medium","Low"))</f>
        <v>Low</v>
      </c>
      <c r="P49" s="3">
        <v>4</v>
      </c>
      <c r="Q49" s="2">
        <v>3.95</v>
      </c>
      <c r="R49" s="3">
        <v>4</v>
      </c>
      <c r="S49" s="3" t="str">
        <f>IF(Table1[[#This Row],[CGPA]]&gt;=3,"High",IF(R48&gt;=2,"Medium","Low"))</f>
        <v>High</v>
      </c>
      <c r="T49" s="2" t="s">
        <v>7</v>
      </c>
      <c r="U49" s="2" t="s">
        <v>14</v>
      </c>
      <c r="V49" s="2" t="s">
        <v>9</v>
      </c>
      <c r="W49" s="7">
        <v>0</v>
      </c>
      <c r="X49" t="str">
        <f t="shared" si="1"/>
        <v>Active</v>
      </c>
    </row>
    <row r="50" spans="1:24" x14ac:dyDescent="0.3">
      <c r="A50" s="2">
        <v>49</v>
      </c>
      <c r="B50" s="7">
        <v>21.8</v>
      </c>
      <c r="C50" s="2" t="s">
        <v>5</v>
      </c>
      <c r="D50" s="7">
        <f>IF(ISBLANK('Raw sheet'!D50),AVERAGE('Raw sheet'!$D$2:'Raw sheet'!$D$1500),'Raw sheet'!D50)</f>
        <v>25000</v>
      </c>
      <c r="E50" s="7" t="str">
        <f>IF(Table1[[#This Row],[Family_Income]]&gt;=100000,"Upper",IF(D50&gt;=50000,"Middle","Lower"))</f>
        <v>Lower</v>
      </c>
      <c r="F50" s="2" t="s">
        <v>4</v>
      </c>
      <c r="G50" s="3">
        <f>IF(ISBLANK('Raw sheet'!F50),AVERAGE('Raw sheet'!$F$2:'Raw sheet'!$F$1500),'Raw sheet'!F50)</f>
        <v>5.58</v>
      </c>
      <c r="H50" s="18">
        <v>79.8</v>
      </c>
      <c r="I50" s="9" t="str">
        <f t="shared" si="0"/>
        <v>Good</v>
      </c>
      <c r="J50" s="2">
        <v>2</v>
      </c>
      <c r="K50" s="2">
        <v>39.1</v>
      </c>
      <c r="L50" s="2" t="s">
        <v>4</v>
      </c>
      <c r="M50" s="2" t="s">
        <v>3</v>
      </c>
      <c r="N50" s="5">
        <f>IF(ISBLANK('Raw sheet'!L50),AVERAGE('Raw sheet'!$L$2:'Raw sheet'!$L$1500),'Raw sheet'!L50)</f>
        <v>1.9</v>
      </c>
      <c r="O50" s="5" t="str">
        <f>IF(Table1[[#This Row],[Stress_Index]]&gt;=8,"High",IF(N50&gt;=5,"Medium","Low"))</f>
        <v>Low</v>
      </c>
      <c r="P50" s="3">
        <v>4</v>
      </c>
      <c r="Q50" s="2">
        <v>3.73</v>
      </c>
      <c r="R50" s="3">
        <v>3.77</v>
      </c>
      <c r="S50" s="3" t="str">
        <f>IF(Table1[[#This Row],[CGPA]]&gt;=3,"High",IF(R49&gt;=2,"Medium","Low"))</f>
        <v>High</v>
      </c>
      <c r="T50" s="2" t="s">
        <v>12</v>
      </c>
      <c r="U50" s="2" t="s">
        <v>8</v>
      </c>
      <c r="V50" s="2" t="s">
        <v>9</v>
      </c>
      <c r="W50" s="7">
        <v>0</v>
      </c>
      <c r="X50" t="str">
        <f t="shared" si="1"/>
        <v>Active</v>
      </c>
    </row>
    <row r="51" spans="1:24" x14ac:dyDescent="0.3">
      <c r="A51" s="2">
        <v>50</v>
      </c>
      <c r="B51" s="7">
        <v>17.100000000000001</v>
      </c>
      <c r="C51" s="2" t="s">
        <v>11</v>
      </c>
      <c r="D51" s="7">
        <f>IF(ISBLANK('Raw sheet'!D51),AVERAGE('Raw sheet'!$D$2:'Raw sheet'!$D$1500),'Raw sheet'!D51)</f>
        <v>27754</v>
      </c>
      <c r="E51" s="7" t="str">
        <f>IF(Table1[[#This Row],[Family_Income]]&gt;=100000,"Upper",IF(D51&gt;=50000,"Middle","Lower"))</f>
        <v>Lower</v>
      </c>
      <c r="F51" s="2" t="s">
        <v>4</v>
      </c>
      <c r="G51" s="3">
        <f>IF(ISBLANK('Raw sheet'!F51),AVERAGE('Raw sheet'!$F$2:'Raw sheet'!$F$1500),'Raw sheet'!F51)</f>
        <v>4.84</v>
      </c>
      <c r="H51" s="18">
        <v>93.6</v>
      </c>
      <c r="I51" s="9" t="str">
        <f t="shared" si="0"/>
        <v>Good</v>
      </c>
      <c r="J51" s="2">
        <v>3</v>
      </c>
      <c r="K51" s="2">
        <v>30.8</v>
      </c>
      <c r="L51" s="2" t="s">
        <v>3</v>
      </c>
      <c r="M51" s="2" t="s">
        <v>3</v>
      </c>
      <c r="N51" s="5">
        <f>IF(ISBLANK('Raw sheet'!L51),AVERAGE('Raw sheet'!$L$2:'Raw sheet'!$L$1500),'Raw sheet'!L51)</f>
        <v>1.8</v>
      </c>
      <c r="O51" s="5" t="str">
        <f>IF(Table1[[#This Row],[Stress_Index]]&gt;=8,"High",IF(N51&gt;=5,"Medium","Low"))</f>
        <v>Low</v>
      </c>
      <c r="P51" s="3">
        <v>2.8</v>
      </c>
      <c r="Q51" s="2">
        <v>3.38</v>
      </c>
      <c r="R51" s="3">
        <v>3.38</v>
      </c>
      <c r="S51" s="3" t="str">
        <f>IF(Table1[[#This Row],[CGPA]]&gt;=3,"High",IF(R50&gt;=2,"Medium","Low"))</f>
        <v>High</v>
      </c>
      <c r="T51" s="2" t="s">
        <v>2</v>
      </c>
      <c r="U51" s="2" t="s">
        <v>6</v>
      </c>
      <c r="V51" s="2" t="s">
        <v>15</v>
      </c>
      <c r="W51" s="7">
        <v>0</v>
      </c>
      <c r="X51" t="str">
        <f t="shared" si="1"/>
        <v>Active</v>
      </c>
    </row>
    <row r="52" spans="1:24" x14ac:dyDescent="0.3">
      <c r="A52" s="2">
        <v>51</v>
      </c>
      <c r="B52" s="7">
        <v>21.7</v>
      </c>
      <c r="C52" s="2" t="s">
        <v>11</v>
      </c>
      <c r="D52" s="7">
        <f>IF(ISBLANK('Raw sheet'!D52),AVERAGE('Raw sheet'!$D$2:'Raw sheet'!$D$1500),'Raw sheet'!D52)</f>
        <v>25000</v>
      </c>
      <c r="E52" s="7" t="str">
        <f>IF(Table1[[#This Row],[Family_Income]]&gt;=100000,"Upper",IF(D52&gt;=50000,"Middle","Lower"))</f>
        <v>Lower</v>
      </c>
      <c r="F52" s="2" t="s">
        <v>4</v>
      </c>
      <c r="G52" s="3">
        <f>IF(ISBLANK('Raw sheet'!F52),AVERAGE('Raw sheet'!$F$2:'Raw sheet'!$F$1500),'Raw sheet'!F52)</f>
        <v>5.39</v>
      </c>
      <c r="H52" s="18">
        <v>83</v>
      </c>
      <c r="I52" s="9" t="str">
        <f t="shared" si="0"/>
        <v>Good</v>
      </c>
      <c r="J52" s="2">
        <v>1</v>
      </c>
      <c r="K52" s="2">
        <v>27.9</v>
      </c>
      <c r="L52" s="2" t="s">
        <v>4</v>
      </c>
      <c r="M52" s="2" t="s">
        <v>3</v>
      </c>
      <c r="N52" s="5">
        <f>IF(ISBLANK('Raw sheet'!L52),AVERAGE('Raw sheet'!$L$2:'Raw sheet'!$L$1500),'Raw sheet'!L52)</f>
        <v>5.0999999999999996</v>
      </c>
      <c r="O52" s="5" t="str">
        <f>IF(Table1[[#This Row],[Stress_Index]]&gt;=8,"High",IF(N52&gt;=5,"Medium","Low"))</f>
        <v>Medium</v>
      </c>
      <c r="P52" s="3">
        <v>4</v>
      </c>
      <c r="Q52" s="2">
        <v>4</v>
      </c>
      <c r="R52" s="3">
        <v>3.94</v>
      </c>
      <c r="S52" s="3" t="str">
        <f>IF(Table1[[#This Row],[CGPA]]&gt;=3,"High",IF(R51&gt;=2,"Medium","Low"))</f>
        <v>High</v>
      </c>
      <c r="T52" s="2" t="s">
        <v>7</v>
      </c>
      <c r="U52" s="2" t="s">
        <v>14</v>
      </c>
      <c r="V52" s="2" t="s">
        <v>9</v>
      </c>
      <c r="W52" s="7">
        <v>0</v>
      </c>
      <c r="X52" t="str">
        <f t="shared" si="1"/>
        <v>Active</v>
      </c>
    </row>
    <row r="53" spans="1:24" x14ac:dyDescent="0.3">
      <c r="A53" s="2">
        <v>52</v>
      </c>
      <c r="B53" s="7">
        <v>20.2</v>
      </c>
      <c r="C53" s="2" t="s">
        <v>5</v>
      </c>
      <c r="D53" s="7">
        <f>IF(ISBLANK('Raw sheet'!D53),AVERAGE('Raw sheet'!$D$2:'Raw sheet'!$D$1500),'Raw sheet'!D53)</f>
        <v>26368</v>
      </c>
      <c r="E53" s="7" t="str">
        <f>IF(Table1[[#This Row],[Family_Income]]&gt;=100000,"Upper",IF(D53&gt;=50000,"Middle","Lower"))</f>
        <v>Lower</v>
      </c>
      <c r="F53" s="2" t="s">
        <v>4</v>
      </c>
      <c r="G53" s="3">
        <f>IF(ISBLANK('Raw sheet'!F53),AVERAGE('Raw sheet'!$F$2:'Raw sheet'!$F$1500),'Raw sheet'!F53)</f>
        <v>6.52</v>
      </c>
      <c r="H53" s="18">
        <v>86.2</v>
      </c>
      <c r="I53" s="9" t="str">
        <f t="shared" si="0"/>
        <v>Good</v>
      </c>
      <c r="J53" s="2">
        <v>1</v>
      </c>
      <c r="K53" s="2">
        <v>23.3</v>
      </c>
      <c r="L53" s="2" t="s">
        <v>3</v>
      </c>
      <c r="M53" s="2" t="s">
        <v>3</v>
      </c>
      <c r="N53" s="5">
        <f>IF(ISBLANK('Raw sheet'!L53),AVERAGE('Raw sheet'!$L$2:'Raw sheet'!$L$1500),'Raw sheet'!L53)</f>
        <v>6.4</v>
      </c>
      <c r="O53" s="5" t="str">
        <f>IF(Table1[[#This Row],[Stress_Index]]&gt;=8,"High",IF(N53&gt;=5,"Medium","Low"))</f>
        <v>Medium</v>
      </c>
      <c r="P53" s="3">
        <v>2.89</v>
      </c>
      <c r="Q53" s="2">
        <v>2.7</v>
      </c>
      <c r="R53" s="3">
        <v>2.65</v>
      </c>
      <c r="S53" s="3" t="str">
        <f>IF(Table1[[#This Row],[CGPA]]&gt;=3,"High",IF(R52&gt;=2,"Medium","Low"))</f>
        <v>Medium</v>
      </c>
      <c r="T53" s="2" t="s">
        <v>10</v>
      </c>
      <c r="U53" s="2" t="s">
        <v>8</v>
      </c>
      <c r="V53" s="2" t="s">
        <v>9</v>
      </c>
      <c r="W53" s="7">
        <v>0</v>
      </c>
      <c r="X53" t="str">
        <f t="shared" si="1"/>
        <v>Active</v>
      </c>
    </row>
    <row r="54" spans="1:24" x14ac:dyDescent="0.3">
      <c r="A54" s="2">
        <v>53</v>
      </c>
      <c r="B54" s="7">
        <v>19.5</v>
      </c>
      <c r="C54" s="2" t="s">
        <v>11</v>
      </c>
      <c r="D54" s="7">
        <f>IF(ISBLANK('Raw sheet'!D54),AVERAGE('Raw sheet'!$D$2:'Raw sheet'!$D$1500),'Raw sheet'!D54)</f>
        <v>25000</v>
      </c>
      <c r="E54" s="7" t="str">
        <f>IF(Table1[[#This Row],[Family_Income]]&gt;=100000,"Upper",IF(D54&gt;=50000,"Middle","Lower"))</f>
        <v>Lower</v>
      </c>
      <c r="F54" s="2" t="s">
        <v>4</v>
      </c>
      <c r="G54" s="3">
        <f>IF(ISBLANK('Raw sheet'!F54),AVERAGE('Raw sheet'!$F$2:'Raw sheet'!$F$1500),'Raw sheet'!F54)</f>
        <v>3.41</v>
      </c>
      <c r="H54" s="18">
        <v>76.5</v>
      </c>
      <c r="I54" s="9" t="str">
        <f t="shared" si="0"/>
        <v>Good</v>
      </c>
      <c r="J54" s="2">
        <v>2</v>
      </c>
      <c r="K54" s="2">
        <v>18.2</v>
      </c>
      <c r="L54" s="2" t="s">
        <v>4</v>
      </c>
      <c r="M54" s="2" t="s">
        <v>3</v>
      </c>
      <c r="N54" s="5">
        <f>IF(ISBLANK('Raw sheet'!L54),AVERAGE('Raw sheet'!$L$2:'Raw sheet'!$L$1500),'Raw sheet'!L54)</f>
        <v>7</v>
      </c>
      <c r="O54" s="5" t="str">
        <f>IF(Table1[[#This Row],[Stress_Index]]&gt;=8,"High",IF(N54&gt;=5,"Medium","Low"))</f>
        <v>Medium</v>
      </c>
      <c r="P54" s="3">
        <v>2.2799999999999998</v>
      </c>
      <c r="Q54" s="2">
        <v>2.0499999999999998</v>
      </c>
      <c r="R54" s="3">
        <v>2.0499999999999998</v>
      </c>
      <c r="S54" s="3" t="str">
        <f>IF(Table1[[#This Row],[CGPA]]&gt;=3,"High",IF(R53&gt;=2,"Medium","Low"))</f>
        <v>Medium</v>
      </c>
      <c r="T54" s="2" t="s">
        <v>10</v>
      </c>
      <c r="U54" s="2" t="s">
        <v>8</v>
      </c>
      <c r="V54" s="2" t="s">
        <v>15</v>
      </c>
      <c r="W54" s="7">
        <v>0</v>
      </c>
      <c r="X54" t="str">
        <f t="shared" si="1"/>
        <v>Active</v>
      </c>
    </row>
    <row r="55" spans="1:24" x14ac:dyDescent="0.3">
      <c r="A55" s="2">
        <v>54</v>
      </c>
      <c r="B55" s="7">
        <v>22.3</v>
      </c>
      <c r="C55" s="2" t="s">
        <v>5</v>
      </c>
      <c r="D55" s="7">
        <f>IF(ISBLANK('Raw sheet'!D55),AVERAGE('Raw sheet'!$D$2:'Raw sheet'!$D$1500),'Raw sheet'!D55)</f>
        <v>33661</v>
      </c>
      <c r="E55" s="7" t="str">
        <f>IF(Table1[[#This Row],[Family_Income]]&gt;=100000,"Upper",IF(D55&gt;=50000,"Middle","Lower"))</f>
        <v>Lower</v>
      </c>
      <c r="F55" s="2" t="s">
        <v>4</v>
      </c>
      <c r="G55" s="3">
        <f>IF(ISBLANK('Raw sheet'!F55),AVERAGE('Raw sheet'!$F$2:'Raw sheet'!$F$1500),'Raw sheet'!F55)</f>
        <v>4.96</v>
      </c>
      <c r="H55" s="18">
        <v>73.7</v>
      </c>
      <c r="I55" s="9" t="str">
        <f t="shared" si="0"/>
        <v>Low</v>
      </c>
      <c r="J55" s="2">
        <v>4</v>
      </c>
      <c r="K55" s="2">
        <v>27</v>
      </c>
      <c r="L55" s="2" t="s">
        <v>3</v>
      </c>
      <c r="M55" s="2" t="s">
        <v>3</v>
      </c>
      <c r="N55" s="5">
        <f>IF(ISBLANK('Raw sheet'!L55),AVERAGE('Raw sheet'!$L$2:'Raw sheet'!$L$1500),'Raw sheet'!L55)</f>
        <v>5.9</v>
      </c>
      <c r="O55" s="5" t="str">
        <f>IF(Table1[[#This Row],[Stress_Index]]&gt;=8,"High",IF(N55&gt;=5,"Medium","Low"))</f>
        <v>Medium</v>
      </c>
      <c r="P55" s="3">
        <v>2.16</v>
      </c>
      <c r="Q55" s="2">
        <v>2.42</v>
      </c>
      <c r="R55" s="3">
        <v>2.4700000000000002</v>
      </c>
      <c r="S55" s="3" t="str">
        <f>IF(Table1[[#This Row],[CGPA]]&gt;=3,"High",IF(R54&gt;=2,"Medium","Low"))</f>
        <v>Medium</v>
      </c>
      <c r="T55" s="2" t="s">
        <v>7</v>
      </c>
      <c r="U55" s="2" t="s">
        <v>8</v>
      </c>
      <c r="V55" s="2" t="s">
        <v>0</v>
      </c>
      <c r="W55" s="7">
        <v>1</v>
      </c>
      <c r="X55" t="str">
        <f t="shared" si="1"/>
        <v>Dropped Out</v>
      </c>
    </row>
    <row r="56" spans="1:24" x14ac:dyDescent="0.3">
      <c r="A56" s="2">
        <v>55</v>
      </c>
      <c r="B56" s="7">
        <v>23.3</v>
      </c>
      <c r="C56" s="2" t="s">
        <v>11</v>
      </c>
      <c r="D56" s="7">
        <f>IF(ISBLANK('Raw sheet'!D56),AVERAGE('Raw sheet'!$D$2:'Raw sheet'!$D$1500),'Raw sheet'!D56)</f>
        <v>25000</v>
      </c>
      <c r="E56" s="7" t="str">
        <f>IF(Table1[[#This Row],[Family_Income]]&gt;=100000,"Upper",IF(D56&gt;=50000,"Middle","Lower"))</f>
        <v>Lower</v>
      </c>
      <c r="F56" s="2" t="s">
        <v>4</v>
      </c>
      <c r="G56" s="3">
        <f>IF(ISBLANK('Raw sheet'!F56),AVERAGE('Raw sheet'!$F$2:'Raw sheet'!$F$1500),'Raw sheet'!F56)</f>
        <v>3.1</v>
      </c>
      <c r="H56" s="18">
        <v>72.8</v>
      </c>
      <c r="I56" s="9" t="str">
        <f t="shared" si="0"/>
        <v>Low</v>
      </c>
      <c r="J56" s="2">
        <v>0</v>
      </c>
      <c r="K56" s="2">
        <v>23.9</v>
      </c>
      <c r="L56" s="2" t="s">
        <v>3</v>
      </c>
      <c r="M56" s="2" t="s">
        <v>4</v>
      </c>
      <c r="N56" s="5">
        <f>IF(ISBLANK('Raw sheet'!L56),AVERAGE('Raw sheet'!$L$2:'Raw sheet'!$L$1500),'Raw sheet'!L56)</f>
        <v>4.2</v>
      </c>
      <c r="O56" s="5" t="str">
        <f>IF(Table1[[#This Row],[Stress_Index]]&gt;=8,"High",IF(N56&gt;=5,"Medium","Low"))</f>
        <v>Low</v>
      </c>
      <c r="P56" s="3">
        <v>0.35</v>
      </c>
      <c r="Q56" s="2">
        <v>0</v>
      </c>
      <c r="R56" s="3">
        <v>0</v>
      </c>
      <c r="S56" s="3" t="str">
        <f>IF(Table1[[#This Row],[CGPA]]&gt;=3,"High",IF(R55&gt;=2,"Medium","Low"))</f>
        <v>Medium</v>
      </c>
      <c r="T56" s="2" t="s">
        <v>2</v>
      </c>
      <c r="U56" s="2" t="s">
        <v>8</v>
      </c>
      <c r="V56" s="2" t="s">
        <v>9</v>
      </c>
      <c r="W56" s="7">
        <v>1</v>
      </c>
      <c r="X56" t="str">
        <f t="shared" si="1"/>
        <v>Dropped Out</v>
      </c>
    </row>
    <row r="57" spans="1:24" x14ac:dyDescent="0.3">
      <c r="A57" s="2">
        <v>56</v>
      </c>
      <c r="B57" s="7">
        <v>23</v>
      </c>
      <c r="C57" s="2" t="s">
        <v>11</v>
      </c>
      <c r="D57" s="7">
        <f>IF(ISBLANK('Raw sheet'!D57),AVERAGE('Raw sheet'!$D$2:'Raw sheet'!$D$1500),'Raw sheet'!D57)</f>
        <v>35396</v>
      </c>
      <c r="E57" s="7" t="str">
        <f>IF(Table1[[#This Row],[Family_Income]]&gt;=100000,"Upper",IF(D57&gt;=50000,"Middle","Lower"))</f>
        <v>Lower</v>
      </c>
      <c r="F57" s="2" t="s">
        <v>4</v>
      </c>
      <c r="G57" s="3">
        <f>IF(ISBLANK('Raw sheet'!F57),AVERAGE('Raw sheet'!$F$2:'Raw sheet'!$F$1500),'Raw sheet'!F57)</f>
        <v>1.35</v>
      </c>
      <c r="H57" s="18">
        <v>74.5</v>
      </c>
      <c r="I57" s="9" t="str">
        <f t="shared" si="0"/>
        <v>Low</v>
      </c>
      <c r="J57" s="2">
        <v>0</v>
      </c>
      <c r="K57" s="2">
        <v>31.1</v>
      </c>
      <c r="L57" s="2" t="s">
        <v>4</v>
      </c>
      <c r="M57" s="2" t="s">
        <v>4</v>
      </c>
      <c r="N57" s="5">
        <f>IF(ISBLANK('Raw sheet'!L57),AVERAGE('Raw sheet'!$L$2:'Raw sheet'!$L$1500),'Raw sheet'!L57)</f>
        <v>6.7</v>
      </c>
      <c r="O57" s="5" t="str">
        <f>IF(Table1[[#This Row],[Stress_Index]]&gt;=8,"High",IF(N57&gt;=5,"Medium","Low"))</f>
        <v>Medium</v>
      </c>
      <c r="P57" s="3">
        <v>0.68</v>
      </c>
      <c r="Q57" s="2">
        <v>0.93</v>
      </c>
      <c r="R57" s="3">
        <v>0.93</v>
      </c>
      <c r="S57" s="3" t="str">
        <f>IF(Table1[[#This Row],[CGPA]]&gt;=3,"High",IF(R56&gt;=2,"Medium","Low"))</f>
        <v>Low</v>
      </c>
      <c r="T57" s="2" t="s">
        <v>2</v>
      </c>
      <c r="U57" s="2" t="s">
        <v>13</v>
      </c>
      <c r="V57" s="2" t="s">
        <v>15</v>
      </c>
      <c r="W57" s="7">
        <v>1</v>
      </c>
      <c r="X57" t="str">
        <f t="shared" si="1"/>
        <v>Dropped Out</v>
      </c>
    </row>
    <row r="58" spans="1:24" x14ac:dyDescent="0.3">
      <c r="A58" s="2">
        <v>57</v>
      </c>
      <c r="B58" s="7">
        <v>19.2</v>
      </c>
      <c r="C58" s="2" t="s">
        <v>11</v>
      </c>
      <c r="D58" s="7">
        <f>IF(ISBLANK('Raw sheet'!D58),AVERAGE('Raw sheet'!$D$2:'Raw sheet'!$D$1500),'Raw sheet'!D58)</f>
        <v>56894</v>
      </c>
      <c r="E58" s="7" t="str">
        <f>IF(Table1[[#This Row],[Family_Income]]&gt;=100000,"Upper",IF(D58&gt;=50000,"Middle","Lower"))</f>
        <v>Middle</v>
      </c>
      <c r="F58" s="2" t="s">
        <v>4</v>
      </c>
      <c r="G58" s="3">
        <f>IF(ISBLANK('Raw sheet'!F58),AVERAGE('Raw sheet'!$F$2:'Raw sheet'!$F$1500),'Raw sheet'!F58)</f>
        <v>4.34</v>
      </c>
      <c r="H58" s="18">
        <v>76.400000000000006</v>
      </c>
      <c r="I58" s="9" t="str">
        <f t="shared" si="0"/>
        <v>Good</v>
      </c>
      <c r="J58" s="2">
        <v>1</v>
      </c>
      <c r="K58" s="2">
        <v>15.6</v>
      </c>
      <c r="L58" s="2" t="s">
        <v>3</v>
      </c>
      <c r="M58" s="2" t="s">
        <v>3</v>
      </c>
      <c r="N58" s="5">
        <f>IF(ISBLANK('Raw sheet'!L58),AVERAGE('Raw sheet'!$L$2:'Raw sheet'!$L$1500),'Raw sheet'!L58)</f>
        <v>3.3</v>
      </c>
      <c r="O58" s="5" t="str">
        <f>IF(Table1[[#This Row],[Stress_Index]]&gt;=8,"High",IF(N58&gt;=5,"Medium","Low"))</f>
        <v>Low</v>
      </c>
      <c r="P58" s="3">
        <v>2.64</v>
      </c>
      <c r="Q58" s="2">
        <v>2.68</v>
      </c>
      <c r="R58" s="3">
        <v>2.68</v>
      </c>
      <c r="S58" s="3" t="str">
        <f>IF(Table1[[#This Row],[CGPA]]&gt;=3,"High",IF(R57&gt;=2,"Medium","Low"))</f>
        <v>Low</v>
      </c>
      <c r="T58" s="2" t="s">
        <v>7</v>
      </c>
      <c r="U58" s="2" t="s">
        <v>13</v>
      </c>
      <c r="V58" s="2" t="s">
        <v>9</v>
      </c>
      <c r="W58" s="7">
        <v>0</v>
      </c>
      <c r="X58" t="str">
        <f t="shared" si="1"/>
        <v>Active</v>
      </c>
    </row>
    <row r="59" spans="1:24" x14ac:dyDescent="0.3">
      <c r="A59" s="2">
        <v>58</v>
      </c>
      <c r="B59" s="7">
        <v>20.3</v>
      </c>
      <c r="C59" s="2" t="s">
        <v>11</v>
      </c>
      <c r="D59" s="7">
        <f>IF(ISBLANK('Raw sheet'!D59),AVERAGE('Raw sheet'!$D$2:'Raw sheet'!$D$1500),'Raw sheet'!D59)</f>
        <v>77162</v>
      </c>
      <c r="E59" s="7" t="str">
        <f>IF(Table1[[#This Row],[Family_Income]]&gt;=100000,"Upper",IF(D59&gt;=50000,"Middle","Lower"))</f>
        <v>Middle</v>
      </c>
      <c r="F59" s="2" t="s">
        <v>4</v>
      </c>
      <c r="G59" s="3">
        <f>IF(ISBLANK('Raw sheet'!F59),AVERAGE('Raw sheet'!$F$2:'Raw sheet'!$F$1500),'Raw sheet'!F59)</f>
        <v>4.16</v>
      </c>
      <c r="H59" s="18">
        <v>91.3</v>
      </c>
      <c r="I59" s="9" t="str">
        <f t="shared" si="0"/>
        <v>Good</v>
      </c>
      <c r="J59" s="2">
        <v>3</v>
      </c>
      <c r="K59" s="2">
        <v>28.2</v>
      </c>
      <c r="L59" s="2" t="s">
        <v>3</v>
      </c>
      <c r="M59" s="2" t="s">
        <v>4</v>
      </c>
      <c r="N59" s="5">
        <f>IF(ISBLANK('Raw sheet'!L59),AVERAGE('Raw sheet'!$L$2:'Raw sheet'!$L$1500),'Raw sheet'!L59)</f>
        <v>3.5</v>
      </c>
      <c r="O59" s="5" t="str">
        <f>IF(Table1[[#This Row],[Stress_Index]]&gt;=8,"High",IF(N59&gt;=5,"Medium","Low"))</f>
        <v>Low</v>
      </c>
      <c r="P59" s="3">
        <v>2.09</v>
      </c>
      <c r="Q59" s="2">
        <v>2.39</v>
      </c>
      <c r="R59" s="3">
        <v>2.57</v>
      </c>
      <c r="S59" s="3" t="str">
        <f>IF(Table1[[#This Row],[CGPA]]&gt;=3,"High",IF(R58&gt;=2,"Medium","Low"))</f>
        <v>Medium</v>
      </c>
      <c r="T59" s="2" t="s">
        <v>7</v>
      </c>
      <c r="U59" s="2" t="s">
        <v>6</v>
      </c>
      <c r="V59" s="2" t="s">
        <v>9</v>
      </c>
      <c r="W59" s="7">
        <v>0</v>
      </c>
      <c r="X59" t="str">
        <f t="shared" si="1"/>
        <v>Active</v>
      </c>
    </row>
    <row r="60" spans="1:24" x14ac:dyDescent="0.3">
      <c r="A60" s="2">
        <v>59</v>
      </c>
      <c r="B60" s="7">
        <v>21.7</v>
      </c>
      <c r="C60" s="2" t="s">
        <v>11</v>
      </c>
      <c r="D60" s="7">
        <f>IF(ISBLANK('Raw sheet'!D60),AVERAGE('Raw sheet'!$D$2:'Raw sheet'!$D$1500),'Raw sheet'!D60)</f>
        <v>25000</v>
      </c>
      <c r="E60" s="7" t="str">
        <f>IF(Table1[[#This Row],[Family_Income]]&gt;=100000,"Upper",IF(D60&gt;=50000,"Middle","Lower"))</f>
        <v>Lower</v>
      </c>
      <c r="F60" s="2" t="s">
        <v>4</v>
      </c>
      <c r="G60" s="3">
        <f>IF(ISBLANK('Raw sheet'!F60),AVERAGE('Raw sheet'!$F$2:'Raw sheet'!$F$1500),'Raw sheet'!F60)</f>
        <v>3.9</v>
      </c>
      <c r="H60" s="18">
        <v>85.2</v>
      </c>
      <c r="I60" s="9" t="str">
        <f t="shared" si="0"/>
        <v>Good</v>
      </c>
      <c r="J60" s="2">
        <v>5</v>
      </c>
      <c r="K60" s="2">
        <v>34.9</v>
      </c>
      <c r="L60" s="2" t="s">
        <v>3</v>
      </c>
      <c r="M60" s="2" t="s">
        <v>3</v>
      </c>
      <c r="N60" s="5">
        <f>IF(ISBLANK('Raw sheet'!L60),AVERAGE('Raw sheet'!$L$2:'Raw sheet'!$L$1500),'Raw sheet'!L60)</f>
        <v>6.6</v>
      </c>
      <c r="O60" s="5" t="str">
        <f>IF(Table1[[#This Row],[Stress_Index]]&gt;=8,"High",IF(N60&gt;=5,"Medium","Low"))</f>
        <v>Medium</v>
      </c>
      <c r="P60" s="3">
        <v>0.26</v>
      </c>
      <c r="Q60" s="2">
        <v>0.37</v>
      </c>
      <c r="R60" s="3">
        <v>0.42</v>
      </c>
      <c r="S60" s="3" t="str">
        <f>IF(Table1[[#This Row],[CGPA]]&gt;=3,"High",IF(R59&gt;=2,"Medium","Low"))</f>
        <v>Medium</v>
      </c>
      <c r="T60" s="2" t="s">
        <v>12</v>
      </c>
      <c r="U60" s="2" t="s">
        <v>8</v>
      </c>
      <c r="V60" s="2" t="s">
        <v>0</v>
      </c>
      <c r="W60" s="7">
        <v>1</v>
      </c>
      <c r="X60" t="str">
        <f t="shared" si="1"/>
        <v>Dropped Out</v>
      </c>
    </row>
    <row r="61" spans="1:24" x14ac:dyDescent="0.3">
      <c r="A61" s="2">
        <v>60</v>
      </c>
      <c r="B61" s="7">
        <v>23.1</v>
      </c>
      <c r="C61" s="2" t="s">
        <v>11</v>
      </c>
      <c r="D61" s="7">
        <f>IF(ISBLANK('Raw sheet'!D61),AVERAGE('Raw sheet'!$D$2:'Raw sheet'!$D$1500),'Raw sheet'!D61)</f>
        <v>25000</v>
      </c>
      <c r="E61" s="7" t="str">
        <f>IF(Table1[[#This Row],[Family_Income]]&gt;=100000,"Upper",IF(D61&gt;=50000,"Middle","Lower"))</f>
        <v>Lower</v>
      </c>
      <c r="F61" s="2" t="s">
        <v>4</v>
      </c>
      <c r="G61" s="3">
        <f>IF(ISBLANK('Raw sheet'!F61),AVERAGE('Raw sheet'!$F$2:'Raw sheet'!$F$1500),'Raw sheet'!F61)</f>
        <v>3.17</v>
      </c>
      <c r="H61" s="18">
        <v>71.8</v>
      </c>
      <c r="I61" s="9" t="str">
        <f t="shared" si="0"/>
        <v>Low</v>
      </c>
      <c r="J61" s="2">
        <v>2</v>
      </c>
      <c r="K61" s="2">
        <v>21.9</v>
      </c>
      <c r="L61" s="2" t="s">
        <v>3</v>
      </c>
      <c r="M61" s="2" t="s">
        <v>3</v>
      </c>
      <c r="N61" s="5">
        <f>IF(ISBLANK('Raw sheet'!L61),AVERAGE('Raw sheet'!$L$2:'Raw sheet'!$L$1500),'Raw sheet'!L61)</f>
        <v>3.3</v>
      </c>
      <c r="O61" s="5" t="str">
        <f>IF(Table1[[#This Row],[Stress_Index]]&gt;=8,"High",IF(N61&gt;=5,"Medium","Low"))</f>
        <v>Low</v>
      </c>
      <c r="P61" s="3">
        <v>0.73</v>
      </c>
      <c r="Q61" s="2">
        <v>0.35</v>
      </c>
      <c r="R61" s="3">
        <v>0.35</v>
      </c>
      <c r="S61" s="3" t="str">
        <f>IF(Table1[[#This Row],[CGPA]]&gt;=3,"High",IF(R60&gt;=2,"Medium","Low"))</f>
        <v>Low</v>
      </c>
      <c r="T61" s="2" t="s">
        <v>2</v>
      </c>
      <c r="U61" s="2" t="s">
        <v>13</v>
      </c>
      <c r="V61" s="2" t="s">
        <v>15</v>
      </c>
      <c r="W61" s="7">
        <v>0</v>
      </c>
      <c r="X61" t="str">
        <f t="shared" si="1"/>
        <v>Active</v>
      </c>
    </row>
    <row r="62" spans="1:24" x14ac:dyDescent="0.3">
      <c r="A62" s="2">
        <v>61</v>
      </c>
      <c r="B62" s="7">
        <v>19.899999999999999</v>
      </c>
      <c r="C62" s="2" t="s">
        <v>11</v>
      </c>
      <c r="D62" s="7">
        <f>IF(ISBLANK('Raw sheet'!D62),AVERAGE('Raw sheet'!$D$2:'Raw sheet'!$D$1500),'Raw sheet'!D62)</f>
        <v>25000</v>
      </c>
      <c r="E62" s="7" t="str">
        <f>IF(Table1[[#This Row],[Family_Income]]&gt;=100000,"Upper",IF(D62&gt;=50000,"Middle","Lower"))</f>
        <v>Lower</v>
      </c>
      <c r="F62" s="2" t="s">
        <v>4</v>
      </c>
      <c r="G62" s="3">
        <f>IF(ISBLANK('Raw sheet'!F62),AVERAGE('Raw sheet'!$F$2:'Raw sheet'!$F$1500),'Raw sheet'!F62)</f>
        <v>4.18</v>
      </c>
      <c r="H62" s="18">
        <v>78.7</v>
      </c>
      <c r="I62" s="9" t="str">
        <f t="shared" si="0"/>
        <v>Good</v>
      </c>
      <c r="J62" s="2">
        <v>2</v>
      </c>
      <c r="K62" s="2">
        <v>38.9</v>
      </c>
      <c r="L62" s="2" t="s">
        <v>4</v>
      </c>
      <c r="M62" s="2" t="s">
        <v>3</v>
      </c>
      <c r="N62" s="5">
        <f>IF(ISBLANK('Raw sheet'!L62),AVERAGE('Raw sheet'!$L$2:'Raw sheet'!$L$1500),'Raw sheet'!L62)</f>
        <v>4.0999999999999996</v>
      </c>
      <c r="O62" s="5" t="str">
        <f>IF(Table1[[#This Row],[Stress_Index]]&gt;=8,"High",IF(N62&gt;=5,"Medium","Low"))</f>
        <v>Low</v>
      </c>
      <c r="P62" s="3">
        <v>3.73</v>
      </c>
      <c r="Q62" s="2">
        <v>4</v>
      </c>
      <c r="R62" s="3">
        <v>4</v>
      </c>
      <c r="S62" s="3" t="str">
        <f>IF(Table1[[#This Row],[CGPA]]&gt;=3,"High",IF(R61&gt;=2,"Medium","Low"))</f>
        <v>High</v>
      </c>
      <c r="T62" s="2" t="s">
        <v>10</v>
      </c>
      <c r="U62" s="2" t="s">
        <v>1</v>
      </c>
      <c r="V62" s="2" t="s">
        <v>15</v>
      </c>
      <c r="W62" s="7">
        <v>0</v>
      </c>
      <c r="X62" t="str">
        <f t="shared" si="1"/>
        <v>Active</v>
      </c>
    </row>
    <row r="63" spans="1:24" x14ac:dyDescent="0.3">
      <c r="A63" s="2">
        <v>62</v>
      </c>
      <c r="B63" s="7">
        <v>20.6</v>
      </c>
      <c r="C63" s="2" t="s">
        <v>5</v>
      </c>
      <c r="D63" s="7">
        <f>IF(ISBLANK('Raw sheet'!D63),AVERAGE('Raw sheet'!$D$2:'Raw sheet'!$D$1500),'Raw sheet'!D63)</f>
        <v>39191</v>
      </c>
      <c r="E63" s="7" t="str">
        <f>IF(Table1[[#This Row],[Family_Income]]&gt;=100000,"Upper",IF(D63&gt;=50000,"Middle","Lower"))</f>
        <v>Lower</v>
      </c>
      <c r="F63" s="2" t="s">
        <v>4</v>
      </c>
      <c r="G63" s="3">
        <f>IF(ISBLANK('Raw sheet'!F63),AVERAGE('Raw sheet'!$F$2:'Raw sheet'!$F$1500),'Raw sheet'!F63)</f>
        <v>4.55</v>
      </c>
      <c r="H63" s="18">
        <v>81.8</v>
      </c>
      <c r="I63" s="9" t="str">
        <f t="shared" si="0"/>
        <v>Good</v>
      </c>
      <c r="J63" s="2">
        <v>3</v>
      </c>
      <c r="K63" s="2">
        <v>40.200000000000003</v>
      </c>
      <c r="L63" s="2" t="s">
        <v>4</v>
      </c>
      <c r="M63" s="2" t="s">
        <v>4</v>
      </c>
      <c r="N63" s="5">
        <f>IF(ISBLANK('Raw sheet'!L63),AVERAGE('Raw sheet'!$L$2:'Raw sheet'!$L$1500),'Raw sheet'!L63)</f>
        <v>3.7</v>
      </c>
      <c r="O63" s="5" t="str">
        <f>IF(Table1[[#This Row],[Stress_Index]]&gt;=8,"High",IF(N63&gt;=5,"Medium","Low"))</f>
        <v>Low</v>
      </c>
      <c r="P63" s="3">
        <v>2.0299999999999998</v>
      </c>
      <c r="Q63" s="2">
        <v>2.2999999999999998</v>
      </c>
      <c r="R63" s="3">
        <v>2.3199999999999998</v>
      </c>
      <c r="S63" s="3" t="str">
        <f>IF(Table1[[#This Row],[CGPA]]&gt;=3,"High",IF(R62&gt;=2,"Medium","Low"))</f>
        <v>Medium</v>
      </c>
      <c r="T63" s="2" t="s">
        <v>12</v>
      </c>
      <c r="U63" s="2" t="s">
        <v>13</v>
      </c>
      <c r="V63" s="2" t="s">
        <v>16</v>
      </c>
      <c r="W63" s="7">
        <v>0</v>
      </c>
      <c r="X63" t="str">
        <f t="shared" si="1"/>
        <v>Active</v>
      </c>
    </row>
    <row r="64" spans="1:24" x14ac:dyDescent="0.3">
      <c r="A64" s="2">
        <v>63</v>
      </c>
      <c r="B64" s="7">
        <v>18.600000000000001</v>
      </c>
      <c r="C64" s="2" t="s">
        <v>5</v>
      </c>
      <c r="D64" s="7">
        <f>IF(ISBLANK('Raw sheet'!D64),AVERAGE('Raw sheet'!$D$2:'Raw sheet'!$D$1500),'Raw sheet'!D64)</f>
        <v>25000</v>
      </c>
      <c r="E64" s="7" t="str">
        <f>IF(Table1[[#This Row],[Family_Income]]&gt;=100000,"Upper",IF(D64&gt;=50000,"Middle","Lower"))</f>
        <v>Lower</v>
      </c>
      <c r="F64" s="2" t="s">
        <v>4</v>
      </c>
      <c r="G64" s="3">
        <f>IF(ISBLANK('Raw sheet'!F64),AVERAGE('Raw sheet'!$F$2:'Raw sheet'!$F$1500),'Raw sheet'!F64)</f>
        <v>6.55</v>
      </c>
      <c r="H64" s="18">
        <v>100</v>
      </c>
      <c r="I64" s="9" t="str">
        <f t="shared" si="0"/>
        <v>Good</v>
      </c>
      <c r="J64" s="2">
        <v>0</v>
      </c>
      <c r="K64" s="2">
        <v>15.5</v>
      </c>
      <c r="L64" s="2" t="s">
        <v>4</v>
      </c>
      <c r="M64" s="2" t="s">
        <v>4</v>
      </c>
      <c r="N64" s="5">
        <f>IF(ISBLANK('Raw sheet'!L64),AVERAGE('Raw sheet'!$L$2:'Raw sheet'!$L$1500),'Raw sheet'!L64)</f>
        <v>5.8</v>
      </c>
      <c r="O64" s="5" t="str">
        <f>IF(Table1[[#This Row],[Stress_Index]]&gt;=8,"High",IF(N64&gt;=5,"Medium","Low"))</f>
        <v>Medium</v>
      </c>
      <c r="P64" s="3">
        <v>3.17</v>
      </c>
      <c r="Q64" s="2">
        <v>3.13</v>
      </c>
      <c r="R64" s="3">
        <v>3.13</v>
      </c>
      <c r="S64" s="3" t="str">
        <f>IF(Table1[[#This Row],[CGPA]]&gt;=3,"High",IF(R63&gt;=2,"Medium","Low"))</f>
        <v>High</v>
      </c>
      <c r="T64" s="2" t="s">
        <v>2</v>
      </c>
      <c r="U64" s="2" t="s">
        <v>6</v>
      </c>
      <c r="V64" s="2" t="s">
        <v>9</v>
      </c>
      <c r="W64" s="7">
        <v>0</v>
      </c>
      <c r="X64" t="str">
        <f t="shared" si="1"/>
        <v>Active</v>
      </c>
    </row>
    <row r="65" spans="1:24" x14ac:dyDescent="0.3">
      <c r="A65" s="2">
        <v>64</v>
      </c>
      <c r="B65" s="7">
        <v>18.399999999999999</v>
      </c>
      <c r="C65" s="2" t="s">
        <v>5</v>
      </c>
      <c r="D65" s="7">
        <f>IF(ISBLANK('Raw sheet'!D65),AVERAGE('Raw sheet'!$D$2:'Raw sheet'!$D$1500),'Raw sheet'!D65)</f>
        <v>25000</v>
      </c>
      <c r="E65" s="7" t="str">
        <f>IF(Table1[[#This Row],[Family_Income]]&gt;=100000,"Upper",IF(D65&gt;=50000,"Middle","Lower"))</f>
        <v>Lower</v>
      </c>
      <c r="F65" s="2" t="s">
        <v>4</v>
      </c>
      <c r="G65" s="3">
        <f>IF(ISBLANK('Raw sheet'!F65),AVERAGE('Raw sheet'!$F$2:'Raw sheet'!$F$1500),'Raw sheet'!F65)</f>
        <v>4.7</v>
      </c>
      <c r="H65" s="18">
        <v>82.1</v>
      </c>
      <c r="I65" s="9" t="str">
        <f t="shared" si="0"/>
        <v>Good</v>
      </c>
      <c r="J65" s="2">
        <v>1</v>
      </c>
      <c r="K65" s="2">
        <v>20.9</v>
      </c>
      <c r="L65" s="2" t="s">
        <v>3</v>
      </c>
      <c r="M65" s="2" t="s">
        <v>3</v>
      </c>
      <c r="N65" s="5">
        <f>IF(ISBLANK('Raw sheet'!L65),AVERAGE('Raw sheet'!$L$2:'Raw sheet'!$L$1500),'Raw sheet'!L65)</f>
        <v>6.6</v>
      </c>
      <c r="O65" s="5" t="str">
        <f>IF(Table1[[#This Row],[Stress_Index]]&gt;=8,"High",IF(N65&gt;=5,"Medium","Low"))</f>
        <v>Medium</v>
      </c>
      <c r="P65" s="3">
        <v>1.52</v>
      </c>
      <c r="Q65" s="2">
        <v>1.68</v>
      </c>
      <c r="R65" s="3">
        <v>1.71</v>
      </c>
      <c r="S65" s="3" t="str">
        <f>IF(Table1[[#This Row],[CGPA]]&gt;=3,"High",IF(R64&gt;=2,"Medium","Low"))</f>
        <v>Medium</v>
      </c>
      <c r="T65" s="2" t="s">
        <v>10</v>
      </c>
      <c r="U65" s="2" t="s">
        <v>6</v>
      </c>
      <c r="V65" s="2" t="s">
        <v>16</v>
      </c>
      <c r="W65" s="7">
        <v>0</v>
      </c>
      <c r="X65" t="str">
        <f t="shared" si="1"/>
        <v>Active</v>
      </c>
    </row>
    <row r="66" spans="1:24" x14ac:dyDescent="0.3">
      <c r="A66" s="2">
        <v>65</v>
      </c>
      <c r="B66" s="7">
        <v>22.8</v>
      </c>
      <c r="C66" s="2" t="s">
        <v>11</v>
      </c>
      <c r="D66" s="7">
        <f>IF(ISBLANK('Raw sheet'!D66),AVERAGE('Raw sheet'!$D$2:'Raw sheet'!$D$1500),'Raw sheet'!D66)</f>
        <v>32151</v>
      </c>
      <c r="E66" s="7" t="str">
        <f>IF(Table1[[#This Row],[Family_Income]]&gt;=100000,"Upper",IF(D66&gt;=50000,"Middle","Lower"))</f>
        <v>Lower</v>
      </c>
      <c r="F66" s="2" t="s">
        <v>3</v>
      </c>
      <c r="G66" s="3">
        <f>IF(ISBLANK('Raw sheet'!F66),AVERAGE('Raw sheet'!$F$2:'Raw sheet'!$F$1500),'Raw sheet'!F66)</f>
        <v>4.76</v>
      </c>
      <c r="H66" s="18">
        <v>85.6</v>
      </c>
      <c r="I66" s="9" t="str">
        <f t="shared" ref="I66:I129" si="2">IF(H66&gt;=75,"Good","Low")</f>
        <v>Good</v>
      </c>
      <c r="J66" s="2">
        <v>1</v>
      </c>
      <c r="K66" s="2">
        <v>13.9</v>
      </c>
      <c r="L66" s="2" t="s">
        <v>3</v>
      </c>
      <c r="M66" s="2" t="s">
        <v>3</v>
      </c>
      <c r="N66" s="5">
        <f>IF(ISBLANK('Raw sheet'!L66),AVERAGE('Raw sheet'!$L$2:'Raw sheet'!$L$1500),'Raw sheet'!L66)</f>
        <v>6.6</v>
      </c>
      <c r="O66" s="5" t="str">
        <f>IF(Table1[[#This Row],[Stress_Index]]&gt;=8,"High",IF(N66&gt;=5,"Medium","Low"))</f>
        <v>Medium</v>
      </c>
      <c r="P66" s="3">
        <v>1.55</v>
      </c>
      <c r="Q66" s="2">
        <v>1.61</v>
      </c>
      <c r="R66" s="3">
        <v>1.63</v>
      </c>
      <c r="S66" s="3" t="str">
        <f>IF(Table1[[#This Row],[CGPA]]&gt;=3,"High",IF(R65&gt;=2,"Medium","Low"))</f>
        <v>Low</v>
      </c>
      <c r="T66" s="2" t="s">
        <v>12</v>
      </c>
      <c r="U66" s="2" t="s">
        <v>1</v>
      </c>
      <c r="V66" s="2" t="s">
        <v>15</v>
      </c>
      <c r="W66" s="7">
        <v>0</v>
      </c>
      <c r="X66" t="str">
        <f t="shared" ref="X66:X129" si="3">IF(W66=1,"Dropped Out","Active")</f>
        <v>Active</v>
      </c>
    </row>
    <row r="67" spans="1:24" x14ac:dyDescent="0.3">
      <c r="A67" s="2">
        <v>66</v>
      </c>
      <c r="B67" s="7">
        <v>24</v>
      </c>
      <c r="C67" s="2" t="s">
        <v>5</v>
      </c>
      <c r="D67" s="7">
        <f>IF(ISBLANK('Raw sheet'!D67),AVERAGE('Raw sheet'!$D$2:'Raw sheet'!$D$1500),'Raw sheet'!D67)</f>
        <v>31286</v>
      </c>
      <c r="E67" s="7" t="str">
        <f>IF(Table1[[#This Row],[Family_Income]]&gt;=100000,"Upper",IF(D67&gt;=50000,"Middle","Lower"))</f>
        <v>Lower</v>
      </c>
      <c r="F67" s="2" t="s">
        <v>4</v>
      </c>
      <c r="G67" s="3">
        <f>IF(ISBLANK('Raw sheet'!F67),AVERAGE('Raw sheet'!$F$2:'Raw sheet'!$F$1500),'Raw sheet'!F67)</f>
        <v>3.03</v>
      </c>
      <c r="H67" s="18">
        <v>74.099999999999994</v>
      </c>
      <c r="I67" s="9" t="str">
        <f t="shared" si="2"/>
        <v>Low</v>
      </c>
      <c r="J67" s="2">
        <v>2</v>
      </c>
      <c r="K67" s="2">
        <v>35.1</v>
      </c>
      <c r="L67" s="2" t="s">
        <v>3</v>
      </c>
      <c r="M67" s="2" t="s">
        <v>4</v>
      </c>
      <c r="N67" s="5">
        <f>IF(ISBLANK('Raw sheet'!L67),AVERAGE('Raw sheet'!$L$2:'Raw sheet'!$L$1500),'Raw sheet'!L67)</f>
        <v>4.5</v>
      </c>
      <c r="O67" s="5" t="str">
        <f>IF(Table1[[#This Row],[Stress_Index]]&gt;=8,"High",IF(N67&gt;=5,"Medium","Low"))</f>
        <v>Low</v>
      </c>
      <c r="P67" s="3">
        <v>3.64</v>
      </c>
      <c r="Q67" s="2">
        <v>3.06</v>
      </c>
      <c r="R67" s="3">
        <v>3.04</v>
      </c>
      <c r="S67" s="3" t="str">
        <f>IF(Table1[[#This Row],[CGPA]]&gt;=3,"High",IF(R66&gt;=2,"Medium","Low"))</f>
        <v>High</v>
      </c>
      <c r="T67" s="2" t="s">
        <v>7</v>
      </c>
      <c r="U67" s="2" t="s">
        <v>14</v>
      </c>
      <c r="V67" s="2" t="s">
        <v>9</v>
      </c>
      <c r="W67" s="7">
        <v>0</v>
      </c>
      <c r="X67" t="str">
        <f t="shared" si="3"/>
        <v>Active</v>
      </c>
    </row>
    <row r="68" spans="1:24" x14ac:dyDescent="0.3">
      <c r="A68" s="2">
        <v>67</v>
      </c>
      <c r="B68" s="7">
        <v>20.8</v>
      </c>
      <c r="C68" s="2" t="s">
        <v>5</v>
      </c>
      <c r="D68" s="7">
        <f>IF(ISBLANK('Raw sheet'!D68),AVERAGE('Raw sheet'!$D$2:'Raw sheet'!$D$1500),'Raw sheet'!D68)</f>
        <v>37293</v>
      </c>
      <c r="E68" s="7" t="str">
        <f>IF(Table1[[#This Row],[Family_Income]]&gt;=100000,"Upper",IF(D68&gt;=50000,"Middle","Lower"))</f>
        <v>Lower</v>
      </c>
      <c r="F68" s="2" t="s">
        <v>4</v>
      </c>
      <c r="G68" s="3">
        <f>IF(ISBLANK('Raw sheet'!F68),AVERAGE('Raw sheet'!$F$2:'Raw sheet'!$F$1500),'Raw sheet'!F68)</f>
        <v>2.76</v>
      </c>
      <c r="H68" s="18">
        <v>87.8</v>
      </c>
      <c r="I68" s="9" t="str">
        <f t="shared" si="2"/>
        <v>Good</v>
      </c>
      <c r="J68" s="2">
        <v>0</v>
      </c>
      <c r="K68" s="2">
        <v>31.5</v>
      </c>
      <c r="L68" s="2" t="s">
        <v>3</v>
      </c>
      <c r="M68" s="2" t="s">
        <v>3</v>
      </c>
      <c r="N68" s="5">
        <f>IF(ISBLANK('Raw sheet'!L68),AVERAGE('Raw sheet'!$L$2:'Raw sheet'!$L$1500),'Raw sheet'!L68)</f>
        <v>5.2</v>
      </c>
      <c r="O68" s="5" t="str">
        <f>IF(Table1[[#This Row],[Stress_Index]]&gt;=8,"High",IF(N68&gt;=5,"Medium","Low"))</f>
        <v>Medium</v>
      </c>
      <c r="P68" s="3">
        <v>3.64</v>
      </c>
      <c r="Q68" s="2">
        <v>3.63</v>
      </c>
      <c r="R68" s="3">
        <v>3.68</v>
      </c>
      <c r="S68" s="3" t="str">
        <f>IF(Table1[[#This Row],[CGPA]]&gt;=3,"High",IF(R67&gt;=2,"Medium","Low"))</f>
        <v>High</v>
      </c>
      <c r="T68" s="2" t="s">
        <v>7</v>
      </c>
      <c r="U68" s="2" t="s">
        <v>13</v>
      </c>
      <c r="V68" s="2" t="s">
        <v>9</v>
      </c>
      <c r="W68" s="7">
        <v>0</v>
      </c>
      <c r="X68" t="str">
        <f t="shared" si="3"/>
        <v>Active</v>
      </c>
    </row>
    <row r="69" spans="1:24" x14ac:dyDescent="0.3">
      <c r="A69" s="2">
        <v>68</v>
      </c>
      <c r="B69" s="7">
        <v>23.2</v>
      </c>
      <c r="C69" s="2" t="s">
        <v>5</v>
      </c>
      <c r="D69" s="7">
        <f>IF(ISBLANK('Raw sheet'!D69),AVERAGE('Raw sheet'!$D$2:'Raw sheet'!$D$1500),'Raw sheet'!D69)</f>
        <v>38801</v>
      </c>
      <c r="E69" s="7" t="str">
        <f>IF(Table1[[#This Row],[Family_Income]]&gt;=100000,"Upper",IF(D69&gt;=50000,"Middle","Lower"))</f>
        <v>Lower</v>
      </c>
      <c r="F69" s="2" t="s">
        <v>4</v>
      </c>
      <c r="G69" s="3">
        <f>IF(ISBLANK('Raw sheet'!F69),AVERAGE('Raw sheet'!$F$2:'Raw sheet'!$F$1500),'Raw sheet'!F69)</f>
        <v>2.72</v>
      </c>
      <c r="H69" s="18">
        <v>93</v>
      </c>
      <c r="I69" s="9" t="str">
        <f t="shared" si="2"/>
        <v>Good</v>
      </c>
      <c r="J69" s="2">
        <v>2</v>
      </c>
      <c r="K69" s="2">
        <v>10.8</v>
      </c>
      <c r="L69" s="2" t="s">
        <v>4</v>
      </c>
      <c r="M69" s="2" t="s">
        <v>3</v>
      </c>
      <c r="N69" s="5">
        <f>IF(ISBLANK('Raw sheet'!L69),AVERAGE('Raw sheet'!$L$2:'Raw sheet'!$L$1500),'Raw sheet'!L69)</f>
        <v>6.8</v>
      </c>
      <c r="O69" s="5" t="str">
        <f>IF(Table1[[#This Row],[Stress_Index]]&gt;=8,"High",IF(N69&gt;=5,"Medium","Low"))</f>
        <v>Medium</v>
      </c>
      <c r="P69" s="3">
        <v>4</v>
      </c>
      <c r="Q69" s="2">
        <v>4</v>
      </c>
      <c r="R69" s="3">
        <v>4</v>
      </c>
      <c r="S69" s="3" t="str">
        <f>IF(Table1[[#This Row],[CGPA]]&gt;=3,"High",IF(R68&gt;=2,"Medium","Low"))</f>
        <v>High</v>
      </c>
      <c r="T69" s="2" t="s">
        <v>10</v>
      </c>
      <c r="U69" s="2" t="s">
        <v>1</v>
      </c>
      <c r="V69" s="2" t="s">
        <v>15</v>
      </c>
      <c r="W69" s="7">
        <v>0</v>
      </c>
      <c r="X69" t="str">
        <f t="shared" si="3"/>
        <v>Active</v>
      </c>
    </row>
    <row r="70" spans="1:24" x14ac:dyDescent="0.3">
      <c r="A70" s="2">
        <v>69</v>
      </c>
      <c r="B70" s="7">
        <v>21.8</v>
      </c>
      <c r="C70" s="2" t="s">
        <v>5</v>
      </c>
      <c r="D70" s="7">
        <f>IF(ISBLANK('Raw sheet'!D70),AVERAGE('Raw sheet'!$D$2:'Raw sheet'!$D$1500),'Raw sheet'!D70)</f>
        <v>36430</v>
      </c>
      <c r="E70" s="7" t="str">
        <f>IF(Table1[[#This Row],[Family_Income]]&gt;=100000,"Upper",IF(D70&gt;=50000,"Middle","Lower"))</f>
        <v>Lower</v>
      </c>
      <c r="F70" s="2" t="s">
        <v>4</v>
      </c>
      <c r="G70" s="3">
        <f>IF(ISBLANK('Raw sheet'!F70),AVERAGE('Raw sheet'!$F$2:'Raw sheet'!$F$1500),'Raw sheet'!F70)</f>
        <v>3.61</v>
      </c>
      <c r="H70" s="18">
        <v>80.8</v>
      </c>
      <c r="I70" s="9" t="str">
        <f t="shared" si="2"/>
        <v>Good</v>
      </c>
      <c r="J70" s="2">
        <v>1</v>
      </c>
      <c r="K70" s="2">
        <v>22.2</v>
      </c>
      <c r="L70" s="2" t="s">
        <v>3</v>
      </c>
      <c r="M70" s="2" t="s">
        <v>3</v>
      </c>
      <c r="N70" s="5">
        <f>IF(ISBLANK('Raw sheet'!L70),AVERAGE('Raw sheet'!$L$2:'Raw sheet'!$L$1500),'Raw sheet'!L70)</f>
        <v>4.5</v>
      </c>
      <c r="O70" s="5" t="str">
        <f>IF(Table1[[#This Row],[Stress_Index]]&gt;=8,"High",IF(N70&gt;=5,"Medium","Low"))</f>
        <v>Low</v>
      </c>
      <c r="P70" s="3">
        <v>1.9</v>
      </c>
      <c r="Q70" s="2">
        <v>1.48</v>
      </c>
      <c r="R70" s="3">
        <v>1.48</v>
      </c>
      <c r="S70" s="3" t="str">
        <f>IF(Table1[[#This Row],[CGPA]]&gt;=3,"High",IF(R69&gt;=2,"Medium","Low"))</f>
        <v>Medium</v>
      </c>
      <c r="T70" s="2" t="s">
        <v>2</v>
      </c>
      <c r="U70" s="2" t="s">
        <v>6</v>
      </c>
      <c r="V70" s="2" t="s">
        <v>0</v>
      </c>
      <c r="W70" s="7">
        <v>0</v>
      </c>
      <c r="X70" t="str">
        <f t="shared" si="3"/>
        <v>Active</v>
      </c>
    </row>
    <row r="71" spans="1:24" x14ac:dyDescent="0.3">
      <c r="A71" s="2">
        <v>70</v>
      </c>
      <c r="B71" s="7">
        <v>19.600000000000001</v>
      </c>
      <c r="C71" s="2" t="s">
        <v>11</v>
      </c>
      <c r="D71" s="7">
        <f>IF(ISBLANK('Raw sheet'!D71),AVERAGE('Raw sheet'!$D$2:'Raw sheet'!$D$1500),'Raw sheet'!D71)</f>
        <v>33396</v>
      </c>
      <c r="E71" s="7" t="str">
        <f>IF(Table1[[#This Row],[Family_Income]]&gt;=100000,"Upper",IF(D71&gt;=50000,"Middle","Lower"))</f>
        <v>Lower</v>
      </c>
      <c r="F71" s="2" t="s">
        <v>4</v>
      </c>
      <c r="G71" s="3">
        <f>IF(ISBLANK('Raw sheet'!F71),AVERAGE('Raw sheet'!$F$2:'Raw sheet'!$F$1500),'Raw sheet'!F71)</f>
        <v>4.08</v>
      </c>
      <c r="H71" s="18">
        <v>86.9</v>
      </c>
      <c r="I71" s="9" t="str">
        <f t="shared" si="2"/>
        <v>Good</v>
      </c>
      <c r="J71" s="2">
        <v>4</v>
      </c>
      <c r="K71" s="2">
        <v>33.700000000000003</v>
      </c>
      <c r="L71" s="2" t="s">
        <v>3</v>
      </c>
      <c r="M71" s="2" t="s">
        <v>3</v>
      </c>
      <c r="N71" s="5">
        <f>IF(ISBLANK('Raw sheet'!L71),AVERAGE('Raw sheet'!$L$2:'Raw sheet'!$L$1500),'Raw sheet'!L71)</f>
        <v>3.9</v>
      </c>
      <c r="O71" s="5" t="str">
        <f>IF(Table1[[#This Row],[Stress_Index]]&gt;=8,"High",IF(N71&gt;=5,"Medium","Low"))</f>
        <v>Low</v>
      </c>
      <c r="P71" s="3">
        <v>2.82</v>
      </c>
      <c r="Q71" s="2">
        <v>2.97</v>
      </c>
      <c r="R71" s="3">
        <v>2.97</v>
      </c>
      <c r="S71" s="3" t="str">
        <f>IF(Table1[[#This Row],[CGPA]]&gt;=3,"High",IF(R70&gt;=2,"Medium","Low"))</f>
        <v>Low</v>
      </c>
      <c r="T71" s="2" t="s">
        <v>2</v>
      </c>
      <c r="U71" s="2" t="s">
        <v>6</v>
      </c>
      <c r="V71" s="2" t="s">
        <v>16</v>
      </c>
      <c r="W71" s="7">
        <v>0</v>
      </c>
      <c r="X71" t="str">
        <f t="shared" si="3"/>
        <v>Active</v>
      </c>
    </row>
    <row r="72" spans="1:24" x14ac:dyDescent="0.3">
      <c r="A72" s="2">
        <v>71</v>
      </c>
      <c r="B72" s="7">
        <v>21.8</v>
      </c>
      <c r="C72" s="2" t="s">
        <v>11</v>
      </c>
      <c r="D72" s="7">
        <f>IF(ISBLANK('Raw sheet'!D72),AVERAGE('Raw sheet'!$D$2:'Raw sheet'!$D$1500),'Raw sheet'!D72)</f>
        <v>30744</v>
      </c>
      <c r="E72" s="7" t="str">
        <f>IF(Table1[[#This Row],[Family_Income]]&gt;=100000,"Upper",IF(D72&gt;=50000,"Middle","Lower"))</f>
        <v>Lower</v>
      </c>
      <c r="F72" s="2" t="s">
        <v>4</v>
      </c>
      <c r="G72" s="3">
        <f>IF(ISBLANK('Raw sheet'!F72),AVERAGE('Raw sheet'!$F$2:'Raw sheet'!$F$1500),'Raw sheet'!F72)</f>
        <v>4.28</v>
      </c>
      <c r="H72" s="18">
        <v>86.6</v>
      </c>
      <c r="I72" s="9" t="str">
        <f t="shared" si="2"/>
        <v>Good</v>
      </c>
      <c r="J72" s="2">
        <v>3</v>
      </c>
      <c r="K72" s="2">
        <v>31.4</v>
      </c>
      <c r="L72" s="2" t="s">
        <v>3</v>
      </c>
      <c r="M72" s="2" t="s">
        <v>4</v>
      </c>
      <c r="N72" s="5">
        <f>IF(ISBLANK('Raw sheet'!L72),AVERAGE('Raw sheet'!$L$2:'Raw sheet'!$L$1500),'Raw sheet'!L72)</f>
        <v>4.3</v>
      </c>
      <c r="O72" s="5" t="str">
        <f>IF(Table1[[#This Row],[Stress_Index]]&gt;=8,"High",IF(N72&gt;=5,"Medium","Low"))</f>
        <v>Low</v>
      </c>
      <c r="P72" s="3">
        <v>2.02</v>
      </c>
      <c r="Q72" s="2">
        <v>2.3199999999999998</v>
      </c>
      <c r="R72" s="3">
        <v>2.2799999999999998</v>
      </c>
      <c r="S72" s="3" t="str">
        <f>IF(Table1[[#This Row],[CGPA]]&gt;=3,"High",IF(R71&gt;=2,"Medium","Low"))</f>
        <v>Medium</v>
      </c>
      <c r="T72" s="2" t="s">
        <v>7</v>
      </c>
      <c r="U72" s="2" t="s">
        <v>8</v>
      </c>
      <c r="V72" s="2" t="s">
        <v>9</v>
      </c>
      <c r="W72" s="7">
        <v>0</v>
      </c>
      <c r="X72" t="str">
        <f t="shared" si="3"/>
        <v>Active</v>
      </c>
    </row>
    <row r="73" spans="1:24" x14ac:dyDescent="0.3">
      <c r="A73" s="2">
        <v>72</v>
      </c>
      <c r="B73" s="7">
        <v>24.4</v>
      </c>
      <c r="C73" s="2" t="s">
        <v>11</v>
      </c>
      <c r="D73" s="7">
        <f>IF(ISBLANK('Raw sheet'!D73),AVERAGE('Raw sheet'!$D$2:'Raw sheet'!$D$1500),'Raw sheet'!D73)</f>
        <v>44305</v>
      </c>
      <c r="E73" s="7" t="str">
        <f>IF(Table1[[#This Row],[Family_Income]]&gt;=100000,"Upper",IF(D73&gt;=50000,"Middle","Lower"))</f>
        <v>Lower</v>
      </c>
      <c r="F73" s="2" t="s">
        <v>4</v>
      </c>
      <c r="G73" s="3">
        <f>IF(ISBLANK('Raw sheet'!F73),AVERAGE('Raw sheet'!$F$2:'Raw sheet'!$F$1500),'Raw sheet'!F73)</f>
        <v>2.94</v>
      </c>
      <c r="H73" s="18">
        <v>82.6</v>
      </c>
      <c r="I73" s="9" t="str">
        <f t="shared" si="2"/>
        <v>Good</v>
      </c>
      <c r="J73" s="2">
        <v>1</v>
      </c>
      <c r="K73" s="2">
        <v>44.5</v>
      </c>
      <c r="L73" s="2" t="s">
        <v>3</v>
      </c>
      <c r="M73" s="2" t="s">
        <v>3</v>
      </c>
      <c r="N73" s="5">
        <f>IF(ISBLANK('Raw sheet'!L73),AVERAGE('Raw sheet'!$L$2:'Raw sheet'!$L$1500),'Raw sheet'!L73)</f>
        <v>4.4000000000000004</v>
      </c>
      <c r="O73" s="5" t="str">
        <f>IF(Table1[[#This Row],[Stress_Index]]&gt;=8,"High",IF(N73&gt;=5,"Medium","Low"))</f>
        <v>Low</v>
      </c>
      <c r="P73" s="3">
        <v>3.87</v>
      </c>
      <c r="Q73" s="2">
        <v>3.54</v>
      </c>
      <c r="R73" s="3">
        <v>3.55</v>
      </c>
      <c r="S73" s="3" t="str">
        <f>IF(Table1[[#This Row],[CGPA]]&gt;=3,"High",IF(R72&gt;=2,"Medium","Low"))</f>
        <v>High</v>
      </c>
      <c r="T73" s="2" t="s">
        <v>10</v>
      </c>
      <c r="U73" s="2" t="s">
        <v>14</v>
      </c>
      <c r="V73" s="2" t="s">
        <v>9</v>
      </c>
      <c r="W73" s="7">
        <v>0</v>
      </c>
      <c r="X73" t="str">
        <f t="shared" si="3"/>
        <v>Active</v>
      </c>
    </row>
    <row r="74" spans="1:24" x14ac:dyDescent="0.3">
      <c r="A74" s="2">
        <v>73</v>
      </c>
      <c r="B74" s="7">
        <v>20.9</v>
      </c>
      <c r="C74" s="2" t="s">
        <v>11</v>
      </c>
      <c r="D74" s="7">
        <f>IF(ISBLANK('Raw sheet'!D74),AVERAGE('Raw sheet'!$D$2:'Raw sheet'!$D$1500),'Raw sheet'!D74)</f>
        <v>25000</v>
      </c>
      <c r="E74" s="7" t="str">
        <f>IF(Table1[[#This Row],[Family_Income]]&gt;=100000,"Upper",IF(D74&gt;=50000,"Middle","Lower"))</f>
        <v>Lower</v>
      </c>
      <c r="F74" s="2" t="s">
        <v>4</v>
      </c>
      <c r="G74" s="3">
        <f>IF(ISBLANK('Raw sheet'!F74),AVERAGE('Raw sheet'!$F$2:'Raw sheet'!$F$1500),'Raw sheet'!F74)</f>
        <v>1.0900000000000001</v>
      </c>
      <c r="H74" s="18">
        <v>92.3</v>
      </c>
      <c r="I74" s="9" t="str">
        <f t="shared" si="2"/>
        <v>Good</v>
      </c>
      <c r="J74" s="2">
        <v>1</v>
      </c>
      <c r="K74" s="2">
        <v>16.2</v>
      </c>
      <c r="L74" s="2" t="s">
        <v>4</v>
      </c>
      <c r="M74" s="2" t="s">
        <v>3</v>
      </c>
      <c r="N74" s="5">
        <f>IF(ISBLANK('Raw sheet'!L74),AVERAGE('Raw sheet'!$L$2:'Raw sheet'!$L$1500),'Raw sheet'!L74)</f>
        <v>5.6</v>
      </c>
      <c r="O74" s="5" t="str">
        <f>IF(Table1[[#This Row],[Stress_Index]]&gt;=8,"High",IF(N74&gt;=5,"Medium","Low"))</f>
        <v>Medium</v>
      </c>
      <c r="P74" s="3">
        <v>2.5</v>
      </c>
      <c r="Q74" s="2">
        <v>2.33</v>
      </c>
      <c r="R74" s="3">
        <v>2.33</v>
      </c>
      <c r="S74" s="3" t="str">
        <f>IF(Table1[[#This Row],[CGPA]]&gt;=3,"High",IF(R73&gt;=2,"Medium","Low"))</f>
        <v>Medium</v>
      </c>
      <c r="T74" s="2" t="s">
        <v>2</v>
      </c>
      <c r="U74" s="2" t="s">
        <v>1</v>
      </c>
      <c r="V74" s="2" t="s">
        <v>9</v>
      </c>
      <c r="W74" s="7">
        <v>0</v>
      </c>
      <c r="X74" t="str">
        <f t="shared" si="3"/>
        <v>Active</v>
      </c>
    </row>
    <row r="75" spans="1:24" x14ac:dyDescent="0.3">
      <c r="A75" s="2">
        <v>74</v>
      </c>
      <c r="B75" s="7">
        <v>24.4</v>
      </c>
      <c r="C75" s="2" t="s">
        <v>11</v>
      </c>
      <c r="D75" s="7">
        <f>IF(ISBLANK('Raw sheet'!D75),AVERAGE('Raw sheet'!$D$2:'Raw sheet'!$D$1500),'Raw sheet'!D75)</f>
        <v>75102</v>
      </c>
      <c r="E75" s="7" t="str">
        <f>IF(Table1[[#This Row],[Family_Income]]&gt;=100000,"Upper",IF(D75&gt;=50000,"Middle","Lower"))</f>
        <v>Middle</v>
      </c>
      <c r="F75" s="2" t="s">
        <v>4</v>
      </c>
      <c r="G75" s="3">
        <f>IF(ISBLANK('Raw sheet'!F75),AVERAGE('Raw sheet'!$F$2:'Raw sheet'!$F$1500),'Raw sheet'!F75)</f>
        <v>3.45</v>
      </c>
      <c r="H75" s="18">
        <v>75.599999999999994</v>
      </c>
      <c r="I75" s="9" t="str">
        <f t="shared" si="2"/>
        <v>Good</v>
      </c>
      <c r="J75" s="2">
        <v>2</v>
      </c>
      <c r="K75" s="2">
        <v>29.9</v>
      </c>
      <c r="L75" s="2" t="s">
        <v>4</v>
      </c>
      <c r="M75" s="2" t="s">
        <v>3</v>
      </c>
      <c r="N75" s="5">
        <f>IF(ISBLANK('Raw sheet'!L75),AVERAGE('Raw sheet'!$L$2:'Raw sheet'!$L$1500),'Raw sheet'!L75)</f>
        <v>5.5</v>
      </c>
      <c r="O75" s="5" t="str">
        <f>IF(Table1[[#This Row],[Stress_Index]]&gt;=8,"High",IF(N75&gt;=5,"Medium","Low"))</f>
        <v>Medium</v>
      </c>
      <c r="P75" s="3">
        <v>4</v>
      </c>
      <c r="Q75" s="2">
        <v>4</v>
      </c>
      <c r="R75" s="3">
        <v>4</v>
      </c>
      <c r="S75" s="3" t="str">
        <f>IF(Table1[[#This Row],[CGPA]]&gt;=3,"High",IF(R74&gt;=2,"Medium","Low"))</f>
        <v>High</v>
      </c>
      <c r="T75" s="2" t="s">
        <v>2</v>
      </c>
      <c r="U75" s="2" t="s">
        <v>6</v>
      </c>
      <c r="V75" s="2" t="s">
        <v>9</v>
      </c>
      <c r="W75" s="7">
        <v>0</v>
      </c>
      <c r="X75" t="str">
        <f t="shared" si="3"/>
        <v>Active</v>
      </c>
    </row>
    <row r="76" spans="1:24" x14ac:dyDescent="0.3">
      <c r="A76" s="2">
        <v>75</v>
      </c>
      <c r="B76" s="7">
        <v>17</v>
      </c>
      <c r="C76" s="2" t="s">
        <v>5</v>
      </c>
      <c r="D76" s="7">
        <f>IF(ISBLANK('Raw sheet'!D76),AVERAGE('Raw sheet'!$D$2:'Raw sheet'!$D$1500),'Raw sheet'!D76)</f>
        <v>25000</v>
      </c>
      <c r="E76" s="7" t="str">
        <f>IF(Table1[[#This Row],[Family_Income]]&gt;=100000,"Upper",IF(D76&gt;=50000,"Middle","Lower"))</f>
        <v>Lower</v>
      </c>
      <c r="F76" s="2" t="s">
        <v>3</v>
      </c>
      <c r="G76" s="3">
        <f>IF(ISBLANK('Raw sheet'!F76),AVERAGE('Raw sheet'!$F$2:'Raw sheet'!$F$1500),'Raw sheet'!F76)</f>
        <v>5.22</v>
      </c>
      <c r="H76" s="18">
        <v>75</v>
      </c>
      <c r="I76" s="9" t="str">
        <f t="shared" si="2"/>
        <v>Good</v>
      </c>
      <c r="J76" s="2">
        <v>1</v>
      </c>
      <c r="K76" s="2">
        <v>18</v>
      </c>
      <c r="L76" s="2" t="s">
        <v>3</v>
      </c>
      <c r="M76" s="2" t="s">
        <v>3</v>
      </c>
      <c r="N76" s="5">
        <f>IF(ISBLANK('Raw sheet'!L76),AVERAGE('Raw sheet'!$L$2:'Raw sheet'!$L$1500),'Raw sheet'!L76)</f>
        <v>5.2</v>
      </c>
      <c r="O76" s="5" t="str">
        <f>IF(Table1[[#This Row],[Stress_Index]]&gt;=8,"High",IF(N76&gt;=5,"Medium","Low"))</f>
        <v>Medium</v>
      </c>
      <c r="P76" s="3">
        <v>4</v>
      </c>
      <c r="Q76" s="2">
        <v>4</v>
      </c>
      <c r="R76" s="3">
        <v>3.97</v>
      </c>
      <c r="S76" s="3" t="str">
        <f>IF(Table1[[#This Row],[CGPA]]&gt;=3,"High",IF(R75&gt;=2,"Medium","Low"))</f>
        <v>High</v>
      </c>
      <c r="T76" s="2" t="s">
        <v>7</v>
      </c>
      <c r="U76" s="2" t="s">
        <v>14</v>
      </c>
      <c r="V76" s="2" t="s">
        <v>0</v>
      </c>
      <c r="W76" s="7">
        <v>0</v>
      </c>
      <c r="X76" t="str">
        <f t="shared" si="3"/>
        <v>Active</v>
      </c>
    </row>
    <row r="77" spans="1:24" x14ac:dyDescent="0.3">
      <c r="A77" s="2">
        <v>76</v>
      </c>
      <c r="B77" s="7">
        <v>22.8</v>
      </c>
      <c r="C77" s="2" t="s">
        <v>5</v>
      </c>
      <c r="D77" s="7">
        <f>IF(ISBLANK('Raw sheet'!D77),AVERAGE('Raw sheet'!$D$2:'Raw sheet'!$D$1500),'Raw sheet'!D77)</f>
        <v>25000</v>
      </c>
      <c r="E77" s="7" t="str">
        <f>IF(Table1[[#This Row],[Family_Income]]&gt;=100000,"Upper",IF(D77&gt;=50000,"Middle","Lower"))</f>
        <v>Lower</v>
      </c>
      <c r="F77" s="2" t="s">
        <v>4</v>
      </c>
      <c r="G77" s="3">
        <f>IF(ISBLANK('Raw sheet'!F77),AVERAGE('Raw sheet'!$F$2:'Raw sheet'!$F$1500),'Raw sheet'!F77)</f>
        <v>3.51</v>
      </c>
      <c r="H77" s="18">
        <v>82</v>
      </c>
      <c r="I77" s="9" t="str">
        <f t="shared" si="2"/>
        <v>Good</v>
      </c>
      <c r="J77" s="2">
        <v>2</v>
      </c>
      <c r="K77" s="2">
        <v>31.3</v>
      </c>
      <c r="L77" s="2" t="s">
        <v>4</v>
      </c>
      <c r="M77" s="2" t="s">
        <v>3</v>
      </c>
      <c r="N77" s="5">
        <f>IF(ISBLANK('Raw sheet'!L77),AVERAGE('Raw sheet'!$L$2:'Raw sheet'!$L$1500),'Raw sheet'!L77)</f>
        <v>4.0999999999999996</v>
      </c>
      <c r="O77" s="5" t="str">
        <f>IF(Table1[[#This Row],[Stress_Index]]&gt;=8,"High",IF(N77&gt;=5,"Medium","Low"))</f>
        <v>Low</v>
      </c>
      <c r="P77" s="3">
        <v>2.35</v>
      </c>
      <c r="Q77" s="2">
        <v>2.56</v>
      </c>
      <c r="R77" s="3">
        <v>2.52</v>
      </c>
      <c r="S77" s="3" t="str">
        <f>IF(Table1[[#This Row],[CGPA]]&gt;=3,"High",IF(R76&gt;=2,"Medium","Low"))</f>
        <v>Medium</v>
      </c>
      <c r="T77" s="2" t="s">
        <v>12</v>
      </c>
      <c r="U77" s="2" t="s">
        <v>13</v>
      </c>
      <c r="V77" s="2" t="s">
        <v>9</v>
      </c>
      <c r="W77" s="7">
        <v>0</v>
      </c>
      <c r="X77" t="str">
        <f t="shared" si="3"/>
        <v>Active</v>
      </c>
    </row>
    <row r="78" spans="1:24" x14ac:dyDescent="0.3">
      <c r="A78" s="2">
        <v>77</v>
      </c>
      <c r="B78" s="7">
        <v>21.2</v>
      </c>
      <c r="C78" s="2" t="s">
        <v>11</v>
      </c>
      <c r="D78" s="7">
        <f>IF(ISBLANK('Raw sheet'!D78),AVERAGE('Raw sheet'!$D$2:'Raw sheet'!$D$1500),'Raw sheet'!D78)</f>
        <v>38587.00282087447</v>
      </c>
      <c r="E78" s="7" t="str">
        <f>IF(Table1[[#This Row],[Family_Income]]&gt;=100000,"Upper",IF(D78&gt;=50000,"Middle","Lower"))</f>
        <v>Lower</v>
      </c>
      <c r="F78" s="2" t="s">
        <v>4</v>
      </c>
      <c r="G78" s="3">
        <f>IF(ISBLANK('Raw sheet'!F78),AVERAGE('Raw sheet'!$F$2:'Raw sheet'!$F$1500),'Raw sheet'!F78)</f>
        <v>4.0178702397743278</v>
      </c>
      <c r="H78" s="18">
        <v>79</v>
      </c>
      <c r="I78" s="9" t="str">
        <f t="shared" si="2"/>
        <v>Good</v>
      </c>
      <c r="J78" s="2">
        <v>2</v>
      </c>
      <c r="K78" s="2">
        <v>27.8</v>
      </c>
      <c r="L78" s="2" t="s">
        <v>3</v>
      </c>
      <c r="M78" s="2" t="s">
        <v>3</v>
      </c>
      <c r="N78" s="5">
        <f>IF(ISBLANK('Raw sheet'!L78),AVERAGE('Raw sheet'!$L$2:'Raw sheet'!$L$1500),'Raw sheet'!L78)</f>
        <v>5.5242595204513369</v>
      </c>
      <c r="O78" s="5" t="str">
        <f>IF(Table1[[#This Row],[Stress_Index]]&gt;=8,"High",IF(N78&gt;=5,"Medium","Low"))</f>
        <v>Medium</v>
      </c>
      <c r="P78" s="3">
        <v>3.72</v>
      </c>
      <c r="Q78" s="2">
        <v>3.67</v>
      </c>
      <c r="R78" s="3">
        <v>3.59</v>
      </c>
      <c r="S78" s="3" t="str">
        <f>IF(Table1[[#This Row],[CGPA]]&gt;=3,"High",IF(R77&gt;=2,"Medium","Low"))</f>
        <v>High</v>
      </c>
      <c r="T78" s="2" t="s">
        <v>10</v>
      </c>
      <c r="U78" s="2" t="s">
        <v>13</v>
      </c>
      <c r="V78" s="2" t="s">
        <v>9</v>
      </c>
      <c r="W78" s="7">
        <v>0</v>
      </c>
      <c r="X78" t="str">
        <f t="shared" si="3"/>
        <v>Active</v>
      </c>
    </row>
    <row r="79" spans="1:24" x14ac:dyDescent="0.3">
      <c r="A79" s="2">
        <v>78</v>
      </c>
      <c r="B79" s="7">
        <v>20.3</v>
      </c>
      <c r="C79" s="2" t="s">
        <v>5</v>
      </c>
      <c r="D79" s="7">
        <f>IF(ISBLANK('Raw sheet'!D79),AVERAGE('Raw sheet'!$D$2:'Raw sheet'!$D$1500),'Raw sheet'!D79)</f>
        <v>44514</v>
      </c>
      <c r="E79" s="7" t="str">
        <f>IF(Table1[[#This Row],[Family_Income]]&gt;=100000,"Upper",IF(D79&gt;=50000,"Middle","Lower"))</f>
        <v>Lower</v>
      </c>
      <c r="F79" s="2" t="s">
        <v>4</v>
      </c>
      <c r="G79" s="3">
        <f>IF(ISBLANK('Raw sheet'!F79),AVERAGE('Raw sheet'!$F$2:'Raw sheet'!$F$1500),'Raw sheet'!F79)</f>
        <v>1.93</v>
      </c>
      <c r="H79" s="18">
        <v>58.7</v>
      </c>
      <c r="I79" s="9" t="str">
        <f t="shared" si="2"/>
        <v>Low</v>
      </c>
      <c r="J79" s="2">
        <v>3</v>
      </c>
      <c r="K79" s="2">
        <v>33.299999999999997</v>
      </c>
      <c r="L79" s="2" t="s">
        <v>4</v>
      </c>
      <c r="M79" s="2" t="s">
        <v>3</v>
      </c>
      <c r="N79" s="5">
        <f>IF(ISBLANK('Raw sheet'!L79),AVERAGE('Raw sheet'!$L$2:'Raw sheet'!$L$1500),'Raw sheet'!L79)</f>
        <v>6.7</v>
      </c>
      <c r="O79" s="5" t="str">
        <f>IF(Table1[[#This Row],[Stress_Index]]&gt;=8,"High",IF(N79&gt;=5,"Medium","Low"))</f>
        <v>Medium</v>
      </c>
      <c r="P79" s="3">
        <v>1.88</v>
      </c>
      <c r="Q79" s="2">
        <v>1.8</v>
      </c>
      <c r="R79" s="3">
        <v>1.8</v>
      </c>
      <c r="S79" s="3" t="str">
        <f>IF(Table1[[#This Row],[CGPA]]&gt;=3,"High",IF(R78&gt;=2,"Medium","Low"))</f>
        <v>Medium</v>
      </c>
      <c r="T79" s="2" t="s">
        <v>2</v>
      </c>
      <c r="U79" s="2" t="s">
        <v>13</v>
      </c>
      <c r="V79" s="2" t="s">
        <v>17</v>
      </c>
      <c r="W79" s="7">
        <v>1</v>
      </c>
      <c r="X79" t="str">
        <f t="shared" si="3"/>
        <v>Dropped Out</v>
      </c>
    </row>
    <row r="80" spans="1:24" x14ac:dyDescent="0.3">
      <c r="A80" s="2">
        <v>79</v>
      </c>
      <c r="B80" s="7">
        <v>21.2</v>
      </c>
      <c r="C80" s="2" t="s">
        <v>5</v>
      </c>
      <c r="D80" s="7">
        <f>IF(ISBLANK('Raw sheet'!D80),AVERAGE('Raw sheet'!$D$2:'Raw sheet'!$D$1500),'Raw sheet'!D80)</f>
        <v>25000</v>
      </c>
      <c r="E80" s="7" t="str">
        <f>IF(Table1[[#This Row],[Family_Income]]&gt;=100000,"Upper",IF(D80&gt;=50000,"Middle","Lower"))</f>
        <v>Lower</v>
      </c>
      <c r="F80" s="2" t="s">
        <v>4</v>
      </c>
      <c r="G80" s="3">
        <f>IF(ISBLANK('Raw sheet'!F80),AVERAGE('Raw sheet'!$F$2:'Raw sheet'!$F$1500),'Raw sheet'!F80)</f>
        <v>4.16</v>
      </c>
      <c r="H80" s="18">
        <v>76.099999999999994</v>
      </c>
      <c r="I80" s="9" t="str">
        <f t="shared" si="2"/>
        <v>Good</v>
      </c>
      <c r="J80" s="2">
        <v>2</v>
      </c>
      <c r="K80" s="2">
        <v>25.1</v>
      </c>
      <c r="L80" s="2" t="s">
        <v>3</v>
      </c>
      <c r="M80" s="2" t="s">
        <v>3</v>
      </c>
      <c r="N80" s="5">
        <f>IF(ISBLANK('Raw sheet'!L80),AVERAGE('Raw sheet'!$L$2:'Raw sheet'!$L$1500),'Raw sheet'!L80)</f>
        <v>6.1</v>
      </c>
      <c r="O80" s="5" t="str">
        <f>IF(Table1[[#This Row],[Stress_Index]]&gt;=8,"High",IF(N80&gt;=5,"Medium","Low"))</f>
        <v>Medium</v>
      </c>
      <c r="P80" s="3">
        <v>0.7</v>
      </c>
      <c r="Q80" s="2">
        <v>1.08</v>
      </c>
      <c r="R80" s="3">
        <v>1.27</v>
      </c>
      <c r="S80" s="3" t="str">
        <f>IF(Table1[[#This Row],[CGPA]]&gt;=3,"High",IF(R79&gt;=2,"Medium","Low"))</f>
        <v>Low</v>
      </c>
      <c r="T80" s="2" t="s">
        <v>7</v>
      </c>
      <c r="U80" s="2" t="s">
        <v>6</v>
      </c>
      <c r="V80" s="2" t="s">
        <v>15</v>
      </c>
      <c r="W80" s="7">
        <v>0</v>
      </c>
      <c r="X80" t="str">
        <f t="shared" si="3"/>
        <v>Active</v>
      </c>
    </row>
    <row r="81" spans="1:24" x14ac:dyDescent="0.3">
      <c r="A81" s="2">
        <v>80</v>
      </c>
      <c r="B81" s="7">
        <v>17</v>
      </c>
      <c r="C81" s="2" t="s">
        <v>11</v>
      </c>
      <c r="D81" s="7">
        <f>IF(ISBLANK('Raw sheet'!D81),AVERAGE('Raw sheet'!$D$2:'Raw sheet'!$D$1500),'Raw sheet'!D81)</f>
        <v>29235</v>
      </c>
      <c r="E81" s="7" t="str">
        <f>IF(Table1[[#This Row],[Family_Income]]&gt;=100000,"Upper",IF(D81&gt;=50000,"Middle","Lower"))</f>
        <v>Lower</v>
      </c>
      <c r="F81" s="2" t="s">
        <v>4</v>
      </c>
      <c r="G81" s="3">
        <f>IF(ISBLANK('Raw sheet'!F81),AVERAGE('Raw sheet'!$F$2:'Raw sheet'!$F$1500),'Raw sheet'!F81)</f>
        <v>4.53</v>
      </c>
      <c r="H81" s="18">
        <v>65</v>
      </c>
      <c r="I81" s="9" t="str">
        <f t="shared" si="2"/>
        <v>Low</v>
      </c>
      <c r="J81" s="2">
        <v>0</v>
      </c>
      <c r="K81" s="2">
        <v>39.1</v>
      </c>
      <c r="L81" s="2" t="s">
        <v>3</v>
      </c>
      <c r="M81" s="2" t="s">
        <v>4</v>
      </c>
      <c r="N81" s="5">
        <f>IF(ISBLANK('Raw sheet'!L81),AVERAGE('Raw sheet'!$L$2:'Raw sheet'!$L$1500),'Raw sheet'!L81)</f>
        <v>4.7</v>
      </c>
      <c r="O81" s="5" t="str">
        <f>IF(Table1[[#This Row],[Stress_Index]]&gt;=8,"High",IF(N81&gt;=5,"Medium","Low"))</f>
        <v>Low</v>
      </c>
      <c r="P81" s="3">
        <v>1.57</v>
      </c>
      <c r="Q81" s="2">
        <v>1.17</v>
      </c>
      <c r="R81" s="3">
        <v>1.17</v>
      </c>
      <c r="S81" s="3" t="str">
        <f>IF(Table1[[#This Row],[CGPA]]&gt;=3,"High",IF(R80&gt;=2,"Medium","Low"))</f>
        <v>Low</v>
      </c>
      <c r="T81" s="2" t="s">
        <v>2</v>
      </c>
      <c r="U81" s="2" t="s">
        <v>14</v>
      </c>
      <c r="V81" s="2" t="s">
        <v>15</v>
      </c>
      <c r="W81" s="7">
        <v>0</v>
      </c>
      <c r="X81" t="str">
        <f t="shared" si="3"/>
        <v>Active</v>
      </c>
    </row>
    <row r="82" spans="1:24" x14ac:dyDescent="0.3">
      <c r="A82" s="2">
        <v>81</v>
      </c>
      <c r="B82" s="7">
        <v>20.5</v>
      </c>
      <c r="C82" s="2" t="s">
        <v>5</v>
      </c>
      <c r="D82" s="7">
        <f>IF(ISBLANK('Raw sheet'!D82),AVERAGE('Raw sheet'!$D$2:'Raw sheet'!$D$1500),'Raw sheet'!D82)</f>
        <v>38587.00282087447</v>
      </c>
      <c r="E82" s="7" t="str">
        <f>IF(Table1[[#This Row],[Family_Income]]&gt;=100000,"Upper",IF(D82&gt;=50000,"Middle","Lower"))</f>
        <v>Lower</v>
      </c>
      <c r="F82" s="2" t="s">
        <v>3</v>
      </c>
      <c r="G82" s="3">
        <f>IF(ISBLANK('Raw sheet'!F82),AVERAGE('Raw sheet'!$F$2:'Raw sheet'!$F$1500),'Raw sheet'!F82)</f>
        <v>4.0178702397743278</v>
      </c>
      <c r="H82" s="18">
        <v>79.400000000000006</v>
      </c>
      <c r="I82" s="9" t="str">
        <f t="shared" si="2"/>
        <v>Good</v>
      </c>
      <c r="J82" s="2">
        <v>2</v>
      </c>
      <c r="K82" s="2">
        <v>21.4</v>
      </c>
      <c r="L82" s="2" t="s">
        <v>3</v>
      </c>
      <c r="M82" s="2" t="s">
        <v>3</v>
      </c>
      <c r="N82" s="5">
        <f>IF(ISBLANK('Raw sheet'!L82),AVERAGE('Raw sheet'!$L$2:'Raw sheet'!$L$1500),'Raw sheet'!L82)</f>
        <v>5.5242595204513369</v>
      </c>
      <c r="O82" s="5" t="str">
        <f>IF(Table1[[#This Row],[Stress_Index]]&gt;=8,"High",IF(N82&gt;=5,"Medium","Low"))</f>
        <v>Medium</v>
      </c>
      <c r="P82" s="3">
        <v>2.06</v>
      </c>
      <c r="Q82" s="2">
        <v>1.85</v>
      </c>
      <c r="R82" s="3">
        <v>1.85</v>
      </c>
      <c r="S82" s="3" t="str">
        <f>IF(Table1[[#This Row],[CGPA]]&gt;=3,"High",IF(R81&gt;=2,"Medium","Low"))</f>
        <v>Low</v>
      </c>
      <c r="T82" s="2" t="s">
        <v>2</v>
      </c>
      <c r="U82" s="2" t="s">
        <v>14</v>
      </c>
      <c r="V82" s="2" t="s">
        <v>0</v>
      </c>
      <c r="W82" s="7">
        <v>0</v>
      </c>
      <c r="X82" t="str">
        <f t="shared" si="3"/>
        <v>Active</v>
      </c>
    </row>
    <row r="83" spans="1:24" x14ac:dyDescent="0.3">
      <c r="A83" s="2">
        <v>82</v>
      </c>
      <c r="B83" s="7">
        <v>21.8</v>
      </c>
      <c r="C83" s="2" t="s">
        <v>5</v>
      </c>
      <c r="D83" s="7">
        <f>IF(ISBLANK('Raw sheet'!D83),AVERAGE('Raw sheet'!$D$2:'Raw sheet'!$D$1500),'Raw sheet'!D83)</f>
        <v>53998</v>
      </c>
      <c r="E83" s="7" t="str">
        <f>IF(Table1[[#This Row],[Family_Income]]&gt;=100000,"Upper",IF(D83&gt;=50000,"Middle","Lower"))</f>
        <v>Middle</v>
      </c>
      <c r="F83" s="2" t="s">
        <v>4</v>
      </c>
      <c r="G83" s="3">
        <f>IF(ISBLANK('Raw sheet'!F83),AVERAGE('Raw sheet'!$F$2:'Raw sheet'!$F$1500),'Raw sheet'!F83)</f>
        <v>5.25</v>
      </c>
      <c r="H83" s="18">
        <v>87.7</v>
      </c>
      <c r="I83" s="9" t="str">
        <f t="shared" si="2"/>
        <v>Good</v>
      </c>
      <c r="J83" s="2">
        <v>1</v>
      </c>
      <c r="K83" s="2">
        <v>17.8</v>
      </c>
      <c r="L83" s="2" t="s">
        <v>3</v>
      </c>
      <c r="M83" s="2" t="s">
        <v>3</v>
      </c>
      <c r="N83" s="5">
        <f>IF(ISBLANK('Raw sheet'!L83),AVERAGE('Raw sheet'!$L$2:'Raw sheet'!$L$1500),'Raw sheet'!L83)</f>
        <v>7.7</v>
      </c>
      <c r="O83" s="5" t="str">
        <f>IF(Table1[[#This Row],[Stress_Index]]&gt;=8,"High",IF(N83&gt;=5,"Medium","Low"))</f>
        <v>Medium</v>
      </c>
      <c r="P83" s="3">
        <v>0.87</v>
      </c>
      <c r="Q83" s="2">
        <v>0.76</v>
      </c>
      <c r="R83" s="3">
        <v>0.76</v>
      </c>
      <c r="S83" s="3" t="str">
        <f>IF(Table1[[#This Row],[CGPA]]&gt;=3,"High",IF(R82&gt;=2,"Medium","Low"))</f>
        <v>Low</v>
      </c>
      <c r="T83" s="2" t="s">
        <v>2</v>
      </c>
      <c r="U83" s="2" t="s">
        <v>14</v>
      </c>
      <c r="V83" s="2" t="s">
        <v>0</v>
      </c>
      <c r="W83" s="7">
        <v>0</v>
      </c>
      <c r="X83" t="str">
        <f t="shared" si="3"/>
        <v>Active</v>
      </c>
    </row>
    <row r="84" spans="1:24" x14ac:dyDescent="0.3">
      <c r="A84" s="2">
        <v>83</v>
      </c>
      <c r="B84" s="7">
        <v>24.3</v>
      </c>
      <c r="C84" s="2" t="s">
        <v>5</v>
      </c>
      <c r="D84" s="7">
        <f>IF(ISBLANK('Raw sheet'!D84),AVERAGE('Raw sheet'!$D$2:'Raw sheet'!$D$1500),'Raw sheet'!D84)</f>
        <v>25000</v>
      </c>
      <c r="E84" s="7" t="str">
        <f>IF(Table1[[#This Row],[Family_Income]]&gt;=100000,"Upper",IF(D84&gt;=50000,"Middle","Lower"))</f>
        <v>Lower</v>
      </c>
      <c r="F84" s="2" t="s">
        <v>4</v>
      </c>
      <c r="G84" s="3">
        <f>IF(ISBLANK('Raw sheet'!F84),AVERAGE('Raw sheet'!$F$2:'Raw sheet'!$F$1500),'Raw sheet'!F84)</f>
        <v>5.56</v>
      </c>
      <c r="H84" s="18">
        <v>82.4</v>
      </c>
      <c r="I84" s="9" t="str">
        <f t="shared" si="2"/>
        <v>Good</v>
      </c>
      <c r="J84" s="2">
        <v>2</v>
      </c>
      <c r="K84" s="2">
        <v>32.700000000000003</v>
      </c>
      <c r="L84" s="2" t="s">
        <v>3</v>
      </c>
      <c r="M84" s="2" t="s">
        <v>4</v>
      </c>
      <c r="N84" s="5">
        <f>IF(ISBLANK('Raw sheet'!L84),AVERAGE('Raw sheet'!$L$2:'Raw sheet'!$L$1500),'Raw sheet'!L84)</f>
        <v>5.4</v>
      </c>
      <c r="O84" s="5" t="str">
        <f>IF(Table1[[#This Row],[Stress_Index]]&gt;=8,"High",IF(N84&gt;=5,"Medium","Low"))</f>
        <v>Medium</v>
      </c>
      <c r="P84" s="3">
        <v>0.83</v>
      </c>
      <c r="Q84" s="2">
        <v>0.86</v>
      </c>
      <c r="R84" s="3">
        <v>0.89</v>
      </c>
      <c r="S84" s="3" t="str">
        <f>IF(Table1[[#This Row],[CGPA]]&gt;=3,"High",IF(R83&gt;=2,"Medium","Low"))</f>
        <v>Low</v>
      </c>
      <c r="T84" s="2" t="s">
        <v>10</v>
      </c>
      <c r="U84" s="2" t="s">
        <v>6</v>
      </c>
      <c r="V84" s="2" t="s">
        <v>9</v>
      </c>
      <c r="W84" s="7">
        <v>0</v>
      </c>
      <c r="X84" t="str">
        <f t="shared" si="3"/>
        <v>Active</v>
      </c>
    </row>
    <row r="85" spans="1:24" x14ac:dyDescent="0.3">
      <c r="A85" s="2">
        <v>84</v>
      </c>
      <c r="B85" s="7">
        <v>19.899999999999999</v>
      </c>
      <c r="C85" s="2" t="s">
        <v>5</v>
      </c>
      <c r="D85" s="7">
        <f>IF(ISBLANK('Raw sheet'!D85),AVERAGE('Raw sheet'!$D$2:'Raw sheet'!$D$1500),'Raw sheet'!D85)</f>
        <v>25000</v>
      </c>
      <c r="E85" s="7" t="str">
        <f>IF(Table1[[#This Row],[Family_Income]]&gt;=100000,"Upper",IF(D85&gt;=50000,"Middle","Lower"))</f>
        <v>Lower</v>
      </c>
      <c r="F85" s="2" t="s">
        <v>4</v>
      </c>
      <c r="G85" s="3">
        <f>IF(ISBLANK('Raw sheet'!F85),AVERAGE('Raw sheet'!$F$2:'Raw sheet'!$F$1500),'Raw sheet'!F85)</f>
        <v>6.75</v>
      </c>
      <c r="H85" s="18">
        <v>83.1</v>
      </c>
      <c r="I85" s="9" t="str">
        <f t="shared" si="2"/>
        <v>Good</v>
      </c>
      <c r="J85" s="2">
        <v>0</v>
      </c>
      <c r="K85" s="2">
        <v>52.2</v>
      </c>
      <c r="L85" s="2" t="s">
        <v>3</v>
      </c>
      <c r="M85" s="2" t="s">
        <v>3</v>
      </c>
      <c r="N85" s="5">
        <f>IF(ISBLANK('Raw sheet'!L85),AVERAGE('Raw sheet'!$L$2:'Raw sheet'!$L$1500),'Raw sheet'!L85)</f>
        <v>5.5</v>
      </c>
      <c r="O85" s="5" t="str">
        <f>IF(Table1[[#This Row],[Stress_Index]]&gt;=8,"High",IF(N85&gt;=5,"Medium","Low"))</f>
        <v>Medium</v>
      </c>
      <c r="P85" s="3">
        <v>1.96</v>
      </c>
      <c r="Q85" s="2">
        <v>1.86</v>
      </c>
      <c r="R85" s="3">
        <v>1.86</v>
      </c>
      <c r="S85" s="3" t="str">
        <f>IF(Table1[[#This Row],[CGPA]]&gt;=3,"High",IF(R84&gt;=2,"Medium","Low"))</f>
        <v>Low</v>
      </c>
      <c r="T85" s="2" t="s">
        <v>7</v>
      </c>
      <c r="U85" s="2" t="s">
        <v>13</v>
      </c>
      <c r="V85" s="2" t="s">
        <v>0</v>
      </c>
      <c r="W85" s="7">
        <v>0</v>
      </c>
      <c r="X85" t="str">
        <f t="shared" si="3"/>
        <v>Active</v>
      </c>
    </row>
    <row r="86" spans="1:24" x14ac:dyDescent="0.3">
      <c r="A86" s="2">
        <v>85</v>
      </c>
      <c r="B86" s="7">
        <v>19.2</v>
      </c>
      <c r="C86" s="2" t="s">
        <v>5</v>
      </c>
      <c r="D86" s="7">
        <f>IF(ISBLANK('Raw sheet'!D86),AVERAGE('Raw sheet'!$D$2:'Raw sheet'!$D$1500),'Raw sheet'!D86)</f>
        <v>25000</v>
      </c>
      <c r="E86" s="7" t="str">
        <f>IF(Table1[[#This Row],[Family_Income]]&gt;=100000,"Upper",IF(D86&gt;=50000,"Middle","Lower"))</f>
        <v>Lower</v>
      </c>
      <c r="F86" s="2" t="s">
        <v>4</v>
      </c>
      <c r="G86" s="3">
        <f>IF(ISBLANK('Raw sheet'!F86),AVERAGE('Raw sheet'!$F$2:'Raw sheet'!$F$1500),'Raw sheet'!F86)</f>
        <v>2.8</v>
      </c>
      <c r="H86" s="18">
        <v>80.8</v>
      </c>
      <c r="I86" s="9" t="str">
        <f t="shared" si="2"/>
        <v>Good</v>
      </c>
      <c r="J86" s="2">
        <v>2</v>
      </c>
      <c r="K86" s="2">
        <v>11.7</v>
      </c>
      <c r="L86" s="2" t="s">
        <v>3</v>
      </c>
      <c r="M86" s="2" t="s">
        <v>3</v>
      </c>
      <c r="N86" s="5">
        <f>IF(ISBLANK('Raw sheet'!L86),AVERAGE('Raw sheet'!$L$2:'Raw sheet'!$L$1500),'Raw sheet'!L86)</f>
        <v>8.1999999999999993</v>
      </c>
      <c r="O86" s="5" t="str">
        <f>IF(Table1[[#This Row],[Stress_Index]]&gt;=8,"High",IF(N86&gt;=5,"Medium","Low"))</f>
        <v>High</v>
      </c>
      <c r="P86" s="3">
        <v>3</v>
      </c>
      <c r="Q86" s="2">
        <v>3.11</v>
      </c>
      <c r="R86" s="3">
        <v>3.11</v>
      </c>
      <c r="S86" s="3" t="str">
        <f>IF(Table1[[#This Row],[CGPA]]&gt;=3,"High",IF(R85&gt;=2,"Medium","Low"))</f>
        <v>High</v>
      </c>
      <c r="T86" s="2" t="s">
        <v>7</v>
      </c>
      <c r="U86" s="2" t="s">
        <v>1</v>
      </c>
      <c r="V86" s="2" t="s">
        <v>9</v>
      </c>
      <c r="W86" s="7">
        <v>0</v>
      </c>
      <c r="X86" t="str">
        <f t="shared" si="3"/>
        <v>Active</v>
      </c>
    </row>
    <row r="87" spans="1:24" x14ac:dyDescent="0.3">
      <c r="A87" s="2">
        <v>86</v>
      </c>
      <c r="B87" s="7">
        <v>19.899999999999999</v>
      </c>
      <c r="C87" s="2" t="s">
        <v>5</v>
      </c>
      <c r="D87" s="7">
        <f>IF(ISBLANK('Raw sheet'!D87),AVERAGE('Raw sheet'!$D$2:'Raw sheet'!$D$1500),'Raw sheet'!D87)</f>
        <v>25000</v>
      </c>
      <c r="E87" s="7" t="str">
        <f>IF(Table1[[#This Row],[Family_Income]]&gt;=100000,"Upper",IF(D87&gt;=50000,"Middle","Lower"))</f>
        <v>Lower</v>
      </c>
      <c r="F87" s="2" t="s">
        <v>4</v>
      </c>
      <c r="G87" s="3">
        <f>IF(ISBLANK('Raw sheet'!F87),AVERAGE('Raw sheet'!$F$2:'Raw sheet'!$F$1500),'Raw sheet'!F87)</f>
        <v>4.37</v>
      </c>
      <c r="H87" s="18">
        <v>83.7</v>
      </c>
      <c r="I87" s="9" t="str">
        <f t="shared" si="2"/>
        <v>Good</v>
      </c>
      <c r="J87" s="2">
        <v>0</v>
      </c>
      <c r="K87" s="2">
        <v>16.3</v>
      </c>
      <c r="L87" s="2" t="s">
        <v>3</v>
      </c>
      <c r="M87" s="2" t="s">
        <v>3</v>
      </c>
      <c r="N87" s="5">
        <f>IF(ISBLANK('Raw sheet'!L87),AVERAGE('Raw sheet'!$L$2:'Raw sheet'!$L$1500),'Raw sheet'!L87)</f>
        <v>7.4</v>
      </c>
      <c r="O87" s="5" t="str">
        <f>IF(Table1[[#This Row],[Stress_Index]]&gt;=8,"High",IF(N87&gt;=5,"Medium","Low"))</f>
        <v>Medium</v>
      </c>
      <c r="P87" s="3">
        <v>3.03</v>
      </c>
      <c r="Q87" s="2">
        <v>2.94</v>
      </c>
      <c r="R87" s="3">
        <v>2.94</v>
      </c>
      <c r="S87" s="3" t="str">
        <f>IF(Table1[[#This Row],[CGPA]]&gt;=3,"High",IF(R86&gt;=2,"Medium","Low"))</f>
        <v>Medium</v>
      </c>
      <c r="T87" s="2" t="s">
        <v>12</v>
      </c>
      <c r="U87" s="2" t="s">
        <v>6</v>
      </c>
      <c r="V87" s="2" t="s">
        <v>0</v>
      </c>
      <c r="W87" s="7">
        <v>0</v>
      </c>
      <c r="X87" t="str">
        <f t="shared" si="3"/>
        <v>Active</v>
      </c>
    </row>
    <row r="88" spans="1:24" x14ac:dyDescent="0.3">
      <c r="A88" s="2">
        <v>87</v>
      </c>
      <c r="B88" s="7">
        <v>23</v>
      </c>
      <c r="C88" s="2" t="s">
        <v>11</v>
      </c>
      <c r="D88" s="7">
        <f>IF(ISBLANK('Raw sheet'!D88),AVERAGE('Raw sheet'!$D$2:'Raw sheet'!$D$1500),'Raw sheet'!D88)</f>
        <v>25000</v>
      </c>
      <c r="E88" s="7" t="str">
        <f>IF(Table1[[#This Row],[Family_Income]]&gt;=100000,"Upper",IF(D88&gt;=50000,"Middle","Lower"))</f>
        <v>Lower</v>
      </c>
      <c r="F88" s="2" t="s">
        <v>4</v>
      </c>
      <c r="G88" s="3">
        <f>IF(ISBLANK('Raw sheet'!F88),AVERAGE('Raw sheet'!$F$2:'Raw sheet'!$F$1500),'Raw sheet'!F88)</f>
        <v>2.46</v>
      </c>
      <c r="H88" s="18">
        <v>100</v>
      </c>
      <c r="I88" s="9" t="str">
        <f t="shared" si="2"/>
        <v>Good</v>
      </c>
      <c r="J88" s="2">
        <v>1</v>
      </c>
      <c r="K88" s="2">
        <v>32.799999999999997</v>
      </c>
      <c r="L88" s="2" t="s">
        <v>3</v>
      </c>
      <c r="M88" s="2" t="s">
        <v>4</v>
      </c>
      <c r="N88" s="5">
        <f>IF(ISBLANK('Raw sheet'!L88),AVERAGE('Raw sheet'!$L$2:'Raw sheet'!$L$1500),'Raw sheet'!L88)</f>
        <v>4.3</v>
      </c>
      <c r="O88" s="5" t="str">
        <f>IF(Table1[[#This Row],[Stress_Index]]&gt;=8,"High",IF(N88&gt;=5,"Medium","Low"))</f>
        <v>Low</v>
      </c>
      <c r="P88" s="3">
        <v>3.12</v>
      </c>
      <c r="Q88" s="2">
        <v>3.19</v>
      </c>
      <c r="R88" s="3">
        <v>3.2</v>
      </c>
      <c r="S88" s="3" t="str">
        <f>IF(Table1[[#This Row],[CGPA]]&gt;=3,"High",IF(R87&gt;=2,"Medium","Low"))</f>
        <v>High</v>
      </c>
      <c r="T88" s="2" t="s">
        <v>10</v>
      </c>
      <c r="U88" s="2" t="s">
        <v>1</v>
      </c>
      <c r="V88" s="2" t="s">
        <v>0</v>
      </c>
      <c r="W88" s="7">
        <v>0</v>
      </c>
      <c r="X88" t="str">
        <f t="shared" si="3"/>
        <v>Active</v>
      </c>
    </row>
    <row r="89" spans="1:24" x14ac:dyDescent="0.3">
      <c r="A89" s="2">
        <v>88</v>
      </c>
      <c r="B89" s="7">
        <v>21.7</v>
      </c>
      <c r="C89" s="2" t="s">
        <v>11</v>
      </c>
      <c r="D89" s="7">
        <f>IF(ISBLANK('Raw sheet'!D89),AVERAGE('Raw sheet'!$D$2:'Raw sheet'!$D$1500),'Raw sheet'!D89)</f>
        <v>25000</v>
      </c>
      <c r="E89" s="7" t="str">
        <f>IF(Table1[[#This Row],[Family_Income]]&gt;=100000,"Upper",IF(D89&gt;=50000,"Middle","Lower"))</f>
        <v>Lower</v>
      </c>
      <c r="F89" s="2" t="s">
        <v>4</v>
      </c>
      <c r="G89" s="3">
        <f>IF(ISBLANK('Raw sheet'!F89),AVERAGE('Raw sheet'!$F$2:'Raw sheet'!$F$1500),'Raw sheet'!F89)</f>
        <v>4.79</v>
      </c>
      <c r="H89" s="18">
        <v>79.2</v>
      </c>
      <c r="I89" s="9" t="str">
        <f t="shared" si="2"/>
        <v>Good</v>
      </c>
      <c r="J89" s="2">
        <v>3</v>
      </c>
      <c r="K89" s="2">
        <v>43.5</v>
      </c>
      <c r="L89" s="2" t="s">
        <v>4</v>
      </c>
      <c r="M89" s="2" t="s">
        <v>3</v>
      </c>
      <c r="N89" s="5">
        <f>IF(ISBLANK('Raw sheet'!L89),AVERAGE('Raw sheet'!$L$2:'Raw sheet'!$L$1500),'Raw sheet'!L89)</f>
        <v>7.4</v>
      </c>
      <c r="O89" s="5" t="str">
        <f>IF(Table1[[#This Row],[Stress_Index]]&gt;=8,"High",IF(N89&gt;=5,"Medium","Low"))</f>
        <v>Medium</v>
      </c>
      <c r="P89" s="3">
        <v>1.22</v>
      </c>
      <c r="Q89" s="2">
        <v>1.44</v>
      </c>
      <c r="R89" s="3">
        <v>1.42</v>
      </c>
      <c r="S89" s="3" t="str">
        <f>IF(Table1[[#This Row],[CGPA]]&gt;=3,"High",IF(R88&gt;=2,"Medium","Low"))</f>
        <v>Medium</v>
      </c>
      <c r="T89" s="2" t="s">
        <v>7</v>
      </c>
      <c r="U89" s="2" t="s">
        <v>14</v>
      </c>
      <c r="V89" s="2" t="s">
        <v>0</v>
      </c>
      <c r="W89" s="7">
        <v>1</v>
      </c>
      <c r="X89" t="str">
        <f t="shared" si="3"/>
        <v>Dropped Out</v>
      </c>
    </row>
    <row r="90" spans="1:24" x14ac:dyDescent="0.3">
      <c r="A90" s="2">
        <v>89</v>
      </c>
      <c r="B90" s="7">
        <v>19.8</v>
      </c>
      <c r="C90" s="2" t="s">
        <v>5</v>
      </c>
      <c r="D90" s="7">
        <f>IF(ISBLANK('Raw sheet'!D90),AVERAGE('Raw sheet'!$D$2:'Raw sheet'!$D$1500),'Raw sheet'!D90)</f>
        <v>38587.00282087447</v>
      </c>
      <c r="E90" s="7" t="str">
        <f>IF(Table1[[#This Row],[Family_Income]]&gt;=100000,"Upper",IF(D90&gt;=50000,"Middle","Lower"))</f>
        <v>Lower</v>
      </c>
      <c r="F90" s="2" t="s">
        <v>4</v>
      </c>
      <c r="G90" s="3">
        <f>IF(ISBLANK('Raw sheet'!F90),AVERAGE('Raw sheet'!$F$2:'Raw sheet'!$F$1500),'Raw sheet'!F90)</f>
        <v>4.0178702397743278</v>
      </c>
      <c r="H90" s="18">
        <v>81.900000000000006</v>
      </c>
      <c r="I90" s="9" t="str">
        <f t="shared" si="2"/>
        <v>Good</v>
      </c>
      <c r="J90" s="2">
        <v>0</v>
      </c>
      <c r="K90" s="2">
        <v>33.700000000000003</v>
      </c>
      <c r="L90" s="2" t="s">
        <v>3</v>
      </c>
      <c r="M90" s="2" t="s">
        <v>3</v>
      </c>
      <c r="N90" s="5">
        <f>IF(ISBLANK('Raw sheet'!L90),AVERAGE('Raw sheet'!$L$2:'Raw sheet'!$L$1500),'Raw sheet'!L90)</f>
        <v>5.5242595204513369</v>
      </c>
      <c r="O90" s="5" t="str">
        <f>IF(Table1[[#This Row],[Stress_Index]]&gt;=8,"High",IF(N90&gt;=5,"Medium","Low"))</f>
        <v>Medium</v>
      </c>
      <c r="P90" s="3">
        <v>2.96</v>
      </c>
      <c r="Q90" s="2">
        <v>2.79</v>
      </c>
      <c r="R90" s="3">
        <v>2.7</v>
      </c>
      <c r="S90" s="3" t="str">
        <f>IF(Table1[[#This Row],[CGPA]]&gt;=3,"High",IF(R89&gt;=2,"Medium","Low"))</f>
        <v>Low</v>
      </c>
      <c r="T90" s="2" t="s">
        <v>10</v>
      </c>
      <c r="U90" s="2" t="s">
        <v>1</v>
      </c>
      <c r="V90" s="2" t="s">
        <v>15</v>
      </c>
      <c r="W90" s="7">
        <v>1</v>
      </c>
      <c r="X90" t="str">
        <f t="shared" si="3"/>
        <v>Dropped Out</v>
      </c>
    </row>
    <row r="91" spans="1:24" x14ac:dyDescent="0.3">
      <c r="A91" s="2">
        <v>90</v>
      </c>
      <c r="B91" s="7">
        <v>22.1</v>
      </c>
      <c r="C91" s="2" t="s">
        <v>11</v>
      </c>
      <c r="D91" s="7">
        <f>IF(ISBLANK('Raw sheet'!D91),AVERAGE('Raw sheet'!$D$2:'Raw sheet'!$D$1500),'Raw sheet'!D91)</f>
        <v>32176</v>
      </c>
      <c r="E91" s="7" t="str">
        <f>IF(Table1[[#This Row],[Family_Income]]&gt;=100000,"Upper",IF(D91&gt;=50000,"Middle","Lower"))</f>
        <v>Lower</v>
      </c>
      <c r="F91" s="2" t="s">
        <v>4</v>
      </c>
      <c r="G91" s="3">
        <f>IF(ISBLANK('Raw sheet'!F91),AVERAGE('Raw sheet'!$F$2:'Raw sheet'!$F$1500),'Raw sheet'!F91)</f>
        <v>1.49</v>
      </c>
      <c r="H91" s="18">
        <v>75.099999999999994</v>
      </c>
      <c r="I91" s="9" t="str">
        <f t="shared" si="2"/>
        <v>Good</v>
      </c>
      <c r="J91" s="2">
        <v>1</v>
      </c>
      <c r="K91" s="2">
        <v>22.7</v>
      </c>
      <c r="L91" s="2" t="s">
        <v>3</v>
      </c>
      <c r="M91" s="2" t="s">
        <v>3</v>
      </c>
      <c r="N91" s="5">
        <f>IF(ISBLANK('Raw sheet'!L91),AVERAGE('Raw sheet'!$L$2:'Raw sheet'!$L$1500),'Raw sheet'!L91)</f>
        <v>3.6</v>
      </c>
      <c r="O91" s="5" t="str">
        <f>IF(Table1[[#This Row],[Stress_Index]]&gt;=8,"High",IF(N91&gt;=5,"Medium","Low"))</f>
        <v>Low</v>
      </c>
      <c r="P91" s="3">
        <v>2.96</v>
      </c>
      <c r="Q91" s="2">
        <v>2.94</v>
      </c>
      <c r="R91" s="3">
        <v>2.94</v>
      </c>
      <c r="S91" s="3" t="str">
        <f>IF(Table1[[#This Row],[CGPA]]&gt;=3,"High",IF(R90&gt;=2,"Medium","Low"))</f>
        <v>Medium</v>
      </c>
      <c r="T91" s="2" t="s">
        <v>2</v>
      </c>
      <c r="U91" s="2" t="s">
        <v>13</v>
      </c>
      <c r="V91" s="2" t="s">
        <v>9</v>
      </c>
      <c r="W91" s="7">
        <v>0</v>
      </c>
      <c r="X91" t="str">
        <f t="shared" si="3"/>
        <v>Active</v>
      </c>
    </row>
    <row r="92" spans="1:24" x14ac:dyDescent="0.3">
      <c r="A92" s="2">
        <v>91</v>
      </c>
      <c r="B92" s="7">
        <v>21.2</v>
      </c>
      <c r="C92" s="2" t="s">
        <v>5</v>
      </c>
      <c r="D92" s="7">
        <f>IF(ISBLANK('Raw sheet'!D92),AVERAGE('Raw sheet'!$D$2:'Raw sheet'!$D$1500),'Raw sheet'!D92)</f>
        <v>39933</v>
      </c>
      <c r="E92" s="7" t="str">
        <f>IF(Table1[[#This Row],[Family_Income]]&gt;=100000,"Upper",IF(D92&gt;=50000,"Middle","Lower"))</f>
        <v>Lower</v>
      </c>
      <c r="F92" s="2" t="s">
        <v>4</v>
      </c>
      <c r="G92" s="3">
        <f>IF(ISBLANK('Raw sheet'!F92),AVERAGE('Raw sheet'!$F$2:'Raw sheet'!$F$1500),'Raw sheet'!F92)</f>
        <v>4.3499999999999996</v>
      </c>
      <c r="H92" s="18">
        <v>66.8</v>
      </c>
      <c r="I92" s="9" t="str">
        <f t="shared" si="2"/>
        <v>Low</v>
      </c>
      <c r="J92" s="2">
        <v>1</v>
      </c>
      <c r="K92" s="2">
        <v>35</v>
      </c>
      <c r="L92" s="2" t="s">
        <v>3</v>
      </c>
      <c r="M92" s="2" t="s">
        <v>3</v>
      </c>
      <c r="N92" s="5">
        <f>IF(ISBLANK('Raw sheet'!L92),AVERAGE('Raw sheet'!$L$2:'Raw sheet'!$L$1500),'Raw sheet'!L92)</f>
        <v>7.8</v>
      </c>
      <c r="O92" s="5" t="str">
        <f>IF(Table1[[#This Row],[Stress_Index]]&gt;=8,"High",IF(N92&gt;=5,"Medium","Low"))</f>
        <v>Medium</v>
      </c>
      <c r="P92" s="3">
        <v>2.37</v>
      </c>
      <c r="Q92" s="2">
        <v>2.7</v>
      </c>
      <c r="R92" s="3">
        <v>2.64</v>
      </c>
      <c r="S92" s="3" t="str">
        <f>IF(Table1[[#This Row],[CGPA]]&gt;=3,"High",IF(R91&gt;=2,"Medium","Low"))</f>
        <v>Medium</v>
      </c>
      <c r="T92" s="2" t="s">
        <v>10</v>
      </c>
      <c r="U92" s="2" t="s">
        <v>1</v>
      </c>
      <c r="V92" s="2" t="s">
        <v>15</v>
      </c>
      <c r="W92" s="7">
        <v>0</v>
      </c>
      <c r="X92" t="str">
        <f t="shared" si="3"/>
        <v>Active</v>
      </c>
    </row>
    <row r="93" spans="1:24" x14ac:dyDescent="0.3">
      <c r="A93" s="2">
        <v>92</v>
      </c>
      <c r="B93" s="7">
        <v>23.1</v>
      </c>
      <c r="C93" s="2" t="s">
        <v>5</v>
      </c>
      <c r="D93" s="7">
        <f>IF(ISBLANK('Raw sheet'!D93),AVERAGE('Raw sheet'!$D$2:'Raw sheet'!$D$1500),'Raw sheet'!D93)</f>
        <v>33807</v>
      </c>
      <c r="E93" s="7" t="str">
        <f>IF(Table1[[#This Row],[Family_Income]]&gt;=100000,"Upper",IF(D93&gt;=50000,"Middle","Lower"))</f>
        <v>Lower</v>
      </c>
      <c r="F93" s="2" t="s">
        <v>3</v>
      </c>
      <c r="G93" s="3">
        <f>IF(ISBLANK('Raw sheet'!F93),AVERAGE('Raw sheet'!$F$2:'Raw sheet'!$F$1500),'Raw sheet'!F93)</f>
        <v>3.74</v>
      </c>
      <c r="H93" s="18">
        <v>84.1</v>
      </c>
      <c r="I93" s="9" t="str">
        <f t="shared" si="2"/>
        <v>Good</v>
      </c>
      <c r="J93" s="2">
        <v>0</v>
      </c>
      <c r="K93" s="2">
        <v>36.200000000000003</v>
      </c>
      <c r="L93" s="2" t="s">
        <v>4</v>
      </c>
      <c r="M93" s="2" t="s">
        <v>3</v>
      </c>
      <c r="N93" s="5">
        <f>IF(ISBLANK('Raw sheet'!L93),AVERAGE('Raw sheet'!$L$2:'Raw sheet'!$L$1500),'Raw sheet'!L93)</f>
        <v>4.2</v>
      </c>
      <c r="O93" s="5" t="str">
        <f>IF(Table1[[#This Row],[Stress_Index]]&gt;=8,"High",IF(N93&gt;=5,"Medium","Low"))</f>
        <v>Low</v>
      </c>
      <c r="P93" s="3">
        <v>0.75</v>
      </c>
      <c r="Q93" s="2">
        <v>0.64</v>
      </c>
      <c r="R93" s="3">
        <v>0.67</v>
      </c>
      <c r="S93" s="3" t="str">
        <f>IF(Table1[[#This Row],[CGPA]]&gt;=3,"High",IF(R92&gt;=2,"Medium","Low"))</f>
        <v>Medium</v>
      </c>
      <c r="T93" s="2" t="s">
        <v>7</v>
      </c>
      <c r="U93" s="2" t="s">
        <v>8</v>
      </c>
      <c r="V93" s="2" t="s">
        <v>15</v>
      </c>
      <c r="W93" s="7">
        <v>1</v>
      </c>
      <c r="X93" t="str">
        <f t="shared" si="3"/>
        <v>Dropped Out</v>
      </c>
    </row>
    <row r="94" spans="1:24" x14ac:dyDescent="0.3">
      <c r="A94" s="2">
        <v>93</v>
      </c>
      <c r="B94" s="7">
        <v>19.5</v>
      </c>
      <c r="C94" s="2" t="s">
        <v>5</v>
      </c>
      <c r="D94" s="7">
        <f>IF(ISBLANK('Raw sheet'!D94),AVERAGE('Raw sheet'!$D$2:'Raw sheet'!$D$1500),'Raw sheet'!D94)</f>
        <v>38587.00282087447</v>
      </c>
      <c r="E94" s="7" t="str">
        <f>IF(Table1[[#This Row],[Family_Income]]&gt;=100000,"Upper",IF(D94&gt;=50000,"Middle","Lower"))</f>
        <v>Lower</v>
      </c>
      <c r="F94" s="2" t="s">
        <v>3</v>
      </c>
      <c r="G94" s="3">
        <f>IF(ISBLANK('Raw sheet'!F94),AVERAGE('Raw sheet'!$F$2:'Raw sheet'!$F$1500),'Raw sheet'!F94)</f>
        <v>4.0178702397743278</v>
      </c>
      <c r="H94" s="18">
        <v>91.1</v>
      </c>
      <c r="I94" s="9" t="str">
        <f t="shared" si="2"/>
        <v>Good</v>
      </c>
      <c r="J94" s="2">
        <v>3</v>
      </c>
      <c r="K94" s="2">
        <v>21.8</v>
      </c>
      <c r="L94" s="2" t="s">
        <v>3</v>
      </c>
      <c r="M94" s="2" t="s">
        <v>3</v>
      </c>
      <c r="N94" s="5">
        <f>IF(ISBLANK('Raw sheet'!L94),AVERAGE('Raw sheet'!$L$2:'Raw sheet'!$L$1500),'Raw sheet'!L94)</f>
        <v>5.5242595204513369</v>
      </c>
      <c r="O94" s="5" t="str">
        <f>IF(Table1[[#This Row],[Stress_Index]]&gt;=8,"High",IF(N94&gt;=5,"Medium","Low"))</f>
        <v>Medium</v>
      </c>
      <c r="P94" s="3">
        <v>3.54</v>
      </c>
      <c r="Q94" s="2">
        <v>3.8</v>
      </c>
      <c r="R94" s="3">
        <v>3.8</v>
      </c>
      <c r="S94" s="3" t="str">
        <f>IF(Table1[[#This Row],[CGPA]]&gt;=3,"High",IF(R93&gt;=2,"Medium","Low"))</f>
        <v>High</v>
      </c>
      <c r="T94" s="2" t="s">
        <v>2</v>
      </c>
      <c r="U94" s="2" t="s">
        <v>14</v>
      </c>
      <c r="V94" s="2" t="s">
        <v>15</v>
      </c>
      <c r="W94" s="7">
        <v>0</v>
      </c>
      <c r="X94" t="str">
        <f t="shared" si="3"/>
        <v>Active</v>
      </c>
    </row>
    <row r="95" spans="1:24" x14ac:dyDescent="0.3">
      <c r="A95" s="2">
        <v>94</v>
      </c>
      <c r="B95" s="7">
        <v>20.3</v>
      </c>
      <c r="C95" s="2" t="s">
        <v>11</v>
      </c>
      <c r="D95" s="7">
        <f>IF(ISBLANK('Raw sheet'!D95),AVERAGE('Raw sheet'!$D$2:'Raw sheet'!$D$1500),'Raw sheet'!D95)</f>
        <v>50359</v>
      </c>
      <c r="E95" s="7" t="str">
        <f>IF(Table1[[#This Row],[Family_Income]]&gt;=100000,"Upper",IF(D95&gt;=50000,"Middle","Lower"))</f>
        <v>Middle</v>
      </c>
      <c r="F95" s="2" t="s">
        <v>4</v>
      </c>
      <c r="G95" s="3">
        <f>IF(ISBLANK('Raw sheet'!F95),AVERAGE('Raw sheet'!$F$2:'Raw sheet'!$F$1500),'Raw sheet'!F95)</f>
        <v>3.62</v>
      </c>
      <c r="H95" s="18">
        <v>100</v>
      </c>
      <c r="I95" s="9" t="str">
        <f t="shared" si="2"/>
        <v>Good</v>
      </c>
      <c r="J95" s="2">
        <v>0</v>
      </c>
      <c r="K95" s="2">
        <v>39.9</v>
      </c>
      <c r="L95" s="2" t="s">
        <v>3</v>
      </c>
      <c r="M95" s="2" t="s">
        <v>3</v>
      </c>
      <c r="N95" s="5">
        <f>IF(ISBLANK('Raw sheet'!L95),AVERAGE('Raw sheet'!$L$2:'Raw sheet'!$L$1500),'Raw sheet'!L95)</f>
        <v>4.8</v>
      </c>
      <c r="O95" s="5" t="str">
        <f>IF(Table1[[#This Row],[Stress_Index]]&gt;=8,"High",IF(N95&gt;=5,"Medium","Low"))</f>
        <v>Low</v>
      </c>
      <c r="P95" s="3">
        <v>3.28</v>
      </c>
      <c r="Q95" s="2">
        <v>3.68</v>
      </c>
      <c r="R95" s="3">
        <v>3.63</v>
      </c>
      <c r="S95" s="3" t="str">
        <f>IF(Table1[[#This Row],[CGPA]]&gt;=3,"High",IF(R94&gt;=2,"Medium","Low"))</f>
        <v>High</v>
      </c>
      <c r="T95" s="2" t="s">
        <v>10</v>
      </c>
      <c r="U95" s="2" t="s">
        <v>8</v>
      </c>
      <c r="V95" s="2" t="s">
        <v>15</v>
      </c>
      <c r="W95" s="7">
        <v>0</v>
      </c>
      <c r="X95" t="str">
        <f t="shared" si="3"/>
        <v>Active</v>
      </c>
    </row>
    <row r="96" spans="1:24" x14ac:dyDescent="0.3">
      <c r="A96" s="2">
        <v>95</v>
      </c>
      <c r="B96" s="7">
        <v>20.100000000000001</v>
      </c>
      <c r="C96" s="2" t="s">
        <v>5</v>
      </c>
      <c r="D96" s="7">
        <f>IF(ISBLANK('Raw sheet'!D96),AVERAGE('Raw sheet'!$D$2:'Raw sheet'!$D$1500),'Raw sheet'!D96)</f>
        <v>25000</v>
      </c>
      <c r="E96" s="7" t="str">
        <f>IF(Table1[[#This Row],[Family_Income]]&gt;=100000,"Upper",IF(D96&gt;=50000,"Middle","Lower"))</f>
        <v>Lower</v>
      </c>
      <c r="F96" s="2" t="s">
        <v>4</v>
      </c>
      <c r="G96" s="3">
        <f>IF(ISBLANK('Raw sheet'!F96),AVERAGE('Raw sheet'!$F$2:'Raw sheet'!$F$1500),'Raw sheet'!F96)</f>
        <v>6.68</v>
      </c>
      <c r="H96" s="18">
        <v>80.5</v>
      </c>
      <c r="I96" s="9" t="str">
        <f t="shared" si="2"/>
        <v>Good</v>
      </c>
      <c r="J96" s="2">
        <v>3</v>
      </c>
      <c r="K96" s="2">
        <v>29.6</v>
      </c>
      <c r="L96" s="2" t="s">
        <v>3</v>
      </c>
      <c r="M96" s="2" t="s">
        <v>4</v>
      </c>
      <c r="N96" s="5">
        <f>IF(ISBLANK('Raw sheet'!L96),AVERAGE('Raw sheet'!$L$2:'Raw sheet'!$L$1500),'Raw sheet'!L96)</f>
        <v>9.1999999999999993</v>
      </c>
      <c r="O96" s="5" t="str">
        <f>IF(Table1[[#This Row],[Stress_Index]]&gt;=8,"High",IF(N96&gt;=5,"Medium","Low"))</f>
        <v>High</v>
      </c>
      <c r="P96" s="3">
        <v>0.32</v>
      </c>
      <c r="Q96" s="2">
        <v>0.01</v>
      </c>
      <c r="R96" s="3">
        <v>0.01</v>
      </c>
      <c r="S96" s="3" t="str">
        <f>IF(Table1[[#This Row],[CGPA]]&gt;=3,"High",IF(R95&gt;=2,"Medium","Low"))</f>
        <v>Medium</v>
      </c>
      <c r="T96" s="2" t="s">
        <v>2</v>
      </c>
      <c r="U96" s="2" t="s">
        <v>1</v>
      </c>
      <c r="V96" s="2" t="s">
        <v>15</v>
      </c>
      <c r="W96" s="7">
        <v>0</v>
      </c>
      <c r="X96" t="str">
        <f t="shared" si="3"/>
        <v>Active</v>
      </c>
    </row>
    <row r="97" spans="1:24" x14ac:dyDescent="0.3">
      <c r="A97" s="2">
        <v>96</v>
      </c>
      <c r="B97" s="7">
        <v>17.8</v>
      </c>
      <c r="C97" s="2" t="s">
        <v>11</v>
      </c>
      <c r="D97" s="7">
        <f>IF(ISBLANK('Raw sheet'!D97),AVERAGE('Raw sheet'!$D$2:'Raw sheet'!$D$1500),'Raw sheet'!D97)</f>
        <v>25000</v>
      </c>
      <c r="E97" s="7" t="str">
        <f>IF(Table1[[#This Row],[Family_Income]]&gt;=100000,"Upper",IF(D97&gt;=50000,"Middle","Lower"))</f>
        <v>Lower</v>
      </c>
      <c r="F97" s="2" t="s">
        <v>4</v>
      </c>
      <c r="G97" s="3">
        <f>IF(ISBLANK('Raw sheet'!F97),AVERAGE('Raw sheet'!$F$2:'Raw sheet'!$F$1500),'Raw sheet'!F97)</f>
        <v>4.75</v>
      </c>
      <c r="H97" s="18">
        <v>79.900000000000006</v>
      </c>
      <c r="I97" s="9" t="str">
        <f t="shared" si="2"/>
        <v>Good</v>
      </c>
      <c r="J97" s="2">
        <v>0</v>
      </c>
      <c r="K97" s="2">
        <v>9</v>
      </c>
      <c r="L97" s="2" t="s">
        <v>3</v>
      </c>
      <c r="M97" s="2" t="s">
        <v>3</v>
      </c>
      <c r="N97" s="5">
        <f>IF(ISBLANK('Raw sheet'!L97),AVERAGE('Raw sheet'!$L$2:'Raw sheet'!$L$1500),'Raw sheet'!L97)</f>
        <v>3.8</v>
      </c>
      <c r="O97" s="5" t="str">
        <f>IF(Table1[[#This Row],[Stress_Index]]&gt;=8,"High",IF(N97&gt;=5,"Medium","Low"))</f>
        <v>Low</v>
      </c>
      <c r="P97" s="3">
        <v>0.31</v>
      </c>
      <c r="Q97" s="2">
        <v>0.4</v>
      </c>
      <c r="R97" s="3">
        <v>0.43</v>
      </c>
      <c r="S97" s="3" t="str">
        <f>IF(Table1[[#This Row],[CGPA]]&gt;=3,"High",IF(R96&gt;=2,"Medium","Low"))</f>
        <v>Low</v>
      </c>
      <c r="T97" s="2" t="s">
        <v>7</v>
      </c>
      <c r="U97" s="2" t="s">
        <v>14</v>
      </c>
      <c r="V97" s="2" t="s">
        <v>0</v>
      </c>
      <c r="W97" s="7">
        <v>1</v>
      </c>
      <c r="X97" t="str">
        <f t="shared" si="3"/>
        <v>Dropped Out</v>
      </c>
    </row>
    <row r="98" spans="1:24" x14ac:dyDescent="0.3">
      <c r="A98" s="2">
        <v>97</v>
      </c>
      <c r="B98" s="7">
        <v>21.7</v>
      </c>
      <c r="C98" s="2" t="s">
        <v>11</v>
      </c>
      <c r="D98" s="7">
        <f>IF(ISBLANK('Raw sheet'!D98),AVERAGE('Raw sheet'!$D$2:'Raw sheet'!$D$1500),'Raw sheet'!D98)</f>
        <v>38587.00282087447</v>
      </c>
      <c r="E98" s="7" t="str">
        <f>IF(Table1[[#This Row],[Family_Income]]&gt;=100000,"Upper",IF(D98&gt;=50000,"Middle","Lower"))</f>
        <v>Lower</v>
      </c>
      <c r="F98" s="2" t="s">
        <v>4</v>
      </c>
      <c r="G98" s="3">
        <f>IF(ISBLANK('Raw sheet'!F98),AVERAGE('Raw sheet'!$F$2:'Raw sheet'!$F$1500),'Raw sheet'!F98)</f>
        <v>4.0178702397743278</v>
      </c>
      <c r="H98" s="18">
        <v>74.5</v>
      </c>
      <c r="I98" s="9" t="str">
        <f t="shared" si="2"/>
        <v>Low</v>
      </c>
      <c r="J98" s="2">
        <v>0</v>
      </c>
      <c r="K98" s="2">
        <v>28.4</v>
      </c>
      <c r="L98" s="2" t="s">
        <v>4</v>
      </c>
      <c r="M98" s="2" t="s">
        <v>3</v>
      </c>
      <c r="N98" s="5">
        <f>IF(ISBLANK('Raw sheet'!L98),AVERAGE('Raw sheet'!$L$2:'Raw sheet'!$L$1500),'Raw sheet'!L98)</f>
        <v>5.5242595204513369</v>
      </c>
      <c r="O98" s="5" t="str">
        <f>IF(Table1[[#This Row],[Stress_Index]]&gt;=8,"High",IF(N98&gt;=5,"Medium","Low"))</f>
        <v>Medium</v>
      </c>
      <c r="P98" s="3">
        <v>1.52</v>
      </c>
      <c r="Q98" s="2">
        <v>1.5</v>
      </c>
      <c r="R98" s="3">
        <v>1.5</v>
      </c>
      <c r="S98" s="3" t="str">
        <f>IF(Table1[[#This Row],[CGPA]]&gt;=3,"High",IF(R97&gt;=2,"Medium","Low"))</f>
        <v>Low</v>
      </c>
      <c r="T98" s="2" t="s">
        <v>7</v>
      </c>
      <c r="U98" s="2" t="s">
        <v>14</v>
      </c>
      <c r="V98" s="2" t="s">
        <v>9</v>
      </c>
      <c r="W98" s="7">
        <v>0</v>
      </c>
      <c r="X98" t="str">
        <f t="shared" si="3"/>
        <v>Active</v>
      </c>
    </row>
    <row r="99" spans="1:24" x14ac:dyDescent="0.3">
      <c r="A99" s="2">
        <v>98</v>
      </c>
      <c r="B99" s="7">
        <v>21.6</v>
      </c>
      <c r="C99" s="2" t="s">
        <v>11</v>
      </c>
      <c r="D99" s="7">
        <f>IF(ISBLANK('Raw sheet'!D99),AVERAGE('Raw sheet'!$D$2:'Raw sheet'!$D$1500),'Raw sheet'!D99)</f>
        <v>29331</v>
      </c>
      <c r="E99" s="7" t="str">
        <f>IF(Table1[[#This Row],[Family_Income]]&gt;=100000,"Upper",IF(D99&gt;=50000,"Middle","Lower"))</f>
        <v>Lower</v>
      </c>
      <c r="F99" s="2" t="s">
        <v>3</v>
      </c>
      <c r="G99" s="3">
        <f>IF(ISBLANK('Raw sheet'!F99),AVERAGE('Raw sheet'!$F$2:'Raw sheet'!$F$1500),'Raw sheet'!F99)</f>
        <v>3.57</v>
      </c>
      <c r="H99" s="18">
        <v>95.7</v>
      </c>
      <c r="I99" s="9" t="str">
        <f t="shared" si="2"/>
        <v>Good</v>
      </c>
      <c r="J99" s="2">
        <v>4</v>
      </c>
      <c r="K99" s="2">
        <v>23.2</v>
      </c>
      <c r="L99" s="2" t="s">
        <v>3</v>
      </c>
      <c r="M99" s="2" t="s">
        <v>3</v>
      </c>
      <c r="N99" s="5">
        <f>IF(ISBLANK('Raw sheet'!L99),AVERAGE('Raw sheet'!$L$2:'Raw sheet'!$L$1500),'Raw sheet'!L99)</f>
        <v>4.9000000000000004</v>
      </c>
      <c r="O99" s="5" t="str">
        <f>IF(Table1[[#This Row],[Stress_Index]]&gt;=8,"High",IF(N99&gt;=5,"Medium","Low"))</f>
        <v>Low</v>
      </c>
      <c r="P99" s="3">
        <v>2.78</v>
      </c>
      <c r="Q99" s="2">
        <v>2.59</v>
      </c>
      <c r="R99" s="3">
        <v>2.62</v>
      </c>
      <c r="S99" s="3" t="str">
        <f>IF(Table1[[#This Row],[CGPA]]&gt;=3,"High",IF(R98&gt;=2,"Medium","Low"))</f>
        <v>Low</v>
      </c>
      <c r="T99" s="2" t="s">
        <v>12</v>
      </c>
      <c r="U99" s="2" t="s">
        <v>8</v>
      </c>
      <c r="V99" s="2" t="s">
        <v>16</v>
      </c>
      <c r="W99" s="7">
        <v>0</v>
      </c>
      <c r="X99" t="str">
        <f t="shared" si="3"/>
        <v>Active</v>
      </c>
    </row>
    <row r="100" spans="1:24" x14ac:dyDescent="0.3">
      <c r="A100" s="2">
        <v>99</v>
      </c>
      <c r="B100" s="7">
        <v>21</v>
      </c>
      <c r="C100" s="2" t="s">
        <v>11</v>
      </c>
      <c r="D100" s="7">
        <f>IF(ISBLANK('Raw sheet'!D100),AVERAGE('Raw sheet'!$D$2:'Raw sheet'!$D$1500),'Raw sheet'!D100)</f>
        <v>25000</v>
      </c>
      <c r="E100" s="7" t="str">
        <f>IF(Table1[[#This Row],[Family_Income]]&gt;=100000,"Upper",IF(D100&gt;=50000,"Middle","Lower"))</f>
        <v>Lower</v>
      </c>
      <c r="F100" s="2" t="s">
        <v>4</v>
      </c>
      <c r="G100" s="3">
        <f>IF(ISBLANK('Raw sheet'!F100),AVERAGE('Raw sheet'!$F$2:'Raw sheet'!$F$1500),'Raw sheet'!F100)</f>
        <v>1.48</v>
      </c>
      <c r="H100" s="18">
        <v>72.099999999999994</v>
      </c>
      <c r="I100" s="9" t="str">
        <f t="shared" si="2"/>
        <v>Low</v>
      </c>
      <c r="J100" s="2">
        <v>2</v>
      </c>
      <c r="K100" s="2">
        <v>45.7</v>
      </c>
      <c r="L100" s="2" t="s">
        <v>3</v>
      </c>
      <c r="M100" s="2" t="s">
        <v>4</v>
      </c>
      <c r="N100" s="5">
        <f>IF(ISBLANK('Raw sheet'!L100),AVERAGE('Raw sheet'!$L$2:'Raw sheet'!$L$1500),'Raw sheet'!L100)</f>
        <v>6.4</v>
      </c>
      <c r="O100" s="5" t="str">
        <f>IF(Table1[[#This Row],[Stress_Index]]&gt;=8,"High",IF(N100&gt;=5,"Medium","Low"))</f>
        <v>Medium</v>
      </c>
      <c r="P100" s="3">
        <v>1.86</v>
      </c>
      <c r="Q100" s="2">
        <v>2.13</v>
      </c>
      <c r="R100" s="3">
        <v>2.13</v>
      </c>
      <c r="S100" s="3" t="str">
        <f>IF(Table1[[#This Row],[CGPA]]&gt;=3,"High",IF(R99&gt;=2,"Medium","Low"))</f>
        <v>Medium</v>
      </c>
      <c r="T100" s="2" t="s">
        <v>2</v>
      </c>
      <c r="U100" s="2" t="s">
        <v>6</v>
      </c>
      <c r="V100" s="2" t="s">
        <v>16</v>
      </c>
      <c r="W100" s="7">
        <v>0</v>
      </c>
      <c r="X100" t="str">
        <f t="shared" si="3"/>
        <v>Active</v>
      </c>
    </row>
    <row r="101" spans="1:24" x14ac:dyDescent="0.3">
      <c r="A101" s="2">
        <v>100</v>
      </c>
      <c r="B101" s="7">
        <v>20.5</v>
      </c>
      <c r="C101" s="2" t="s">
        <v>11</v>
      </c>
      <c r="D101" s="7">
        <f>IF(ISBLANK('Raw sheet'!D101),AVERAGE('Raw sheet'!$D$2:'Raw sheet'!$D$1500),'Raw sheet'!D101)</f>
        <v>51391</v>
      </c>
      <c r="E101" s="7" t="str">
        <f>IF(Table1[[#This Row],[Family_Income]]&gt;=100000,"Upper",IF(D101&gt;=50000,"Middle","Lower"))</f>
        <v>Middle</v>
      </c>
      <c r="F101" s="2" t="s">
        <v>4</v>
      </c>
      <c r="G101" s="3">
        <f>IF(ISBLANK('Raw sheet'!F101),AVERAGE('Raw sheet'!$F$2:'Raw sheet'!$F$1500),'Raw sheet'!F101)</f>
        <v>2.6</v>
      </c>
      <c r="H101" s="18">
        <v>87.3</v>
      </c>
      <c r="I101" s="9" t="str">
        <f t="shared" si="2"/>
        <v>Good</v>
      </c>
      <c r="J101" s="2">
        <v>0</v>
      </c>
      <c r="K101" s="2">
        <v>14.1</v>
      </c>
      <c r="L101" s="2" t="s">
        <v>4</v>
      </c>
      <c r="M101" s="2" t="s">
        <v>4</v>
      </c>
      <c r="N101" s="5">
        <f>IF(ISBLANK('Raw sheet'!L101),AVERAGE('Raw sheet'!$L$2:'Raw sheet'!$L$1500),'Raw sheet'!L101)</f>
        <v>5.4</v>
      </c>
      <c r="O101" s="5" t="str">
        <f>IF(Table1[[#This Row],[Stress_Index]]&gt;=8,"High",IF(N101&gt;=5,"Medium","Low"))</f>
        <v>Medium</v>
      </c>
      <c r="P101" s="3">
        <v>1.29</v>
      </c>
      <c r="Q101" s="2">
        <v>1.4</v>
      </c>
      <c r="R101" s="3">
        <v>1.4</v>
      </c>
      <c r="S101" s="3" t="str">
        <f>IF(Table1[[#This Row],[CGPA]]&gt;=3,"High",IF(R100&gt;=2,"Medium","Low"))</f>
        <v>Medium</v>
      </c>
      <c r="T101" s="2" t="s">
        <v>12</v>
      </c>
      <c r="U101" s="2" t="s">
        <v>14</v>
      </c>
      <c r="V101" s="2" t="s">
        <v>15</v>
      </c>
      <c r="W101" s="7">
        <v>0</v>
      </c>
      <c r="X101" t="str">
        <f t="shared" si="3"/>
        <v>Active</v>
      </c>
    </row>
    <row r="102" spans="1:24" x14ac:dyDescent="0.3">
      <c r="A102" s="2">
        <v>101</v>
      </c>
      <c r="B102" s="7">
        <v>17.899999999999999</v>
      </c>
      <c r="C102" s="2" t="s">
        <v>5</v>
      </c>
      <c r="D102" s="7">
        <f>IF(ISBLANK('Raw sheet'!D102),AVERAGE('Raw sheet'!$D$2:'Raw sheet'!$D$1500),'Raw sheet'!D102)</f>
        <v>97535</v>
      </c>
      <c r="E102" s="7" t="str">
        <f>IF(Table1[[#This Row],[Family_Income]]&gt;=100000,"Upper",IF(D102&gt;=50000,"Middle","Lower"))</f>
        <v>Middle</v>
      </c>
      <c r="F102" s="2" t="s">
        <v>4</v>
      </c>
      <c r="G102" s="3">
        <f>IF(ISBLANK('Raw sheet'!F102),AVERAGE('Raw sheet'!$F$2:'Raw sheet'!$F$1500),'Raw sheet'!F102)</f>
        <v>6.19</v>
      </c>
      <c r="H102" s="18">
        <v>96.6</v>
      </c>
      <c r="I102" s="9" t="str">
        <f t="shared" si="2"/>
        <v>Good</v>
      </c>
      <c r="J102" s="2">
        <v>1</v>
      </c>
      <c r="K102" s="2">
        <v>24.2</v>
      </c>
      <c r="L102" s="2" t="s">
        <v>3</v>
      </c>
      <c r="M102" s="2" t="s">
        <v>4</v>
      </c>
      <c r="N102" s="5">
        <f>IF(ISBLANK('Raw sheet'!L102),AVERAGE('Raw sheet'!$L$2:'Raw sheet'!$L$1500),'Raw sheet'!L102)</f>
        <v>4.3</v>
      </c>
      <c r="O102" s="5" t="str">
        <f>IF(Table1[[#This Row],[Stress_Index]]&gt;=8,"High",IF(N102&gt;=5,"Medium","Low"))</f>
        <v>Low</v>
      </c>
      <c r="P102" s="3">
        <v>4</v>
      </c>
      <c r="Q102" s="2">
        <v>4</v>
      </c>
      <c r="R102" s="3">
        <v>4</v>
      </c>
      <c r="S102" s="3" t="str">
        <f>IF(Table1[[#This Row],[CGPA]]&gt;=3,"High",IF(R101&gt;=2,"Medium","Low"))</f>
        <v>High</v>
      </c>
      <c r="T102" s="2" t="s">
        <v>10</v>
      </c>
      <c r="U102" s="2" t="s">
        <v>8</v>
      </c>
      <c r="V102" s="2" t="s">
        <v>0</v>
      </c>
      <c r="W102" s="7">
        <v>1</v>
      </c>
      <c r="X102" t="str">
        <f t="shared" si="3"/>
        <v>Dropped Out</v>
      </c>
    </row>
    <row r="103" spans="1:24" x14ac:dyDescent="0.3">
      <c r="A103" s="2">
        <v>102</v>
      </c>
      <c r="B103" s="7">
        <v>20.100000000000001</v>
      </c>
      <c r="C103" s="2" t="s">
        <v>5</v>
      </c>
      <c r="D103" s="7">
        <f>IF(ISBLANK('Raw sheet'!D103),AVERAGE('Raw sheet'!$D$2:'Raw sheet'!$D$1500),'Raw sheet'!D103)</f>
        <v>38587.00282087447</v>
      </c>
      <c r="E103" s="7" t="str">
        <f>IF(Table1[[#This Row],[Family_Income]]&gt;=100000,"Upper",IF(D103&gt;=50000,"Middle","Lower"))</f>
        <v>Lower</v>
      </c>
      <c r="F103" s="2" t="s">
        <v>4</v>
      </c>
      <c r="G103" s="3">
        <f>IF(ISBLANK('Raw sheet'!F103),AVERAGE('Raw sheet'!$F$2:'Raw sheet'!$F$1500),'Raw sheet'!F103)</f>
        <v>4.0178702397743278</v>
      </c>
      <c r="H103" s="18">
        <v>80</v>
      </c>
      <c r="I103" s="9" t="str">
        <f t="shared" si="2"/>
        <v>Good</v>
      </c>
      <c r="J103" s="2">
        <v>2</v>
      </c>
      <c r="K103" s="2">
        <v>33.1</v>
      </c>
      <c r="L103" s="2" t="s">
        <v>4</v>
      </c>
      <c r="M103" s="2" t="s">
        <v>4</v>
      </c>
      <c r="N103" s="5">
        <f>IF(ISBLANK('Raw sheet'!L103),AVERAGE('Raw sheet'!$L$2:'Raw sheet'!$L$1500),'Raw sheet'!L103)</f>
        <v>5.5242595204513369</v>
      </c>
      <c r="O103" s="5" t="str">
        <f>IF(Table1[[#This Row],[Stress_Index]]&gt;=8,"High",IF(N103&gt;=5,"Medium","Low"))</f>
        <v>Medium</v>
      </c>
      <c r="P103" s="3">
        <v>2.2999999999999998</v>
      </c>
      <c r="Q103" s="2">
        <v>2.29</v>
      </c>
      <c r="R103" s="3">
        <v>2.2999999999999998</v>
      </c>
      <c r="S103" s="3" t="str">
        <f>IF(Table1[[#This Row],[CGPA]]&gt;=3,"High",IF(R102&gt;=2,"Medium","Low"))</f>
        <v>Medium</v>
      </c>
      <c r="T103" s="2" t="s">
        <v>10</v>
      </c>
      <c r="U103" s="2" t="s">
        <v>13</v>
      </c>
      <c r="V103" s="2" t="s">
        <v>15</v>
      </c>
      <c r="W103" s="7">
        <v>0</v>
      </c>
      <c r="X103" t="str">
        <f t="shared" si="3"/>
        <v>Active</v>
      </c>
    </row>
    <row r="104" spans="1:24" x14ac:dyDescent="0.3">
      <c r="A104" s="2">
        <v>103</v>
      </c>
      <c r="B104" s="7">
        <v>20.2</v>
      </c>
      <c r="C104" s="2" t="s">
        <v>11</v>
      </c>
      <c r="D104" s="7">
        <f>IF(ISBLANK('Raw sheet'!D104),AVERAGE('Raw sheet'!$D$2:'Raw sheet'!$D$1500),'Raw sheet'!D104)</f>
        <v>31276</v>
      </c>
      <c r="E104" s="7" t="str">
        <f>IF(Table1[[#This Row],[Family_Income]]&gt;=100000,"Upper",IF(D104&gt;=50000,"Middle","Lower"))</f>
        <v>Lower</v>
      </c>
      <c r="F104" s="2" t="s">
        <v>4</v>
      </c>
      <c r="G104" s="3">
        <f>IF(ISBLANK('Raw sheet'!F104),AVERAGE('Raw sheet'!$F$2:'Raw sheet'!$F$1500),'Raw sheet'!F104)</f>
        <v>4.59</v>
      </c>
      <c r="H104" s="18">
        <v>72.7</v>
      </c>
      <c r="I104" s="9" t="str">
        <f t="shared" si="2"/>
        <v>Low</v>
      </c>
      <c r="J104" s="2">
        <v>1</v>
      </c>
      <c r="K104" s="2">
        <v>59</v>
      </c>
      <c r="L104" s="2" t="s">
        <v>4</v>
      </c>
      <c r="M104" s="2" t="s">
        <v>3</v>
      </c>
      <c r="N104" s="5">
        <f>IF(ISBLANK('Raw sheet'!L104),AVERAGE('Raw sheet'!$L$2:'Raw sheet'!$L$1500),'Raw sheet'!L104)</f>
        <v>7.9</v>
      </c>
      <c r="O104" s="5" t="str">
        <f>IF(Table1[[#This Row],[Stress_Index]]&gt;=8,"High",IF(N104&gt;=5,"Medium","Low"))</f>
        <v>Medium</v>
      </c>
      <c r="P104" s="3">
        <v>2.1</v>
      </c>
      <c r="Q104" s="2">
        <v>2.2999999999999998</v>
      </c>
      <c r="R104" s="3">
        <v>2.2999999999999998</v>
      </c>
      <c r="S104" s="3" t="str">
        <f>IF(Table1[[#This Row],[CGPA]]&gt;=3,"High",IF(R103&gt;=2,"Medium","Low"))</f>
        <v>Medium</v>
      </c>
      <c r="T104" s="2" t="s">
        <v>2</v>
      </c>
      <c r="U104" s="2" t="s">
        <v>6</v>
      </c>
      <c r="V104" s="2" t="s">
        <v>9</v>
      </c>
      <c r="W104" s="7">
        <v>0</v>
      </c>
      <c r="X104" t="str">
        <f t="shared" si="3"/>
        <v>Active</v>
      </c>
    </row>
    <row r="105" spans="1:24" x14ac:dyDescent="0.3">
      <c r="A105" s="2">
        <v>104</v>
      </c>
      <c r="B105" s="7">
        <v>19.2</v>
      </c>
      <c r="C105" s="2" t="s">
        <v>11</v>
      </c>
      <c r="D105" s="7">
        <f>IF(ISBLANK('Raw sheet'!D105),AVERAGE('Raw sheet'!$D$2:'Raw sheet'!$D$1500),'Raw sheet'!D105)</f>
        <v>49497</v>
      </c>
      <c r="E105" s="7" t="str">
        <f>IF(Table1[[#This Row],[Family_Income]]&gt;=100000,"Upper",IF(D105&gt;=50000,"Middle","Lower"))</f>
        <v>Lower</v>
      </c>
      <c r="F105" s="2" t="s">
        <v>4</v>
      </c>
      <c r="G105" s="3">
        <f>IF(ISBLANK('Raw sheet'!F105),AVERAGE('Raw sheet'!$F$2:'Raw sheet'!$F$1500),'Raw sheet'!F105)</f>
        <v>4.51</v>
      </c>
      <c r="H105" s="18">
        <v>88.3</v>
      </c>
      <c r="I105" s="9" t="str">
        <f t="shared" si="2"/>
        <v>Good</v>
      </c>
      <c r="J105" s="2">
        <v>2</v>
      </c>
      <c r="K105" s="2">
        <v>53.5</v>
      </c>
      <c r="L105" s="2" t="s">
        <v>3</v>
      </c>
      <c r="M105" s="2" t="s">
        <v>4</v>
      </c>
      <c r="N105" s="5">
        <f>IF(ISBLANK('Raw sheet'!L105),AVERAGE('Raw sheet'!$L$2:'Raw sheet'!$L$1500),'Raw sheet'!L105)</f>
        <v>2.6</v>
      </c>
      <c r="O105" s="5" t="str">
        <f>IF(Table1[[#This Row],[Stress_Index]]&gt;=8,"High",IF(N105&gt;=5,"Medium","Low"))</f>
        <v>Low</v>
      </c>
      <c r="P105" s="3">
        <v>3.2</v>
      </c>
      <c r="Q105" s="2">
        <v>3.28</v>
      </c>
      <c r="R105" s="3">
        <v>3.24</v>
      </c>
      <c r="S105" s="3" t="str">
        <f>IF(Table1[[#This Row],[CGPA]]&gt;=3,"High",IF(R104&gt;=2,"Medium","Low"))</f>
        <v>High</v>
      </c>
      <c r="T105" s="2" t="s">
        <v>7</v>
      </c>
      <c r="U105" s="2" t="s">
        <v>8</v>
      </c>
      <c r="V105" s="2" t="s">
        <v>9</v>
      </c>
      <c r="W105" s="7">
        <v>0</v>
      </c>
      <c r="X105" t="str">
        <f t="shared" si="3"/>
        <v>Active</v>
      </c>
    </row>
    <row r="106" spans="1:24" x14ac:dyDescent="0.3">
      <c r="A106" s="2">
        <v>105</v>
      </c>
      <c r="B106" s="7">
        <v>20.6</v>
      </c>
      <c r="C106" s="2" t="s">
        <v>5</v>
      </c>
      <c r="D106" s="7">
        <f>IF(ISBLANK('Raw sheet'!D106),AVERAGE('Raw sheet'!$D$2:'Raw sheet'!$D$1500),'Raw sheet'!D106)</f>
        <v>25000</v>
      </c>
      <c r="E106" s="7" t="str">
        <f>IF(Table1[[#This Row],[Family_Income]]&gt;=100000,"Upper",IF(D106&gt;=50000,"Middle","Lower"))</f>
        <v>Lower</v>
      </c>
      <c r="F106" s="2" t="s">
        <v>4</v>
      </c>
      <c r="G106" s="3">
        <f>IF(ISBLANK('Raw sheet'!F106),AVERAGE('Raw sheet'!$F$2:'Raw sheet'!$F$1500),'Raw sheet'!F106)</f>
        <v>5.84</v>
      </c>
      <c r="H106" s="18">
        <v>71.2</v>
      </c>
      <c r="I106" s="9" t="str">
        <f t="shared" si="2"/>
        <v>Low</v>
      </c>
      <c r="J106" s="2">
        <v>2</v>
      </c>
      <c r="K106" s="2">
        <v>29.5</v>
      </c>
      <c r="L106" s="2" t="s">
        <v>3</v>
      </c>
      <c r="M106" s="2" t="s">
        <v>3</v>
      </c>
      <c r="N106" s="5">
        <f>IF(ISBLANK('Raw sheet'!L106),AVERAGE('Raw sheet'!$L$2:'Raw sheet'!$L$1500),'Raw sheet'!L106)</f>
        <v>4.3</v>
      </c>
      <c r="O106" s="5" t="str">
        <f>IF(Table1[[#This Row],[Stress_Index]]&gt;=8,"High",IF(N106&gt;=5,"Medium","Low"))</f>
        <v>Low</v>
      </c>
      <c r="P106" s="3">
        <v>1.92</v>
      </c>
      <c r="Q106" s="2">
        <v>1.95</v>
      </c>
      <c r="R106" s="3">
        <v>1.92</v>
      </c>
      <c r="S106" s="3" t="str">
        <f>IF(Table1[[#This Row],[CGPA]]&gt;=3,"High",IF(R105&gt;=2,"Medium","Low"))</f>
        <v>Medium</v>
      </c>
      <c r="T106" s="2" t="s">
        <v>7</v>
      </c>
      <c r="U106" s="2" t="s">
        <v>13</v>
      </c>
      <c r="V106" s="2" t="s">
        <v>9</v>
      </c>
      <c r="W106" s="7">
        <v>0</v>
      </c>
      <c r="X106" t="str">
        <f t="shared" si="3"/>
        <v>Active</v>
      </c>
    </row>
    <row r="107" spans="1:24" x14ac:dyDescent="0.3">
      <c r="A107" s="2">
        <v>106</v>
      </c>
      <c r="B107" s="7">
        <v>21.9</v>
      </c>
      <c r="C107" s="2" t="s">
        <v>5</v>
      </c>
      <c r="D107" s="7">
        <f>IF(ISBLANK('Raw sheet'!D107),AVERAGE('Raw sheet'!$D$2:'Raw sheet'!$D$1500),'Raw sheet'!D107)</f>
        <v>30245</v>
      </c>
      <c r="E107" s="7" t="str">
        <f>IF(Table1[[#This Row],[Family_Income]]&gt;=100000,"Upper",IF(D107&gt;=50000,"Middle","Lower"))</f>
        <v>Lower</v>
      </c>
      <c r="F107" s="2" t="s">
        <v>4</v>
      </c>
      <c r="G107" s="3">
        <f>IF(ISBLANK('Raw sheet'!F107),AVERAGE('Raw sheet'!$F$2:'Raw sheet'!$F$1500),'Raw sheet'!F107)</f>
        <v>4.42</v>
      </c>
      <c r="H107" s="18">
        <v>91.5</v>
      </c>
      <c r="I107" s="9" t="str">
        <f t="shared" si="2"/>
        <v>Good</v>
      </c>
      <c r="J107" s="2">
        <v>0</v>
      </c>
      <c r="K107" s="2">
        <v>34.200000000000003</v>
      </c>
      <c r="L107" s="2" t="s">
        <v>4</v>
      </c>
      <c r="M107" s="2" t="s">
        <v>3</v>
      </c>
      <c r="N107" s="5">
        <f>IF(ISBLANK('Raw sheet'!L107),AVERAGE('Raw sheet'!$L$2:'Raw sheet'!$L$1500),'Raw sheet'!L107)</f>
        <v>6.4</v>
      </c>
      <c r="O107" s="5" t="str">
        <f>IF(Table1[[#This Row],[Stress_Index]]&gt;=8,"High",IF(N107&gt;=5,"Medium","Low"))</f>
        <v>Medium</v>
      </c>
      <c r="P107" s="3">
        <v>1.36</v>
      </c>
      <c r="Q107" s="2">
        <v>1.01</v>
      </c>
      <c r="R107" s="3">
        <v>1.01</v>
      </c>
      <c r="S107" s="3" t="str">
        <f>IF(Table1[[#This Row],[CGPA]]&gt;=3,"High",IF(R106&gt;=2,"Medium","Low"))</f>
        <v>Low</v>
      </c>
      <c r="T107" s="2" t="s">
        <v>2</v>
      </c>
      <c r="U107" s="2" t="s">
        <v>1</v>
      </c>
      <c r="V107" s="2" t="s">
        <v>17</v>
      </c>
      <c r="W107" s="7">
        <v>0</v>
      </c>
      <c r="X107" t="str">
        <f t="shared" si="3"/>
        <v>Active</v>
      </c>
    </row>
    <row r="108" spans="1:24" x14ac:dyDescent="0.3">
      <c r="A108" s="2">
        <v>107</v>
      </c>
      <c r="B108" s="7">
        <v>25.1</v>
      </c>
      <c r="C108" s="2" t="s">
        <v>5</v>
      </c>
      <c r="D108" s="7">
        <f>IF(ISBLANK('Raw sheet'!D108),AVERAGE('Raw sheet'!$D$2:'Raw sheet'!$D$1500),'Raw sheet'!D108)</f>
        <v>38587.00282087447</v>
      </c>
      <c r="E108" s="7" t="str">
        <f>IF(Table1[[#This Row],[Family_Income]]&gt;=100000,"Upper",IF(D108&gt;=50000,"Middle","Lower"))</f>
        <v>Lower</v>
      </c>
      <c r="F108" s="2" t="s">
        <v>4</v>
      </c>
      <c r="G108" s="3">
        <f>IF(ISBLANK('Raw sheet'!F108),AVERAGE('Raw sheet'!$F$2:'Raw sheet'!$F$1500),'Raw sheet'!F108)</f>
        <v>4.0178702397743278</v>
      </c>
      <c r="H108" s="18">
        <v>97.9</v>
      </c>
      <c r="I108" s="9" t="str">
        <f t="shared" si="2"/>
        <v>Good</v>
      </c>
      <c r="J108" s="2">
        <v>4</v>
      </c>
      <c r="K108" s="2">
        <v>37.200000000000003</v>
      </c>
      <c r="L108" s="2" t="s">
        <v>4</v>
      </c>
      <c r="M108" s="2" t="s">
        <v>4</v>
      </c>
      <c r="N108" s="5">
        <f>IF(ISBLANK('Raw sheet'!L108),AVERAGE('Raw sheet'!$L$2:'Raw sheet'!$L$1500),'Raw sheet'!L108)</f>
        <v>5.5242595204513369</v>
      </c>
      <c r="O108" s="5" t="str">
        <f>IF(Table1[[#This Row],[Stress_Index]]&gt;=8,"High",IF(N108&gt;=5,"Medium","Low"))</f>
        <v>Medium</v>
      </c>
      <c r="P108" s="3">
        <v>3.55</v>
      </c>
      <c r="Q108" s="2">
        <v>3.36</v>
      </c>
      <c r="R108" s="3">
        <v>3.36</v>
      </c>
      <c r="S108" s="3" t="str">
        <f>IF(Table1[[#This Row],[CGPA]]&gt;=3,"High",IF(R107&gt;=2,"Medium","Low"))</f>
        <v>High</v>
      </c>
      <c r="T108" s="2" t="s">
        <v>2</v>
      </c>
      <c r="U108" s="2" t="s">
        <v>6</v>
      </c>
      <c r="V108" s="2" t="s">
        <v>0</v>
      </c>
      <c r="W108" s="7">
        <v>1</v>
      </c>
      <c r="X108" t="str">
        <f t="shared" si="3"/>
        <v>Dropped Out</v>
      </c>
    </row>
    <row r="109" spans="1:24" x14ac:dyDescent="0.3">
      <c r="A109" s="2">
        <v>108</v>
      </c>
      <c r="B109" s="7">
        <v>21.4</v>
      </c>
      <c r="C109" s="2" t="s">
        <v>5</v>
      </c>
      <c r="D109" s="7">
        <f>IF(ISBLANK('Raw sheet'!D109),AVERAGE('Raw sheet'!$D$2:'Raw sheet'!$D$1500),'Raw sheet'!D109)</f>
        <v>38587.00282087447</v>
      </c>
      <c r="E109" s="7" t="str">
        <f>IF(Table1[[#This Row],[Family_Income]]&gt;=100000,"Upper",IF(D109&gt;=50000,"Middle","Lower"))</f>
        <v>Lower</v>
      </c>
      <c r="F109" s="2" t="s">
        <v>4</v>
      </c>
      <c r="G109" s="3">
        <f>IF(ISBLANK('Raw sheet'!F109),AVERAGE('Raw sheet'!$F$2:'Raw sheet'!$F$1500),'Raw sheet'!F109)</f>
        <v>4.0178702397743278</v>
      </c>
      <c r="H109" s="18">
        <v>63</v>
      </c>
      <c r="I109" s="9" t="str">
        <f t="shared" si="2"/>
        <v>Low</v>
      </c>
      <c r="J109" s="2">
        <v>3</v>
      </c>
      <c r="K109" s="2">
        <v>17.899999999999999</v>
      </c>
      <c r="L109" s="2" t="s">
        <v>4</v>
      </c>
      <c r="M109" s="2" t="s">
        <v>3</v>
      </c>
      <c r="N109" s="5">
        <f>IF(ISBLANK('Raw sheet'!L109),AVERAGE('Raw sheet'!$L$2:'Raw sheet'!$L$1500),'Raw sheet'!L109)</f>
        <v>5.5242595204513369</v>
      </c>
      <c r="O109" s="5" t="str">
        <f>IF(Table1[[#This Row],[Stress_Index]]&gt;=8,"High",IF(N109&gt;=5,"Medium","Low"))</f>
        <v>Medium</v>
      </c>
      <c r="P109" s="3">
        <v>1.82</v>
      </c>
      <c r="Q109" s="2">
        <v>1.72</v>
      </c>
      <c r="R109" s="3">
        <v>1.66</v>
      </c>
      <c r="S109" s="3" t="str">
        <f>IF(Table1[[#This Row],[CGPA]]&gt;=3,"High",IF(R108&gt;=2,"Medium","Low"))</f>
        <v>Medium</v>
      </c>
      <c r="T109" s="2" t="s">
        <v>12</v>
      </c>
      <c r="U109" s="2" t="s">
        <v>6</v>
      </c>
      <c r="V109" s="2" t="s">
        <v>15</v>
      </c>
      <c r="W109" s="7">
        <v>1</v>
      </c>
      <c r="X109" t="str">
        <f t="shared" si="3"/>
        <v>Dropped Out</v>
      </c>
    </row>
    <row r="110" spans="1:24" x14ac:dyDescent="0.3">
      <c r="A110" s="2">
        <v>109</v>
      </c>
      <c r="B110" s="7">
        <v>21.6</v>
      </c>
      <c r="C110" s="2" t="s">
        <v>5</v>
      </c>
      <c r="D110" s="7">
        <f>IF(ISBLANK('Raw sheet'!D110),AVERAGE('Raw sheet'!$D$2:'Raw sheet'!$D$1500),'Raw sheet'!D110)</f>
        <v>38587.00282087447</v>
      </c>
      <c r="E110" s="7" t="str">
        <f>IF(Table1[[#This Row],[Family_Income]]&gt;=100000,"Upper",IF(D110&gt;=50000,"Middle","Lower"))</f>
        <v>Lower</v>
      </c>
      <c r="F110" s="2" t="s">
        <v>3</v>
      </c>
      <c r="G110" s="3">
        <f>IF(ISBLANK('Raw sheet'!F110),AVERAGE('Raw sheet'!$F$2:'Raw sheet'!$F$1500),'Raw sheet'!F110)</f>
        <v>4.0178702397743278</v>
      </c>
      <c r="H110" s="18">
        <v>95.3</v>
      </c>
      <c r="I110" s="9" t="str">
        <f t="shared" si="2"/>
        <v>Good</v>
      </c>
      <c r="J110" s="2">
        <v>1</v>
      </c>
      <c r="K110" s="2">
        <v>30.1</v>
      </c>
      <c r="L110" s="2" t="s">
        <v>3</v>
      </c>
      <c r="M110" s="2" t="s">
        <v>3</v>
      </c>
      <c r="N110" s="5">
        <f>IF(ISBLANK('Raw sheet'!L110),AVERAGE('Raw sheet'!$L$2:'Raw sheet'!$L$1500),'Raw sheet'!L110)</f>
        <v>5.5242595204513369</v>
      </c>
      <c r="O110" s="5" t="str">
        <f>IF(Table1[[#This Row],[Stress_Index]]&gt;=8,"High",IF(N110&gt;=5,"Medium","Low"))</f>
        <v>Medium</v>
      </c>
      <c r="P110" s="3">
        <v>1.35</v>
      </c>
      <c r="Q110" s="2">
        <v>1.44</v>
      </c>
      <c r="R110" s="3">
        <v>1.55</v>
      </c>
      <c r="S110" s="3" t="str">
        <f>IF(Table1[[#This Row],[CGPA]]&gt;=3,"High",IF(R109&gt;=2,"Medium","Low"))</f>
        <v>Low</v>
      </c>
      <c r="T110" s="2" t="s">
        <v>12</v>
      </c>
      <c r="U110" s="2" t="s">
        <v>13</v>
      </c>
      <c r="V110" s="2" t="s">
        <v>9</v>
      </c>
      <c r="W110" s="7">
        <v>0</v>
      </c>
      <c r="X110" t="str">
        <f t="shared" si="3"/>
        <v>Active</v>
      </c>
    </row>
    <row r="111" spans="1:24" x14ac:dyDescent="0.3">
      <c r="A111" s="2">
        <v>110</v>
      </c>
      <c r="B111" s="7">
        <v>20.8</v>
      </c>
      <c r="C111" s="2" t="s">
        <v>11</v>
      </c>
      <c r="D111" s="7">
        <f>IF(ISBLANK('Raw sheet'!D111),AVERAGE('Raw sheet'!$D$2:'Raw sheet'!$D$1500),'Raw sheet'!D111)</f>
        <v>26596</v>
      </c>
      <c r="E111" s="7" t="str">
        <f>IF(Table1[[#This Row],[Family_Income]]&gt;=100000,"Upper",IF(D111&gt;=50000,"Middle","Lower"))</f>
        <v>Lower</v>
      </c>
      <c r="F111" s="2" t="s">
        <v>4</v>
      </c>
      <c r="G111" s="3">
        <f>IF(ISBLANK('Raw sheet'!F111),AVERAGE('Raw sheet'!$F$2:'Raw sheet'!$F$1500),'Raw sheet'!F111)</f>
        <v>3.64</v>
      </c>
      <c r="H111" s="18">
        <v>87.1</v>
      </c>
      <c r="I111" s="9" t="str">
        <f t="shared" si="2"/>
        <v>Good</v>
      </c>
      <c r="J111" s="2">
        <v>2</v>
      </c>
      <c r="K111" s="2">
        <v>46.3</v>
      </c>
      <c r="L111" s="2" t="s">
        <v>3</v>
      </c>
      <c r="M111" s="2" t="s">
        <v>3</v>
      </c>
      <c r="N111" s="5">
        <f>IF(ISBLANK('Raw sheet'!L111),AVERAGE('Raw sheet'!$L$2:'Raw sheet'!$L$1500),'Raw sheet'!L111)</f>
        <v>6.6</v>
      </c>
      <c r="O111" s="5" t="str">
        <f>IF(Table1[[#This Row],[Stress_Index]]&gt;=8,"High",IF(N111&gt;=5,"Medium","Low"))</f>
        <v>Medium</v>
      </c>
      <c r="P111" s="3">
        <v>1.59</v>
      </c>
      <c r="Q111" s="2">
        <v>1.43</v>
      </c>
      <c r="R111" s="3">
        <v>1.43</v>
      </c>
      <c r="S111" s="3" t="str">
        <f>IF(Table1[[#This Row],[CGPA]]&gt;=3,"High",IF(R110&gt;=2,"Medium","Low"))</f>
        <v>Low</v>
      </c>
      <c r="T111" s="2" t="s">
        <v>12</v>
      </c>
      <c r="U111" s="2" t="s">
        <v>8</v>
      </c>
      <c r="V111" s="2" t="s">
        <v>9</v>
      </c>
      <c r="W111" s="7">
        <v>0</v>
      </c>
      <c r="X111" t="str">
        <f t="shared" si="3"/>
        <v>Active</v>
      </c>
    </row>
    <row r="112" spans="1:24" x14ac:dyDescent="0.3">
      <c r="A112" s="2">
        <v>111</v>
      </c>
      <c r="B112" s="7">
        <v>17</v>
      </c>
      <c r="C112" s="2" t="s">
        <v>11</v>
      </c>
      <c r="D112" s="7">
        <f>IF(ISBLANK('Raw sheet'!D112),AVERAGE('Raw sheet'!$D$2:'Raw sheet'!$D$1500),'Raw sheet'!D112)</f>
        <v>28669</v>
      </c>
      <c r="E112" s="7" t="str">
        <f>IF(Table1[[#This Row],[Family_Income]]&gt;=100000,"Upper",IF(D112&gt;=50000,"Middle","Lower"))</f>
        <v>Lower</v>
      </c>
      <c r="F112" s="2" t="s">
        <v>3</v>
      </c>
      <c r="G112" s="3">
        <f>IF(ISBLANK('Raw sheet'!F112),AVERAGE('Raw sheet'!$F$2:'Raw sheet'!$F$1500),'Raw sheet'!F112)</f>
        <v>6.21</v>
      </c>
      <c r="H112" s="18">
        <v>93.1</v>
      </c>
      <c r="I112" s="9" t="str">
        <f t="shared" si="2"/>
        <v>Good</v>
      </c>
      <c r="J112" s="2">
        <v>0</v>
      </c>
      <c r="K112" s="2">
        <v>31.7</v>
      </c>
      <c r="L112" s="2" t="s">
        <v>3</v>
      </c>
      <c r="M112" s="2" t="s">
        <v>4</v>
      </c>
      <c r="N112" s="5">
        <f>IF(ISBLANK('Raw sheet'!L112),AVERAGE('Raw sheet'!$L$2:'Raw sheet'!$L$1500),'Raw sheet'!L112)</f>
        <v>6.4</v>
      </c>
      <c r="O112" s="5" t="str">
        <f>IF(Table1[[#This Row],[Stress_Index]]&gt;=8,"High",IF(N112&gt;=5,"Medium","Low"))</f>
        <v>Medium</v>
      </c>
      <c r="P112" s="3">
        <v>3.82</v>
      </c>
      <c r="Q112" s="2">
        <v>4</v>
      </c>
      <c r="R112" s="3">
        <v>4</v>
      </c>
      <c r="S112" s="3" t="str">
        <f>IF(Table1[[#This Row],[CGPA]]&gt;=3,"High",IF(R111&gt;=2,"Medium","Low"))</f>
        <v>High</v>
      </c>
      <c r="T112" s="2" t="s">
        <v>2</v>
      </c>
      <c r="U112" s="2" t="s">
        <v>8</v>
      </c>
      <c r="V112" s="2" t="s">
        <v>9</v>
      </c>
      <c r="W112" s="7">
        <v>0</v>
      </c>
      <c r="X112" t="str">
        <f t="shared" si="3"/>
        <v>Active</v>
      </c>
    </row>
    <row r="113" spans="1:24" x14ac:dyDescent="0.3">
      <c r="A113" s="2">
        <v>112</v>
      </c>
      <c r="B113" s="7">
        <v>20.9</v>
      </c>
      <c r="C113" s="2" t="s">
        <v>5</v>
      </c>
      <c r="D113" s="7">
        <f>IF(ISBLANK('Raw sheet'!D113),AVERAGE('Raw sheet'!$D$2:'Raw sheet'!$D$1500),'Raw sheet'!D113)</f>
        <v>25000</v>
      </c>
      <c r="E113" s="7" t="str">
        <f>IF(Table1[[#This Row],[Family_Income]]&gt;=100000,"Upper",IF(D113&gt;=50000,"Middle","Lower"))</f>
        <v>Lower</v>
      </c>
      <c r="F113" s="2" t="s">
        <v>3</v>
      </c>
      <c r="G113" s="3">
        <f>IF(ISBLANK('Raw sheet'!F113),AVERAGE('Raw sheet'!$F$2:'Raw sheet'!$F$1500),'Raw sheet'!F113)</f>
        <v>2.63</v>
      </c>
      <c r="H113" s="18">
        <v>76.8</v>
      </c>
      <c r="I113" s="9" t="str">
        <f t="shared" si="2"/>
        <v>Good</v>
      </c>
      <c r="J113" s="2">
        <v>1</v>
      </c>
      <c r="K113" s="2">
        <v>53.4</v>
      </c>
      <c r="L113" s="2" t="s">
        <v>4</v>
      </c>
      <c r="M113" s="2" t="s">
        <v>3</v>
      </c>
      <c r="N113" s="5">
        <f>IF(ISBLANK('Raw sheet'!L113),AVERAGE('Raw sheet'!$L$2:'Raw sheet'!$L$1500),'Raw sheet'!L113)</f>
        <v>6.8</v>
      </c>
      <c r="O113" s="5" t="str">
        <f>IF(Table1[[#This Row],[Stress_Index]]&gt;=8,"High",IF(N113&gt;=5,"Medium","Low"))</f>
        <v>Medium</v>
      </c>
      <c r="P113" s="3">
        <v>0.96</v>
      </c>
      <c r="Q113" s="2">
        <v>1.19</v>
      </c>
      <c r="R113" s="3">
        <v>1.19</v>
      </c>
      <c r="S113" s="3" t="str">
        <f>IF(Table1[[#This Row],[CGPA]]&gt;=3,"High",IF(R112&gt;=2,"Medium","Low"))</f>
        <v>Medium</v>
      </c>
      <c r="T113" s="2" t="s">
        <v>2</v>
      </c>
      <c r="U113" s="2" t="s">
        <v>8</v>
      </c>
      <c r="V113" s="2" t="s">
        <v>9</v>
      </c>
      <c r="W113" s="7">
        <v>1</v>
      </c>
      <c r="X113" t="str">
        <f t="shared" si="3"/>
        <v>Dropped Out</v>
      </c>
    </row>
    <row r="114" spans="1:24" x14ac:dyDescent="0.3">
      <c r="A114" s="2">
        <v>113</v>
      </c>
      <c r="B114" s="7">
        <v>21.1</v>
      </c>
      <c r="C114" s="2" t="s">
        <v>11</v>
      </c>
      <c r="D114" s="7">
        <f>IF(ISBLANK('Raw sheet'!D114),AVERAGE('Raw sheet'!$D$2:'Raw sheet'!$D$1500),'Raw sheet'!D114)</f>
        <v>104579</v>
      </c>
      <c r="E114" s="7" t="str">
        <f>IF(Table1[[#This Row],[Family_Income]]&gt;=100000,"Upper",IF(D114&gt;=50000,"Middle","Lower"))</f>
        <v>Upper</v>
      </c>
      <c r="F114" s="2" t="s">
        <v>4</v>
      </c>
      <c r="G114" s="3">
        <f>IF(ISBLANK('Raw sheet'!F114),AVERAGE('Raw sheet'!$F$2:'Raw sheet'!$F$1500),'Raw sheet'!F114)</f>
        <v>3.34</v>
      </c>
      <c r="H114" s="18">
        <v>87</v>
      </c>
      <c r="I114" s="9" t="str">
        <f t="shared" si="2"/>
        <v>Good</v>
      </c>
      <c r="J114" s="2">
        <v>2</v>
      </c>
      <c r="K114" s="2">
        <v>24.7</v>
      </c>
      <c r="L114" s="2" t="s">
        <v>4</v>
      </c>
      <c r="M114" s="2" t="s">
        <v>3</v>
      </c>
      <c r="N114" s="5">
        <f>IF(ISBLANK('Raw sheet'!L114),AVERAGE('Raw sheet'!$L$2:'Raw sheet'!$L$1500),'Raw sheet'!L114)</f>
        <v>6.1</v>
      </c>
      <c r="O114" s="5" t="str">
        <f>IF(Table1[[#This Row],[Stress_Index]]&gt;=8,"High",IF(N114&gt;=5,"Medium","Low"))</f>
        <v>Medium</v>
      </c>
      <c r="P114" s="3">
        <v>2.4700000000000002</v>
      </c>
      <c r="Q114" s="2">
        <v>2.67</v>
      </c>
      <c r="R114" s="3">
        <v>2.68</v>
      </c>
      <c r="S114" s="3" t="str">
        <f>IF(Table1[[#This Row],[CGPA]]&gt;=3,"High",IF(R113&gt;=2,"Medium","Low"))</f>
        <v>Low</v>
      </c>
      <c r="T114" s="2" t="s">
        <v>10</v>
      </c>
      <c r="U114" s="2" t="s">
        <v>13</v>
      </c>
      <c r="V114" s="2" t="s">
        <v>0</v>
      </c>
      <c r="W114" s="7">
        <v>0</v>
      </c>
      <c r="X114" t="str">
        <f t="shared" si="3"/>
        <v>Active</v>
      </c>
    </row>
    <row r="115" spans="1:24" x14ac:dyDescent="0.3">
      <c r="A115" s="2">
        <v>114</v>
      </c>
      <c r="B115" s="7">
        <v>26.4</v>
      </c>
      <c r="C115" s="2" t="s">
        <v>11</v>
      </c>
      <c r="D115" s="7">
        <f>IF(ISBLANK('Raw sheet'!D115),AVERAGE('Raw sheet'!$D$2:'Raw sheet'!$D$1500),'Raw sheet'!D115)</f>
        <v>25000</v>
      </c>
      <c r="E115" s="7" t="str">
        <f>IF(Table1[[#This Row],[Family_Income]]&gt;=100000,"Upper",IF(D115&gt;=50000,"Middle","Lower"))</f>
        <v>Lower</v>
      </c>
      <c r="F115" s="2" t="s">
        <v>4</v>
      </c>
      <c r="G115" s="3">
        <f>IF(ISBLANK('Raw sheet'!F115),AVERAGE('Raw sheet'!$F$2:'Raw sheet'!$F$1500),'Raw sheet'!F115)</f>
        <v>1.63</v>
      </c>
      <c r="H115" s="18">
        <v>83.9</v>
      </c>
      <c r="I115" s="9" t="str">
        <f t="shared" si="2"/>
        <v>Good</v>
      </c>
      <c r="J115" s="2">
        <v>2</v>
      </c>
      <c r="K115" s="2">
        <v>28.9</v>
      </c>
      <c r="L115" s="2" t="s">
        <v>3</v>
      </c>
      <c r="M115" s="2" t="s">
        <v>3</v>
      </c>
      <c r="N115" s="5">
        <f>IF(ISBLANK('Raw sheet'!L115),AVERAGE('Raw sheet'!$L$2:'Raw sheet'!$L$1500),'Raw sheet'!L115)</f>
        <v>4.9000000000000004</v>
      </c>
      <c r="O115" s="5" t="str">
        <f>IF(Table1[[#This Row],[Stress_Index]]&gt;=8,"High",IF(N115&gt;=5,"Medium","Low"))</f>
        <v>Low</v>
      </c>
      <c r="P115" s="3">
        <v>1.34</v>
      </c>
      <c r="Q115" s="2">
        <v>2.12</v>
      </c>
      <c r="R115" s="3">
        <v>2.13</v>
      </c>
      <c r="S115" s="3" t="str">
        <f>IF(Table1[[#This Row],[CGPA]]&gt;=3,"High",IF(R114&gt;=2,"Medium","Low"))</f>
        <v>Medium</v>
      </c>
      <c r="T115" s="2" t="s">
        <v>12</v>
      </c>
      <c r="U115" s="2" t="s">
        <v>1</v>
      </c>
      <c r="V115" s="2" t="s">
        <v>15</v>
      </c>
      <c r="W115" s="7">
        <v>1</v>
      </c>
      <c r="X115" t="str">
        <f t="shared" si="3"/>
        <v>Dropped Out</v>
      </c>
    </row>
    <row r="116" spans="1:24" x14ac:dyDescent="0.3">
      <c r="A116" s="2">
        <v>115</v>
      </c>
      <c r="B116" s="7">
        <v>20.6</v>
      </c>
      <c r="C116" s="2" t="s">
        <v>5</v>
      </c>
      <c r="D116" s="7">
        <f>IF(ISBLANK('Raw sheet'!D116),AVERAGE('Raw sheet'!$D$2:'Raw sheet'!$D$1500),'Raw sheet'!D116)</f>
        <v>25000</v>
      </c>
      <c r="E116" s="7" t="str">
        <f>IF(Table1[[#This Row],[Family_Income]]&gt;=100000,"Upper",IF(D116&gt;=50000,"Middle","Lower"))</f>
        <v>Lower</v>
      </c>
      <c r="F116" s="2" t="s">
        <v>4</v>
      </c>
      <c r="G116" s="3">
        <f>IF(ISBLANK('Raw sheet'!F116),AVERAGE('Raw sheet'!$F$2:'Raw sheet'!$F$1500),'Raw sheet'!F116)</f>
        <v>5.31</v>
      </c>
      <c r="H116" s="18">
        <v>75.7</v>
      </c>
      <c r="I116" s="9" t="str">
        <f t="shared" si="2"/>
        <v>Good</v>
      </c>
      <c r="J116" s="2">
        <v>1</v>
      </c>
      <c r="K116" s="2">
        <v>29</v>
      </c>
      <c r="L116" s="2" t="s">
        <v>4</v>
      </c>
      <c r="M116" s="2" t="s">
        <v>3</v>
      </c>
      <c r="N116" s="5">
        <f>IF(ISBLANK('Raw sheet'!L116),AVERAGE('Raw sheet'!$L$2:'Raw sheet'!$L$1500),'Raw sheet'!L116)</f>
        <v>7.2</v>
      </c>
      <c r="O116" s="5" t="str">
        <f>IF(Table1[[#This Row],[Stress_Index]]&gt;=8,"High",IF(N116&gt;=5,"Medium","Low"))</f>
        <v>Medium</v>
      </c>
      <c r="P116" s="3">
        <v>1.81</v>
      </c>
      <c r="Q116" s="2">
        <v>1.49</v>
      </c>
      <c r="R116" s="3">
        <v>1.49</v>
      </c>
      <c r="S116" s="3" t="str">
        <f>IF(Table1[[#This Row],[CGPA]]&gt;=3,"High",IF(R115&gt;=2,"Medium","Low"))</f>
        <v>Medium</v>
      </c>
      <c r="T116" s="2" t="s">
        <v>7</v>
      </c>
      <c r="U116" s="2" t="s">
        <v>8</v>
      </c>
      <c r="V116" s="2" t="s">
        <v>15</v>
      </c>
      <c r="W116" s="7">
        <v>0</v>
      </c>
      <c r="X116" t="str">
        <f t="shared" si="3"/>
        <v>Active</v>
      </c>
    </row>
    <row r="117" spans="1:24" x14ac:dyDescent="0.3">
      <c r="A117" s="2">
        <v>116</v>
      </c>
      <c r="B117" s="7">
        <v>21.7</v>
      </c>
      <c r="C117" s="2" t="s">
        <v>5</v>
      </c>
      <c r="D117" s="7">
        <f>IF(ISBLANK('Raw sheet'!D117),AVERAGE('Raw sheet'!$D$2:'Raw sheet'!$D$1500),'Raw sheet'!D117)</f>
        <v>28108</v>
      </c>
      <c r="E117" s="7" t="str">
        <f>IF(Table1[[#This Row],[Family_Income]]&gt;=100000,"Upper",IF(D117&gt;=50000,"Middle","Lower"))</f>
        <v>Lower</v>
      </c>
      <c r="F117" s="2" t="s">
        <v>4</v>
      </c>
      <c r="G117" s="3">
        <f>IF(ISBLANK('Raw sheet'!F117),AVERAGE('Raw sheet'!$F$2:'Raw sheet'!$F$1500),'Raw sheet'!F117)</f>
        <v>4.45</v>
      </c>
      <c r="H117" s="18">
        <v>79.2</v>
      </c>
      <c r="I117" s="9" t="str">
        <f t="shared" si="2"/>
        <v>Good</v>
      </c>
      <c r="J117" s="2">
        <v>3</v>
      </c>
      <c r="K117" s="2">
        <v>14.4</v>
      </c>
      <c r="L117" s="2" t="s">
        <v>3</v>
      </c>
      <c r="M117" s="2" t="s">
        <v>4</v>
      </c>
      <c r="N117" s="5">
        <f>IF(ISBLANK('Raw sheet'!L117),AVERAGE('Raw sheet'!$L$2:'Raw sheet'!$L$1500),'Raw sheet'!L117)</f>
        <v>4.5999999999999996</v>
      </c>
      <c r="O117" s="5" t="str">
        <f>IF(Table1[[#This Row],[Stress_Index]]&gt;=8,"High",IF(N117&gt;=5,"Medium","Low"))</f>
        <v>Low</v>
      </c>
      <c r="P117" s="3">
        <v>3.06</v>
      </c>
      <c r="Q117" s="2">
        <v>2.83</v>
      </c>
      <c r="R117" s="3">
        <v>2.83</v>
      </c>
      <c r="S117" s="3" t="str">
        <f>IF(Table1[[#This Row],[CGPA]]&gt;=3,"High",IF(R116&gt;=2,"Medium","Low"))</f>
        <v>Low</v>
      </c>
      <c r="T117" s="2" t="s">
        <v>2</v>
      </c>
      <c r="U117" s="2" t="s">
        <v>8</v>
      </c>
      <c r="V117" s="2" t="s">
        <v>9</v>
      </c>
      <c r="W117" s="7">
        <v>0</v>
      </c>
      <c r="X117" t="str">
        <f t="shared" si="3"/>
        <v>Active</v>
      </c>
    </row>
    <row r="118" spans="1:24" x14ac:dyDescent="0.3">
      <c r="A118" s="2">
        <v>117</v>
      </c>
      <c r="B118" s="7">
        <v>20.9</v>
      </c>
      <c r="C118" s="2" t="s">
        <v>11</v>
      </c>
      <c r="D118" s="7">
        <f>IF(ISBLANK('Raw sheet'!D118),AVERAGE('Raw sheet'!$D$2:'Raw sheet'!$D$1500),'Raw sheet'!D118)</f>
        <v>51263</v>
      </c>
      <c r="E118" s="7" t="str">
        <f>IF(Table1[[#This Row],[Family_Income]]&gt;=100000,"Upper",IF(D118&gt;=50000,"Middle","Lower"))</f>
        <v>Middle</v>
      </c>
      <c r="F118" s="2" t="s">
        <v>4</v>
      </c>
      <c r="G118" s="3">
        <f>IF(ISBLANK('Raw sheet'!F118),AVERAGE('Raw sheet'!$F$2:'Raw sheet'!$F$1500),'Raw sheet'!F118)</f>
        <v>6.26</v>
      </c>
      <c r="H118" s="18">
        <v>86.6</v>
      </c>
      <c r="I118" s="9" t="str">
        <f t="shared" si="2"/>
        <v>Good</v>
      </c>
      <c r="J118" s="2">
        <v>0</v>
      </c>
      <c r="K118" s="2">
        <v>43.3</v>
      </c>
      <c r="L118" s="2" t="s">
        <v>3</v>
      </c>
      <c r="M118" s="2" t="s">
        <v>4</v>
      </c>
      <c r="N118" s="5">
        <f>IF(ISBLANK('Raw sheet'!L118),AVERAGE('Raw sheet'!$L$2:'Raw sheet'!$L$1500),'Raw sheet'!L118)</f>
        <v>5.2</v>
      </c>
      <c r="O118" s="5" t="str">
        <f>IF(Table1[[#This Row],[Stress_Index]]&gt;=8,"High",IF(N118&gt;=5,"Medium","Low"))</f>
        <v>Medium</v>
      </c>
      <c r="P118" s="3">
        <v>2.4500000000000002</v>
      </c>
      <c r="Q118" s="2">
        <v>2.48</v>
      </c>
      <c r="R118" s="3">
        <v>2.48</v>
      </c>
      <c r="S118" s="3" t="str">
        <f>IF(Table1[[#This Row],[CGPA]]&gt;=3,"High",IF(R117&gt;=2,"Medium","Low"))</f>
        <v>Medium</v>
      </c>
      <c r="T118" s="2" t="s">
        <v>7</v>
      </c>
      <c r="U118" s="2" t="s">
        <v>14</v>
      </c>
      <c r="V118" s="2" t="s">
        <v>15</v>
      </c>
      <c r="W118" s="7">
        <v>0</v>
      </c>
      <c r="X118" t="str">
        <f t="shared" si="3"/>
        <v>Active</v>
      </c>
    </row>
    <row r="119" spans="1:24" x14ac:dyDescent="0.3">
      <c r="A119" s="2">
        <v>118</v>
      </c>
      <c r="B119" s="7">
        <v>18.399999999999999</v>
      </c>
      <c r="C119" s="2" t="s">
        <v>11</v>
      </c>
      <c r="D119" s="7">
        <f>IF(ISBLANK('Raw sheet'!D119),AVERAGE('Raw sheet'!$D$2:'Raw sheet'!$D$1500),'Raw sheet'!D119)</f>
        <v>30045</v>
      </c>
      <c r="E119" s="7" t="str">
        <f>IF(Table1[[#This Row],[Family_Income]]&gt;=100000,"Upper",IF(D119&gt;=50000,"Middle","Lower"))</f>
        <v>Lower</v>
      </c>
      <c r="F119" s="2" t="s">
        <v>3</v>
      </c>
      <c r="G119" s="3">
        <f>IF(ISBLANK('Raw sheet'!F119),AVERAGE('Raw sheet'!$F$2:'Raw sheet'!$F$1500),'Raw sheet'!F119)</f>
        <v>3.17</v>
      </c>
      <c r="H119" s="18">
        <v>73</v>
      </c>
      <c r="I119" s="9" t="str">
        <f t="shared" si="2"/>
        <v>Low</v>
      </c>
      <c r="J119" s="2">
        <v>2</v>
      </c>
      <c r="K119" s="2">
        <v>26</v>
      </c>
      <c r="L119" s="2" t="s">
        <v>4</v>
      </c>
      <c r="M119" s="2" t="s">
        <v>3</v>
      </c>
      <c r="N119" s="5">
        <f>IF(ISBLANK('Raw sheet'!L119),AVERAGE('Raw sheet'!$L$2:'Raw sheet'!$L$1500),'Raw sheet'!L119)</f>
        <v>2.5</v>
      </c>
      <c r="O119" s="5" t="str">
        <f>IF(Table1[[#This Row],[Stress_Index]]&gt;=8,"High",IF(N119&gt;=5,"Medium","Low"))</f>
        <v>Low</v>
      </c>
      <c r="P119" s="3">
        <v>3.4</v>
      </c>
      <c r="Q119" s="2">
        <v>2.71</v>
      </c>
      <c r="R119" s="3">
        <v>2.69</v>
      </c>
      <c r="S119" s="3" t="str">
        <f>IF(Table1[[#This Row],[CGPA]]&gt;=3,"High",IF(R118&gt;=2,"Medium","Low"))</f>
        <v>Medium</v>
      </c>
      <c r="T119" s="2" t="s">
        <v>7</v>
      </c>
      <c r="U119" s="2" t="s">
        <v>13</v>
      </c>
      <c r="V119" s="2" t="s">
        <v>0</v>
      </c>
      <c r="W119" s="7">
        <v>0</v>
      </c>
      <c r="X119" t="str">
        <f t="shared" si="3"/>
        <v>Active</v>
      </c>
    </row>
    <row r="120" spans="1:24" x14ac:dyDescent="0.3">
      <c r="A120" s="2">
        <v>119</v>
      </c>
      <c r="B120" s="7">
        <v>23.5</v>
      </c>
      <c r="C120" s="2" t="s">
        <v>5</v>
      </c>
      <c r="D120" s="7">
        <f>IF(ISBLANK('Raw sheet'!D120),AVERAGE('Raw sheet'!$D$2:'Raw sheet'!$D$1500),'Raw sheet'!D120)</f>
        <v>39789</v>
      </c>
      <c r="E120" s="7" t="str">
        <f>IF(Table1[[#This Row],[Family_Income]]&gt;=100000,"Upper",IF(D120&gt;=50000,"Middle","Lower"))</f>
        <v>Lower</v>
      </c>
      <c r="F120" s="2" t="s">
        <v>4</v>
      </c>
      <c r="G120" s="3">
        <f>IF(ISBLANK('Raw sheet'!F120),AVERAGE('Raw sheet'!$F$2:'Raw sheet'!$F$1500),'Raw sheet'!F120)</f>
        <v>2.97</v>
      </c>
      <c r="H120" s="18">
        <v>72.400000000000006</v>
      </c>
      <c r="I120" s="9" t="str">
        <f t="shared" si="2"/>
        <v>Low</v>
      </c>
      <c r="J120" s="2">
        <v>2</v>
      </c>
      <c r="K120" s="2">
        <v>33.1</v>
      </c>
      <c r="L120" s="2" t="s">
        <v>4</v>
      </c>
      <c r="M120" s="2" t="s">
        <v>4</v>
      </c>
      <c r="N120" s="5">
        <f>IF(ISBLANK('Raw sheet'!L120),AVERAGE('Raw sheet'!$L$2:'Raw sheet'!$L$1500),'Raw sheet'!L120)</f>
        <v>4.5999999999999996</v>
      </c>
      <c r="O120" s="5" t="str">
        <f>IF(Table1[[#This Row],[Stress_Index]]&gt;=8,"High",IF(N120&gt;=5,"Medium","Low"))</f>
        <v>Low</v>
      </c>
      <c r="P120" s="3">
        <v>2.9</v>
      </c>
      <c r="Q120" s="2">
        <v>2.99</v>
      </c>
      <c r="R120" s="3">
        <v>2.96</v>
      </c>
      <c r="S120" s="3" t="str">
        <f>IF(Table1[[#This Row],[CGPA]]&gt;=3,"High",IF(R119&gt;=2,"Medium","Low"))</f>
        <v>Medium</v>
      </c>
      <c r="T120" s="2" t="s">
        <v>10</v>
      </c>
      <c r="U120" s="2" t="s">
        <v>13</v>
      </c>
      <c r="V120" s="2" t="s">
        <v>9</v>
      </c>
      <c r="W120" s="7">
        <v>0</v>
      </c>
      <c r="X120" t="str">
        <f t="shared" si="3"/>
        <v>Active</v>
      </c>
    </row>
    <row r="121" spans="1:24" x14ac:dyDescent="0.3">
      <c r="A121" s="2">
        <v>120</v>
      </c>
      <c r="B121" s="7">
        <v>22.7</v>
      </c>
      <c r="C121" s="2" t="s">
        <v>11</v>
      </c>
      <c r="D121" s="7">
        <f>IF(ISBLANK('Raw sheet'!D121),AVERAGE('Raw sheet'!$D$2:'Raw sheet'!$D$1500),'Raw sheet'!D121)</f>
        <v>38587.00282087447</v>
      </c>
      <c r="E121" s="7" t="str">
        <f>IF(Table1[[#This Row],[Family_Income]]&gt;=100000,"Upper",IF(D121&gt;=50000,"Middle","Lower"))</f>
        <v>Lower</v>
      </c>
      <c r="F121" s="2" t="s">
        <v>4</v>
      </c>
      <c r="G121" s="3">
        <f>IF(ISBLANK('Raw sheet'!F121),AVERAGE('Raw sheet'!$F$2:'Raw sheet'!$F$1500),'Raw sheet'!F121)</f>
        <v>4.0178702397743278</v>
      </c>
      <c r="H121" s="18">
        <v>56.8</v>
      </c>
      <c r="I121" s="9" t="str">
        <f t="shared" si="2"/>
        <v>Low</v>
      </c>
      <c r="J121" s="2">
        <v>0</v>
      </c>
      <c r="K121" s="2">
        <v>22.8</v>
      </c>
      <c r="L121" s="2" t="s">
        <v>4</v>
      </c>
      <c r="M121" s="2" t="s">
        <v>4</v>
      </c>
      <c r="N121" s="5">
        <f>IF(ISBLANK('Raw sheet'!L121),AVERAGE('Raw sheet'!$L$2:'Raw sheet'!$L$1500),'Raw sheet'!L121)</f>
        <v>5.5242595204513369</v>
      </c>
      <c r="O121" s="5" t="str">
        <f>IF(Table1[[#This Row],[Stress_Index]]&gt;=8,"High",IF(N121&gt;=5,"Medium","Low"))</f>
        <v>Medium</v>
      </c>
      <c r="P121" s="3">
        <v>0.5</v>
      </c>
      <c r="Q121" s="2">
        <v>0</v>
      </c>
      <c r="R121" s="3">
        <v>0</v>
      </c>
      <c r="S121" s="3" t="str">
        <f>IF(Table1[[#This Row],[CGPA]]&gt;=3,"High",IF(R120&gt;=2,"Medium","Low"))</f>
        <v>Medium</v>
      </c>
      <c r="T121" s="2" t="s">
        <v>2</v>
      </c>
      <c r="U121" s="2" t="s">
        <v>6</v>
      </c>
      <c r="V121" s="2" t="s">
        <v>0</v>
      </c>
      <c r="W121" s="7">
        <v>0</v>
      </c>
      <c r="X121" t="str">
        <f t="shared" si="3"/>
        <v>Active</v>
      </c>
    </row>
    <row r="122" spans="1:24" x14ac:dyDescent="0.3">
      <c r="A122" s="2">
        <v>121</v>
      </c>
      <c r="B122" s="7">
        <v>22.7</v>
      </c>
      <c r="C122" s="2" t="s">
        <v>5</v>
      </c>
      <c r="D122" s="7">
        <f>IF(ISBLANK('Raw sheet'!D122),AVERAGE('Raw sheet'!$D$2:'Raw sheet'!$D$1500),'Raw sheet'!D122)</f>
        <v>72592</v>
      </c>
      <c r="E122" s="7" t="str">
        <f>IF(Table1[[#This Row],[Family_Income]]&gt;=100000,"Upper",IF(D122&gt;=50000,"Middle","Lower"))</f>
        <v>Middle</v>
      </c>
      <c r="F122" s="2" t="s">
        <v>3</v>
      </c>
      <c r="G122" s="3">
        <f>IF(ISBLANK('Raw sheet'!F122),AVERAGE('Raw sheet'!$F$2:'Raw sheet'!$F$1500),'Raw sheet'!F122)</f>
        <v>4.59</v>
      </c>
      <c r="H122" s="18">
        <v>75.8</v>
      </c>
      <c r="I122" s="9" t="str">
        <f t="shared" si="2"/>
        <v>Good</v>
      </c>
      <c r="J122" s="2">
        <v>3</v>
      </c>
      <c r="K122" s="2">
        <v>50.7</v>
      </c>
      <c r="L122" s="2" t="s">
        <v>3</v>
      </c>
      <c r="M122" s="2" t="s">
        <v>4</v>
      </c>
      <c r="N122" s="5">
        <f>IF(ISBLANK('Raw sheet'!L122),AVERAGE('Raw sheet'!$L$2:'Raw sheet'!$L$1500),'Raw sheet'!L122)</f>
        <v>5.5</v>
      </c>
      <c r="O122" s="5" t="str">
        <f>IF(Table1[[#This Row],[Stress_Index]]&gt;=8,"High",IF(N122&gt;=5,"Medium","Low"))</f>
        <v>Medium</v>
      </c>
      <c r="P122" s="3">
        <v>2.31</v>
      </c>
      <c r="Q122" s="2">
        <v>1.81</v>
      </c>
      <c r="R122" s="3">
        <v>1.83</v>
      </c>
      <c r="S122" s="3" t="str">
        <f>IF(Table1[[#This Row],[CGPA]]&gt;=3,"High",IF(R121&gt;=2,"Medium","Low"))</f>
        <v>Low</v>
      </c>
      <c r="T122" s="2" t="s">
        <v>12</v>
      </c>
      <c r="U122" s="2" t="s">
        <v>1</v>
      </c>
      <c r="V122" s="2" t="s">
        <v>9</v>
      </c>
      <c r="W122" s="7">
        <v>1</v>
      </c>
      <c r="X122" t="str">
        <f t="shared" si="3"/>
        <v>Dropped Out</v>
      </c>
    </row>
    <row r="123" spans="1:24" x14ac:dyDescent="0.3">
      <c r="A123" s="2">
        <v>122</v>
      </c>
      <c r="B123" s="7">
        <v>19</v>
      </c>
      <c r="C123" s="2" t="s">
        <v>5</v>
      </c>
      <c r="D123" s="7">
        <f>IF(ISBLANK('Raw sheet'!D123),AVERAGE('Raw sheet'!$D$2:'Raw sheet'!$D$1500),'Raw sheet'!D123)</f>
        <v>41649</v>
      </c>
      <c r="E123" s="7" t="str">
        <f>IF(Table1[[#This Row],[Family_Income]]&gt;=100000,"Upper",IF(D123&gt;=50000,"Middle","Lower"))</f>
        <v>Lower</v>
      </c>
      <c r="F123" s="2" t="s">
        <v>4</v>
      </c>
      <c r="G123" s="3">
        <f>IF(ISBLANK('Raw sheet'!F123),AVERAGE('Raw sheet'!$F$2:'Raw sheet'!$F$1500),'Raw sheet'!F123)</f>
        <v>3.54</v>
      </c>
      <c r="H123" s="18">
        <v>84.3</v>
      </c>
      <c r="I123" s="9" t="str">
        <f t="shared" si="2"/>
        <v>Good</v>
      </c>
      <c r="J123" s="2">
        <v>4</v>
      </c>
      <c r="K123" s="2">
        <v>44.8</v>
      </c>
      <c r="L123" s="2" t="s">
        <v>3</v>
      </c>
      <c r="M123" s="2" t="s">
        <v>3</v>
      </c>
      <c r="N123" s="5">
        <f>IF(ISBLANK('Raw sheet'!L123),AVERAGE('Raw sheet'!$L$2:'Raw sheet'!$L$1500),'Raw sheet'!L123)</f>
        <v>7.2</v>
      </c>
      <c r="O123" s="5" t="str">
        <f>IF(Table1[[#This Row],[Stress_Index]]&gt;=8,"High",IF(N123&gt;=5,"Medium","Low"))</f>
        <v>Medium</v>
      </c>
      <c r="P123" s="3">
        <v>2.54</v>
      </c>
      <c r="Q123" s="2">
        <v>2.61</v>
      </c>
      <c r="R123" s="3">
        <v>2.67</v>
      </c>
      <c r="S123" s="3" t="str">
        <f>IF(Table1[[#This Row],[CGPA]]&gt;=3,"High",IF(R122&gt;=2,"Medium","Low"))</f>
        <v>Low</v>
      </c>
      <c r="T123" s="2" t="s">
        <v>12</v>
      </c>
      <c r="U123" s="2" t="s">
        <v>6</v>
      </c>
      <c r="V123" s="2" t="s">
        <v>17</v>
      </c>
      <c r="W123" s="7">
        <v>1</v>
      </c>
      <c r="X123" t="str">
        <f t="shared" si="3"/>
        <v>Dropped Out</v>
      </c>
    </row>
    <row r="124" spans="1:24" x14ac:dyDescent="0.3">
      <c r="A124" s="2">
        <v>123</v>
      </c>
      <c r="B124" s="7">
        <v>24.1</v>
      </c>
      <c r="C124" s="2" t="s">
        <v>5</v>
      </c>
      <c r="D124" s="7">
        <f>IF(ISBLANK('Raw sheet'!D124),AVERAGE('Raw sheet'!$D$2:'Raw sheet'!$D$1500),'Raw sheet'!D124)</f>
        <v>55749</v>
      </c>
      <c r="E124" s="7" t="str">
        <f>IF(Table1[[#This Row],[Family_Income]]&gt;=100000,"Upper",IF(D124&gt;=50000,"Middle","Lower"))</f>
        <v>Middle</v>
      </c>
      <c r="F124" s="2" t="s">
        <v>4</v>
      </c>
      <c r="G124" s="3">
        <f>IF(ISBLANK('Raw sheet'!F124),AVERAGE('Raw sheet'!$F$2:'Raw sheet'!$F$1500),'Raw sheet'!F124)</f>
        <v>4.3899999999999997</v>
      </c>
      <c r="H124" s="18">
        <v>77.900000000000006</v>
      </c>
      <c r="I124" s="9" t="str">
        <f t="shared" si="2"/>
        <v>Good</v>
      </c>
      <c r="J124" s="2">
        <v>0</v>
      </c>
      <c r="K124" s="2">
        <v>30.7</v>
      </c>
      <c r="L124" s="2" t="s">
        <v>3</v>
      </c>
      <c r="M124" s="2" t="s">
        <v>3</v>
      </c>
      <c r="N124" s="5">
        <f>IF(ISBLANK('Raw sheet'!L124),AVERAGE('Raw sheet'!$L$2:'Raw sheet'!$L$1500),'Raw sheet'!L124)</f>
        <v>4.7</v>
      </c>
      <c r="O124" s="5" t="str">
        <f>IF(Table1[[#This Row],[Stress_Index]]&gt;=8,"High",IF(N124&gt;=5,"Medium","Low"))</f>
        <v>Low</v>
      </c>
      <c r="P124" s="3">
        <v>0</v>
      </c>
      <c r="Q124" s="2">
        <v>0</v>
      </c>
      <c r="R124" s="3">
        <v>0</v>
      </c>
      <c r="S124" s="3" t="str">
        <f>IF(Table1[[#This Row],[CGPA]]&gt;=3,"High",IF(R123&gt;=2,"Medium","Low"))</f>
        <v>Medium</v>
      </c>
      <c r="T124" s="2" t="s">
        <v>7</v>
      </c>
      <c r="U124" s="2" t="s">
        <v>1</v>
      </c>
      <c r="V124" s="2" t="s">
        <v>9</v>
      </c>
      <c r="W124" s="7">
        <v>0</v>
      </c>
      <c r="X124" t="str">
        <f t="shared" si="3"/>
        <v>Active</v>
      </c>
    </row>
    <row r="125" spans="1:24" x14ac:dyDescent="0.3">
      <c r="A125" s="2">
        <v>124</v>
      </c>
      <c r="B125" s="7">
        <v>17.899999999999999</v>
      </c>
      <c r="C125" s="2" t="s">
        <v>5</v>
      </c>
      <c r="D125" s="7">
        <f>IF(ISBLANK('Raw sheet'!D125),AVERAGE('Raw sheet'!$D$2:'Raw sheet'!$D$1500),'Raw sheet'!D125)</f>
        <v>37016</v>
      </c>
      <c r="E125" s="7" t="str">
        <f>IF(Table1[[#This Row],[Family_Income]]&gt;=100000,"Upper",IF(D125&gt;=50000,"Middle","Lower"))</f>
        <v>Lower</v>
      </c>
      <c r="F125" s="2" t="s">
        <v>4</v>
      </c>
      <c r="G125" s="3">
        <f>IF(ISBLANK('Raw sheet'!F125),AVERAGE('Raw sheet'!$F$2:'Raw sheet'!$F$1500),'Raw sheet'!F125)</f>
        <v>3.45</v>
      </c>
      <c r="H125" s="18">
        <v>92.2</v>
      </c>
      <c r="I125" s="9" t="str">
        <f t="shared" si="2"/>
        <v>Good</v>
      </c>
      <c r="J125" s="2">
        <v>1</v>
      </c>
      <c r="K125" s="2">
        <v>15.3</v>
      </c>
      <c r="L125" s="2" t="s">
        <v>4</v>
      </c>
      <c r="M125" s="2" t="s">
        <v>3</v>
      </c>
      <c r="N125" s="5">
        <f>IF(ISBLANK('Raw sheet'!L125),AVERAGE('Raw sheet'!$L$2:'Raw sheet'!$L$1500),'Raw sheet'!L125)</f>
        <v>4.8</v>
      </c>
      <c r="O125" s="5" t="str">
        <f>IF(Table1[[#This Row],[Stress_Index]]&gt;=8,"High",IF(N125&gt;=5,"Medium","Low"))</f>
        <v>Low</v>
      </c>
      <c r="P125" s="3">
        <v>1.42</v>
      </c>
      <c r="Q125" s="2">
        <v>1.18</v>
      </c>
      <c r="R125" s="3">
        <v>1.18</v>
      </c>
      <c r="S125" s="3" t="str">
        <f>IF(Table1[[#This Row],[CGPA]]&gt;=3,"High",IF(R124&gt;=2,"Medium","Low"))</f>
        <v>Low</v>
      </c>
      <c r="T125" s="2" t="s">
        <v>2</v>
      </c>
      <c r="U125" s="2" t="s">
        <v>14</v>
      </c>
      <c r="V125" s="2" t="s">
        <v>9</v>
      </c>
      <c r="W125" s="7">
        <v>0</v>
      </c>
      <c r="X125" t="str">
        <f t="shared" si="3"/>
        <v>Active</v>
      </c>
    </row>
    <row r="126" spans="1:24" x14ac:dyDescent="0.3">
      <c r="A126" s="2">
        <v>125</v>
      </c>
      <c r="B126" s="7">
        <v>22.3</v>
      </c>
      <c r="C126" s="2" t="s">
        <v>11</v>
      </c>
      <c r="D126" s="7">
        <f>IF(ISBLANK('Raw sheet'!D126),AVERAGE('Raw sheet'!$D$2:'Raw sheet'!$D$1500),'Raw sheet'!D126)</f>
        <v>48773</v>
      </c>
      <c r="E126" s="7" t="str">
        <f>IF(Table1[[#This Row],[Family_Income]]&gt;=100000,"Upper",IF(D126&gt;=50000,"Middle","Lower"))</f>
        <v>Lower</v>
      </c>
      <c r="F126" s="2" t="s">
        <v>4</v>
      </c>
      <c r="G126" s="3">
        <f>IF(ISBLANK('Raw sheet'!F126),AVERAGE('Raw sheet'!$F$2:'Raw sheet'!$F$1500),'Raw sheet'!F126)</f>
        <v>5.87</v>
      </c>
      <c r="H126" s="18">
        <v>70.400000000000006</v>
      </c>
      <c r="I126" s="9" t="str">
        <f t="shared" si="2"/>
        <v>Low</v>
      </c>
      <c r="J126" s="2">
        <v>2</v>
      </c>
      <c r="K126" s="2">
        <v>38.9</v>
      </c>
      <c r="L126" s="2" t="s">
        <v>3</v>
      </c>
      <c r="M126" s="2" t="s">
        <v>3</v>
      </c>
      <c r="N126" s="5">
        <f>IF(ISBLANK('Raw sheet'!L126),AVERAGE('Raw sheet'!$L$2:'Raw sheet'!$L$1500),'Raw sheet'!L126)</f>
        <v>4.5</v>
      </c>
      <c r="O126" s="5" t="str">
        <f>IF(Table1[[#This Row],[Stress_Index]]&gt;=8,"High",IF(N126&gt;=5,"Medium","Low"))</f>
        <v>Low</v>
      </c>
      <c r="P126" s="3">
        <v>1.96</v>
      </c>
      <c r="Q126" s="2">
        <v>1.85</v>
      </c>
      <c r="R126" s="3">
        <v>1.87</v>
      </c>
      <c r="S126" s="3" t="str">
        <f>IF(Table1[[#This Row],[CGPA]]&gt;=3,"High",IF(R125&gt;=2,"Medium","Low"))</f>
        <v>Low</v>
      </c>
      <c r="T126" s="2" t="s">
        <v>7</v>
      </c>
      <c r="U126" s="2" t="s">
        <v>1</v>
      </c>
      <c r="V126" s="2" t="s">
        <v>15</v>
      </c>
      <c r="W126" s="7">
        <v>1</v>
      </c>
      <c r="X126" t="str">
        <f t="shared" si="3"/>
        <v>Dropped Out</v>
      </c>
    </row>
    <row r="127" spans="1:24" x14ac:dyDescent="0.3">
      <c r="A127" s="2">
        <v>126</v>
      </c>
      <c r="B127" s="7">
        <v>25.8</v>
      </c>
      <c r="C127" s="2" t="s">
        <v>11</v>
      </c>
      <c r="D127" s="7">
        <f>IF(ISBLANK('Raw sheet'!D127),AVERAGE('Raw sheet'!$D$2:'Raw sheet'!$D$1500),'Raw sheet'!D127)</f>
        <v>25000</v>
      </c>
      <c r="E127" s="7" t="str">
        <f>IF(Table1[[#This Row],[Family_Income]]&gt;=100000,"Upper",IF(D127&gt;=50000,"Middle","Lower"))</f>
        <v>Lower</v>
      </c>
      <c r="F127" s="2" t="s">
        <v>4</v>
      </c>
      <c r="G127" s="3">
        <f>IF(ISBLANK('Raw sheet'!F127),AVERAGE('Raw sheet'!$F$2:'Raw sheet'!$F$1500),'Raw sheet'!F127)</f>
        <v>5.64</v>
      </c>
      <c r="H127" s="18">
        <v>86.1</v>
      </c>
      <c r="I127" s="9" t="str">
        <f t="shared" si="2"/>
        <v>Good</v>
      </c>
      <c r="J127" s="2">
        <v>3</v>
      </c>
      <c r="K127" s="2">
        <v>43</v>
      </c>
      <c r="L127" s="2" t="s">
        <v>4</v>
      </c>
      <c r="M127" s="2" t="s">
        <v>3</v>
      </c>
      <c r="N127" s="5">
        <f>IF(ISBLANK('Raw sheet'!L127),AVERAGE('Raw sheet'!$L$2:'Raw sheet'!$L$1500),'Raw sheet'!L127)</f>
        <v>5.9</v>
      </c>
      <c r="O127" s="5" t="str">
        <f>IF(Table1[[#This Row],[Stress_Index]]&gt;=8,"High",IF(N127&gt;=5,"Medium","Low"))</f>
        <v>Medium</v>
      </c>
      <c r="P127" s="3">
        <v>3.4</v>
      </c>
      <c r="Q127" s="2">
        <v>3.39</v>
      </c>
      <c r="R127" s="3">
        <v>3.41</v>
      </c>
      <c r="S127" s="3" t="str">
        <f>IF(Table1[[#This Row],[CGPA]]&gt;=3,"High",IF(R126&gt;=2,"Medium","Low"))</f>
        <v>High</v>
      </c>
      <c r="T127" s="2" t="s">
        <v>7</v>
      </c>
      <c r="U127" s="2" t="s">
        <v>13</v>
      </c>
      <c r="V127" s="2" t="s">
        <v>0</v>
      </c>
      <c r="W127" s="7">
        <v>0</v>
      </c>
      <c r="X127" t="str">
        <f t="shared" si="3"/>
        <v>Active</v>
      </c>
    </row>
    <row r="128" spans="1:24" x14ac:dyDescent="0.3">
      <c r="A128" s="2">
        <v>127</v>
      </c>
      <c r="B128" s="7">
        <v>18.8</v>
      </c>
      <c r="C128" s="2" t="s">
        <v>5</v>
      </c>
      <c r="D128" s="7">
        <f>IF(ISBLANK('Raw sheet'!D128),AVERAGE('Raw sheet'!$D$2:'Raw sheet'!$D$1500),'Raw sheet'!D128)</f>
        <v>25000</v>
      </c>
      <c r="E128" s="7" t="str">
        <f>IF(Table1[[#This Row],[Family_Income]]&gt;=100000,"Upper",IF(D128&gt;=50000,"Middle","Lower"))</f>
        <v>Lower</v>
      </c>
      <c r="F128" s="2" t="s">
        <v>4</v>
      </c>
      <c r="G128" s="3">
        <f>IF(ISBLANK('Raw sheet'!F128),AVERAGE('Raw sheet'!$F$2:'Raw sheet'!$F$1500),'Raw sheet'!F128)</f>
        <v>4.1100000000000003</v>
      </c>
      <c r="H128" s="18">
        <v>79.099999999999994</v>
      </c>
      <c r="I128" s="9" t="str">
        <f t="shared" si="2"/>
        <v>Good</v>
      </c>
      <c r="J128" s="2">
        <v>1</v>
      </c>
      <c r="K128" s="2">
        <v>18.899999999999999</v>
      </c>
      <c r="L128" s="2" t="s">
        <v>4</v>
      </c>
      <c r="M128" s="2" t="s">
        <v>3</v>
      </c>
      <c r="N128" s="5">
        <f>IF(ISBLANK('Raw sheet'!L128),AVERAGE('Raw sheet'!$L$2:'Raw sheet'!$L$1500),'Raw sheet'!L128)</f>
        <v>8.3000000000000007</v>
      </c>
      <c r="O128" s="5" t="str">
        <f>IF(Table1[[#This Row],[Stress_Index]]&gt;=8,"High",IF(N128&gt;=5,"Medium","Low"))</f>
        <v>High</v>
      </c>
      <c r="P128" s="3">
        <v>2.14</v>
      </c>
      <c r="Q128" s="2">
        <v>1.9</v>
      </c>
      <c r="R128" s="3">
        <v>1.92</v>
      </c>
      <c r="S128" s="3" t="str">
        <f>IF(Table1[[#This Row],[CGPA]]&gt;=3,"High",IF(R127&gt;=2,"Medium","Low"))</f>
        <v>Medium</v>
      </c>
      <c r="T128" s="2" t="s">
        <v>12</v>
      </c>
      <c r="U128" s="2" t="s">
        <v>14</v>
      </c>
      <c r="V128" s="2" t="s">
        <v>0</v>
      </c>
      <c r="W128" s="7">
        <v>0</v>
      </c>
      <c r="X128" t="str">
        <f t="shared" si="3"/>
        <v>Active</v>
      </c>
    </row>
    <row r="129" spans="1:24" x14ac:dyDescent="0.3">
      <c r="A129" s="2">
        <v>128</v>
      </c>
      <c r="B129" s="7">
        <v>19.8</v>
      </c>
      <c r="C129" s="2" t="s">
        <v>11</v>
      </c>
      <c r="D129" s="7">
        <f>IF(ISBLANK('Raw sheet'!D129),AVERAGE('Raw sheet'!$D$2:'Raw sheet'!$D$1500),'Raw sheet'!D129)</f>
        <v>66695</v>
      </c>
      <c r="E129" s="7" t="str">
        <f>IF(Table1[[#This Row],[Family_Income]]&gt;=100000,"Upper",IF(D129&gt;=50000,"Middle","Lower"))</f>
        <v>Middle</v>
      </c>
      <c r="F129" s="2" t="s">
        <v>4</v>
      </c>
      <c r="G129" s="3">
        <f>IF(ISBLANK('Raw sheet'!F129),AVERAGE('Raw sheet'!$F$2:'Raw sheet'!$F$1500),'Raw sheet'!F129)</f>
        <v>5.37</v>
      </c>
      <c r="H129" s="18">
        <v>81.2</v>
      </c>
      <c r="I129" s="9" t="str">
        <f t="shared" si="2"/>
        <v>Good</v>
      </c>
      <c r="J129" s="2">
        <v>0</v>
      </c>
      <c r="K129" s="2">
        <v>28.3</v>
      </c>
      <c r="L129" s="2" t="s">
        <v>3</v>
      </c>
      <c r="M129" s="2" t="s">
        <v>3</v>
      </c>
      <c r="N129" s="5">
        <f>IF(ISBLANK('Raw sheet'!L129),AVERAGE('Raw sheet'!$L$2:'Raw sheet'!$L$1500),'Raw sheet'!L129)</f>
        <v>1.3</v>
      </c>
      <c r="O129" s="5" t="str">
        <f>IF(Table1[[#This Row],[Stress_Index]]&gt;=8,"High",IF(N129&gt;=5,"Medium","Low"))</f>
        <v>Low</v>
      </c>
      <c r="P129" s="3">
        <v>3.86</v>
      </c>
      <c r="Q129" s="2">
        <v>4</v>
      </c>
      <c r="R129" s="3">
        <v>4</v>
      </c>
      <c r="S129" s="3" t="str">
        <f>IF(Table1[[#This Row],[CGPA]]&gt;=3,"High",IF(R128&gt;=2,"Medium","Low"))</f>
        <v>High</v>
      </c>
      <c r="T129" s="2" t="s">
        <v>2</v>
      </c>
      <c r="U129" s="2" t="s">
        <v>13</v>
      </c>
      <c r="V129" s="2" t="s">
        <v>9</v>
      </c>
      <c r="W129" s="7">
        <v>0</v>
      </c>
      <c r="X129" t="str">
        <f t="shared" si="3"/>
        <v>Active</v>
      </c>
    </row>
    <row r="130" spans="1:24" x14ac:dyDescent="0.3">
      <c r="A130" s="2">
        <v>129</v>
      </c>
      <c r="B130" s="7">
        <v>21.2</v>
      </c>
      <c r="C130" s="2" t="s">
        <v>11</v>
      </c>
      <c r="D130" s="7">
        <f>IF(ISBLANK('Raw sheet'!D130),AVERAGE('Raw sheet'!$D$2:'Raw sheet'!$D$1500),'Raw sheet'!D130)</f>
        <v>75799</v>
      </c>
      <c r="E130" s="7" t="str">
        <f>IF(Table1[[#This Row],[Family_Income]]&gt;=100000,"Upper",IF(D130&gt;=50000,"Middle","Lower"))</f>
        <v>Middle</v>
      </c>
      <c r="F130" s="2" t="s">
        <v>4</v>
      </c>
      <c r="G130" s="3">
        <f>IF(ISBLANK('Raw sheet'!F130),AVERAGE('Raw sheet'!$F$2:'Raw sheet'!$F$1500),'Raw sheet'!F130)</f>
        <v>3.83</v>
      </c>
      <c r="H130" s="18">
        <v>87.5</v>
      </c>
      <c r="I130" s="9" t="str">
        <f t="shared" ref="I130:I193" si="4">IF(H130&gt;=75,"Good","Low")</f>
        <v>Good</v>
      </c>
      <c r="J130" s="2">
        <v>1</v>
      </c>
      <c r="K130" s="2">
        <v>30.9</v>
      </c>
      <c r="L130" s="2" t="s">
        <v>3</v>
      </c>
      <c r="M130" s="2" t="s">
        <v>4</v>
      </c>
      <c r="N130" s="5">
        <f>IF(ISBLANK('Raw sheet'!L130),AVERAGE('Raw sheet'!$L$2:'Raw sheet'!$L$1500),'Raw sheet'!L130)</f>
        <v>4.5999999999999996</v>
      </c>
      <c r="O130" s="5" t="str">
        <f>IF(Table1[[#This Row],[Stress_Index]]&gt;=8,"High",IF(N130&gt;=5,"Medium","Low"))</f>
        <v>Low</v>
      </c>
      <c r="P130" s="3">
        <v>1.93</v>
      </c>
      <c r="Q130" s="2">
        <v>1.85</v>
      </c>
      <c r="R130" s="3">
        <v>1.8</v>
      </c>
      <c r="S130" s="3" t="str">
        <f>IF(Table1[[#This Row],[CGPA]]&gt;=3,"High",IF(R129&gt;=2,"Medium","Low"))</f>
        <v>Medium</v>
      </c>
      <c r="T130" s="2" t="s">
        <v>12</v>
      </c>
      <c r="U130" s="2" t="s">
        <v>1</v>
      </c>
      <c r="V130" s="2" t="s">
        <v>15</v>
      </c>
      <c r="W130" s="7">
        <v>0</v>
      </c>
      <c r="X130" t="str">
        <f t="shared" ref="X130:X193" si="5">IF(W130=1,"Dropped Out","Active")</f>
        <v>Active</v>
      </c>
    </row>
    <row r="131" spans="1:24" x14ac:dyDescent="0.3">
      <c r="A131" s="2">
        <v>130</v>
      </c>
      <c r="B131" s="7">
        <v>19.899999999999999</v>
      </c>
      <c r="C131" s="2" t="s">
        <v>5</v>
      </c>
      <c r="D131" s="7">
        <f>IF(ISBLANK('Raw sheet'!D131),AVERAGE('Raw sheet'!$D$2:'Raw sheet'!$D$1500),'Raw sheet'!D131)</f>
        <v>25000</v>
      </c>
      <c r="E131" s="7" t="str">
        <f>IF(Table1[[#This Row],[Family_Income]]&gt;=100000,"Upper",IF(D131&gt;=50000,"Middle","Lower"))</f>
        <v>Lower</v>
      </c>
      <c r="F131" s="2" t="s">
        <v>4</v>
      </c>
      <c r="G131" s="3">
        <f>IF(ISBLANK('Raw sheet'!F131),AVERAGE('Raw sheet'!$F$2:'Raw sheet'!$F$1500),'Raw sheet'!F131)</f>
        <v>3.94</v>
      </c>
      <c r="H131" s="18">
        <v>60.9</v>
      </c>
      <c r="I131" s="9" t="str">
        <f t="shared" si="4"/>
        <v>Low</v>
      </c>
      <c r="J131" s="2">
        <v>2</v>
      </c>
      <c r="K131" s="2">
        <v>43</v>
      </c>
      <c r="L131" s="2" t="s">
        <v>3</v>
      </c>
      <c r="M131" s="2" t="s">
        <v>3</v>
      </c>
      <c r="N131" s="5">
        <f>IF(ISBLANK('Raw sheet'!L131),AVERAGE('Raw sheet'!$L$2:'Raw sheet'!$L$1500),'Raw sheet'!L131)</f>
        <v>4.9000000000000004</v>
      </c>
      <c r="O131" s="5" t="str">
        <f>IF(Table1[[#This Row],[Stress_Index]]&gt;=8,"High",IF(N131&gt;=5,"Medium","Low"))</f>
        <v>Low</v>
      </c>
      <c r="P131" s="3">
        <v>1.89</v>
      </c>
      <c r="Q131" s="2">
        <v>1.9</v>
      </c>
      <c r="R131" s="3">
        <v>1.92</v>
      </c>
      <c r="S131" s="3" t="str">
        <f>IF(Table1[[#This Row],[CGPA]]&gt;=3,"High",IF(R130&gt;=2,"Medium","Low"))</f>
        <v>Low</v>
      </c>
      <c r="T131" s="2" t="s">
        <v>10</v>
      </c>
      <c r="U131" s="2" t="s">
        <v>1</v>
      </c>
      <c r="V131" s="2" t="s">
        <v>15</v>
      </c>
      <c r="W131" s="7">
        <v>1</v>
      </c>
      <c r="X131" t="str">
        <f t="shared" si="5"/>
        <v>Dropped Out</v>
      </c>
    </row>
    <row r="132" spans="1:24" x14ac:dyDescent="0.3">
      <c r="A132" s="2">
        <v>131</v>
      </c>
      <c r="B132" s="7">
        <v>17.600000000000001</v>
      </c>
      <c r="C132" s="2" t="s">
        <v>11</v>
      </c>
      <c r="D132" s="7">
        <f>IF(ISBLANK('Raw sheet'!D132),AVERAGE('Raw sheet'!$D$2:'Raw sheet'!$D$1500),'Raw sheet'!D132)</f>
        <v>34539</v>
      </c>
      <c r="E132" s="7" t="str">
        <f>IF(Table1[[#This Row],[Family_Income]]&gt;=100000,"Upper",IF(D132&gt;=50000,"Middle","Lower"))</f>
        <v>Lower</v>
      </c>
      <c r="F132" s="2" t="s">
        <v>4</v>
      </c>
      <c r="G132" s="3">
        <f>IF(ISBLANK('Raw sheet'!F132),AVERAGE('Raw sheet'!$F$2:'Raw sheet'!$F$1500),'Raw sheet'!F132)</f>
        <v>1.19</v>
      </c>
      <c r="H132" s="18">
        <v>64.900000000000006</v>
      </c>
      <c r="I132" s="9" t="str">
        <f t="shared" si="4"/>
        <v>Low</v>
      </c>
      <c r="J132" s="2">
        <v>1</v>
      </c>
      <c r="K132" s="2">
        <v>28.2</v>
      </c>
      <c r="L132" s="2" t="s">
        <v>3</v>
      </c>
      <c r="M132" s="2" t="s">
        <v>3</v>
      </c>
      <c r="N132" s="5">
        <f>IF(ISBLANK('Raw sheet'!L132),AVERAGE('Raw sheet'!$L$2:'Raw sheet'!$L$1500),'Raw sheet'!L132)</f>
        <v>1.7</v>
      </c>
      <c r="O132" s="5" t="str">
        <f>IF(Table1[[#This Row],[Stress_Index]]&gt;=8,"High",IF(N132&gt;=5,"Medium","Low"))</f>
        <v>Low</v>
      </c>
      <c r="P132" s="3">
        <v>1.94</v>
      </c>
      <c r="Q132" s="2">
        <v>1.85</v>
      </c>
      <c r="R132" s="3">
        <v>1.93</v>
      </c>
      <c r="S132" s="3" t="str">
        <f>IF(Table1[[#This Row],[CGPA]]&gt;=3,"High",IF(R131&gt;=2,"Medium","Low"))</f>
        <v>Low</v>
      </c>
      <c r="T132" s="2" t="s">
        <v>10</v>
      </c>
      <c r="U132" s="2" t="s">
        <v>8</v>
      </c>
      <c r="V132" s="2" t="s">
        <v>9</v>
      </c>
      <c r="W132" s="7">
        <v>0</v>
      </c>
      <c r="X132" t="str">
        <f t="shared" si="5"/>
        <v>Active</v>
      </c>
    </row>
    <row r="133" spans="1:24" x14ac:dyDescent="0.3">
      <c r="A133" s="2">
        <v>132</v>
      </c>
      <c r="B133" s="7">
        <v>21.2</v>
      </c>
      <c r="C133" s="2" t="s">
        <v>5</v>
      </c>
      <c r="D133" s="7">
        <f>IF(ISBLANK('Raw sheet'!D133),AVERAGE('Raw sheet'!$D$2:'Raw sheet'!$D$1500),'Raw sheet'!D133)</f>
        <v>25000</v>
      </c>
      <c r="E133" s="7" t="str">
        <f>IF(Table1[[#This Row],[Family_Income]]&gt;=100000,"Upper",IF(D133&gt;=50000,"Middle","Lower"))</f>
        <v>Lower</v>
      </c>
      <c r="F133" s="2" t="s">
        <v>4</v>
      </c>
      <c r="G133" s="3">
        <f>IF(ISBLANK('Raw sheet'!F133),AVERAGE('Raw sheet'!$F$2:'Raw sheet'!$F$1500),'Raw sheet'!F133)</f>
        <v>4.66</v>
      </c>
      <c r="H133" s="18">
        <v>81.5</v>
      </c>
      <c r="I133" s="9" t="str">
        <f t="shared" si="4"/>
        <v>Good</v>
      </c>
      <c r="J133" s="2">
        <v>2</v>
      </c>
      <c r="K133" s="2">
        <v>41.5</v>
      </c>
      <c r="L133" s="2" t="s">
        <v>3</v>
      </c>
      <c r="M133" s="2" t="s">
        <v>3</v>
      </c>
      <c r="N133" s="5">
        <f>IF(ISBLANK('Raw sheet'!L133),AVERAGE('Raw sheet'!$L$2:'Raw sheet'!$L$1500),'Raw sheet'!L133)</f>
        <v>5.3</v>
      </c>
      <c r="O133" s="5" t="str">
        <f>IF(Table1[[#This Row],[Stress_Index]]&gt;=8,"High",IF(N133&gt;=5,"Medium","Low"))</f>
        <v>Medium</v>
      </c>
      <c r="P133" s="3">
        <v>1.7</v>
      </c>
      <c r="Q133" s="2">
        <v>1.5</v>
      </c>
      <c r="R133" s="3">
        <v>1.5</v>
      </c>
      <c r="S133" s="3" t="str">
        <f>IF(Table1[[#This Row],[CGPA]]&gt;=3,"High",IF(R132&gt;=2,"Medium","Low"))</f>
        <v>Low</v>
      </c>
      <c r="T133" s="2" t="s">
        <v>7</v>
      </c>
      <c r="U133" s="2" t="s">
        <v>14</v>
      </c>
      <c r="V133" s="2" t="s">
        <v>9</v>
      </c>
      <c r="W133" s="7">
        <v>0</v>
      </c>
      <c r="X133" t="str">
        <f t="shared" si="5"/>
        <v>Active</v>
      </c>
    </row>
    <row r="134" spans="1:24" x14ac:dyDescent="0.3">
      <c r="A134" s="2">
        <v>133</v>
      </c>
      <c r="B134" s="7">
        <v>18.7</v>
      </c>
      <c r="C134" s="2" t="s">
        <v>11</v>
      </c>
      <c r="D134" s="7">
        <f>IF(ISBLANK('Raw sheet'!D134),AVERAGE('Raw sheet'!$D$2:'Raw sheet'!$D$1500),'Raw sheet'!D134)</f>
        <v>25000</v>
      </c>
      <c r="E134" s="7" t="str">
        <f>IF(Table1[[#This Row],[Family_Income]]&gt;=100000,"Upper",IF(D134&gt;=50000,"Middle","Lower"))</f>
        <v>Lower</v>
      </c>
      <c r="F134" s="2" t="s">
        <v>4</v>
      </c>
      <c r="G134" s="3">
        <f>IF(ISBLANK('Raw sheet'!F134),AVERAGE('Raw sheet'!$F$2:'Raw sheet'!$F$1500),'Raw sheet'!F134)</f>
        <v>4.03</v>
      </c>
      <c r="H134" s="18">
        <v>80.2</v>
      </c>
      <c r="I134" s="9" t="str">
        <f t="shared" si="4"/>
        <v>Good</v>
      </c>
      <c r="J134" s="2">
        <v>2</v>
      </c>
      <c r="K134" s="2">
        <v>20.7</v>
      </c>
      <c r="L134" s="2" t="s">
        <v>3</v>
      </c>
      <c r="M134" s="2" t="s">
        <v>4</v>
      </c>
      <c r="N134" s="5">
        <f>IF(ISBLANK('Raw sheet'!L134),AVERAGE('Raw sheet'!$L$2:'Raw sheet'!$L$1500),'Raw sheet'!L134)</f>
        <v>4.9000000000000004</v>
      </c>
      <c r="O134" s="5" t="str">
        <f>IF(Table1[[#This Row],[Stress_Index]]&gt;=8,"High",IF(N134&gt;=5,"Medium","Low"))</f>
        <v>Low</v>
      </c>
      <c r="P134" s="3">
        <v>2.2999999999999998</v>
      </c>
      <c r="Q134" s="2">
        <v>2.2799999999999998</v>
      </c>
      <c r="R134" s="3">
        <v>2.2799999999999998</v>
      </c>
      <c r="S134" s="3" t="str">
        <f>IF(Table1[[#This Row],[CGPA]]&gt;=3,"High",IF(R133&gt;=2,"Medium","Low"))</f>
        <v>Low</v>
      </c>
      <c r="T134" s="2" t="s">
        <v>2</v>
      </c>
      <c r="U134" s="2" t="s">
        <v>1</v>
      </c>
      <c r="V134" s="2" t="s">
        <v>15</v>
      </c>
      <c r="W134" s="7">
        <v>0</v>
      </c>
      <c r="X134" t="str">
        <f t="shared" si="5"/>
        <v>Active</v>
      </c>
    </row>
    <row r="135" spans="1:24" x14ac:dyDescent="0.3">
      <c r="A135" s="2">
        <v>134</v>
      </c>
      <c r="B135" s="7">
        <v>22</v>
      </c>
      <c r="C135" s="2" t="s">
        <v>5</v>
      </c>
      <c r="D135" s="7">
        <f>IF(ISBLANK('Raw sheet'!D135),AVERAGE('Raw sheet'!$D$2:'Raw sheet'!$D$1500),'Raw sheet'!D135)</f>
        <v>35274</v>
      </c>
      <c r="E135" s="7" t="str">
        <f>IF(Table1[[#This Row],[Family_Income]]&gt;=100000,"Upper",IF(D135&gt;=50000,"Middle","Lower"))</f>
        <v>Lower</v>
      </c>
      <c r="F135" s="2" t="s">
        <v>4</v>
      </c>
      <c r="G135" s="3">
        <f>IF(ISBLANK('Raw sheet'!F135),AVERAGE('Raw sheet'!$F$2:'Raw sheet'!$F$1500),'Raw sheet'!F135)</f>
        <v>5.14</v>
      </c>
      <c r="H135" s="18">
        <v>70.599999999999994</v>
      </c>
      <c r="I135" s="9" t="str">
        <f t="shared" si="4"/>
        <v>Low</v>
      </c>
      <c r="J135" s="2">
        <v>3</v>
      </c>
      <c r="K135" s="2">
        <v>17.3</v>
      </c>
      <c r="L135" s="2" t="s">
        <v>3</v>
      </c>
      <c r="M135" s="2" t="s">
        <v>3</v>
      </c>
      <c r="N135" s="5">
        <f>IF(ISBLANK('Raw sheet'!L135),AVERAGE('Raw sheet'!$L$2:'Raw sheet'!$L$1500),'Raw sheet'!L135)</f>
        <v>4.7</v>
      </c>
      <c r="O135" s="5" t="str">
        <f>IF(Table1[[#This Row],[Stress_Index]]&gt;=8,"High",IF(N135&gt;=5,"Medium","Low"))</f>
        <v>Low</v>
      </c>
      <c r="P135" s="3">
        <v>2.4500000000000002</v>
      </c>
      <c r="Q135" s="2">
        <v>2.56</v>
      </c>
      <c r="R135" s="3">
        <v>2.56</v>
      </c>
      <c r="S135" s="3" t="str">
        <f>IF(Table1[[#This Row],[CGPA]]&gt;=3,"High",IF(R134&gt;=2,"Medium","Low"))</f>
        <v>Medium</v>
      </c>
      <c r="T135" s="2" t="s">
        <v>2</v>
      </c>
      <c r="U135" s="2" t="s">
        <v>6</v>
      </c>
      <c r="V135" s="2" t="s">
        <v>15</v>
      </c>
      <c r="W135" s="7">
        <v>0</v>
      </c>
      <c r="X135" t="str">
        <f t="shared" si="5"/>
        <v>Active</v>
      </c>
    </row>
    <row r="136" spans="1:24" x14ac:dyDescent="0.3">
      <c r="A136" s="2">
        <v>135</v>
      </c>
      <c r="B136" s="7">
        <v>19</v>
      </c>
      <c r="C136" s="2" t="s">
        <v>11</v>
      </c>
      <c r="D136" s="7">
        <f>IF(ISBLANK('Raw sheet'!D136),AVERAGE('Raw sheet'!$D$2:'Raw sheet'!$D$1500),'Raw sheet'!D136)</f>
        <v>58958</v>
      </c>
      <c r="E136" s="7" t="str">
        <f>IF(Table1[[#This Row],[Family_Income]]&gt;=100000,"Upper",IF(D136&gt;=50000,"Middle","Lower"))</f>
        <v>Middle</v>
      </c>
      <c r="F136" s="2" t="s">
        <v>4</v>
      </c>
      <c r="G136" s="3">
        <f>IF(ISBLANK('Raw sheet'!F136),AVERAGE('Raw sheet'!$F$2:'Raw sheet'!$F$1500),'Raw sheet'!F136)</f>
        <v>4.93</v>
      </c>
      <c r="H136" s="18">
        <v>98</v>
      </c>
      <c r="I136" s="9" t="str">
        <f t="shared" si="4"/>
        <v>Good</v>
      </c>
      <c r="J136" s="2">
        <v>1</v>
      </c>
      <c r="K136" s="2">
        <v>52</v>
      </c>
      <c r="L136" s="2" t="s">
        <v>3</v>
      </c>
      <c r="M136" s="2" t="s">
        <v>3</v>
      </c>
      <c r="N136" s="5">
        <f>IF(ISBLANK('Raw sheet'!L136),AVERAGE('Raw sheet'!$L$2:'Raw sheet'!$L$1500),'Raw sheet'!L136)</f>
        <v>3.5</v>
      </c>
      <c r="O136" s="5" t="str">
        <f>IF(Table1[[#This Row],[Stress_Index]]&gt;=8,"High",IF(N136&gt;=5,"Medium","Low"))</f>
        <v>Low</v>
      </c>
      <c r="P136" s="3">
        <v>2.8</v>
      </c>
      <c r="Q136" s="2">
        <v>2.78</v>
      </c>
      <c r="R136" s="3">
        <v>2.72</v>
      </c>
      <c r="S136" s="3" t="str">
        <f>IF(Table1[[#This Row],[CGPA]]&gt;=3,"High",IF(R135&gt;=2,"Medium","Low"))</f>
        <v>Medium</v>
      </c>
      <c r="T136" s="2" t="s">
        <v>7</v>
      </c>
      <c r="U136" s="2" t="s">
        <v>13</v>
      </c>
      <c r="V136" s="2" t="s">
        <v>0</v>
      </c>
      <c r="W136" s="7">
        <v>0</v>
      </c>
      <c r="X136" t="str">
        <f t="shared" si="5"/>
        <v>Active</v>
      </c>
    </row>
    <row r="137" spans="1:24" x14ac:dyDescent="0.3">
      <c r="A137" s="2">
        <v>136</v>
      </c>
      <c r="B137" s="7">
        <v>24.4</v>
      </c>
      <c r="C137" s="2" t="s">
        <v>5</v>
      </c>
      <c r="D137" s="7">
        <f>IF(ISBLANK('Raw sheet'!D137),AVERAGE('Raw sheet'!$D$2:'Raw sheet'!$D$1500),'Raw sheet'!D137)</f>
        <v>38988</v>
      </c>
      <c r="E137" s="7" t="str">
        <f>IF(Table1[[#This Row],[Family_Income]]&gt;=100000,"Upper",IF(D137&gt;=50000,"Middle","Lower"))</f>
        <v>Lower</v>
      </c>
      <c r="F137" s="2" t="s">
        <v>4</v>
      </c>
      <c r="G137" s="3">
        <f>IF(ISBLANK('Raw sheet'!F137),AVERAGE('Raw sheet'!$F$2:'Raw sheet'!$F$1500),'Raw sheet'!F137)</f>
        <v>3.03</v>
      </c>
      <c r="H137" s="18">
        <v>72.7</v>
      </c>
      <c r="I137" s="9" t="str">
        <f t="shared" si="4"/>
        <v>Low</v>
      </c>
      <c r="J137" s="2">
        <v>1</v>
      </c>
      <c r="K137" s="2">
        <v>14.3</v>
      </c>
      <c r="L137" s="2" t="s">
        <v>4</v>
      </c>
      <c r="M137" s="2" t="s">
        <v>4</v>
      </c>
      <c r="N137" s="5">
        <f>IF(ISBLANK('Raw sheet'!L137),AVERAGE('Raw sheet'!$L$2:'Raw sheet'!$L$1500),'Raw sheet'!L137)</f>
        <v>5.3</v>
      </c>
      <c r="O137" s="5" t="str">
        <f>IF(Table1[[#This Row],[Stress_Index]]&gt;=8,"High",IF(N137&gt;=5,"Medium","Low"))</f>
        <v>Medium</v>
      </c>
      <c r="P137" s="3">
        <v>1.89</v>
      </c>
      <c r="Q137" s="2">
        <v>1.78</v>
      </c>
      <c r="R137" s="3">
        <v>1.79</v>
      </c>
      <c r="S137" s="3" t="str">
        <f>IF(Table1[[#This Row],[CGPA]]&gt;=3,"High",IF(R136&gt;=2,"Medium","Low"))</f>
        <v>Medium</v>
      </c>
      <c r="T137" s="2" t="s">
        <v>10</v>
      </c>
      <c r="U137" s="2" t="s">
        <v>6</v>
      </c>
      <c r="V137" s="2" t="s">
        <v>0</v>
      </c>
      <c r="W137" s="7">
        <v>0</v>
      </c>
      <c r="X137" t="str">
        <f t="shared" si="5"/>
        <v>Active</v>
      </c>
    </row>
    <row r="138" spans="1:24" x14ac:dyDescent="0.3">
      <c r="A138" s="2">
        <v>137</v>
      </c>
      <c r="B138" s="7">
        <v>19.3</v>
      </c>
      <c r="C138" s="2" t="s">
        <v>11</v>
      </c>
      <c r="D138" s="7">
        <f>IF(ISBLANK('Raw sheet'!D138),AVERAGE('Raw sheet'!$D$2:'Raw sheet'!$D$1500),'Raw sheet'!D138)</f>
        <v>25000</v>
      </c>
      <c r="E138" s="7" t="str">
        <f>IF(Table1[[#This Row],[Family_Income]]&gt;=100000,"Upper",IF(D138&gt;=50000,"Middle","Lower"))</f>
        <v>Lower</v>
      </c>
      <c r="F138" s="2" t="s">
        <v>4</v>
      </c>
      <c r="G138" s="3">
        <f>IF(ISBLANK('Raw sheet'!F138),AVERAGE('Raw sheet'!$F$2:'Raw sheet'!$F$1500),'Raw sheet'!F138)</f>
        <v>3.75</v>
      </c>
      <c r="H138" s="18">
        <v>77.7</v>
      </c>
      <c r="I138" s="9" t="str">
        <f t="shared" si="4"/>
        <v>Good</v>
      </c>
      <c r="J138" s="2">
        <v>2</v>
      </c>
      <c r="K138" s="2">
        <v>21</v>
      </c>
      <c r="L138" s="2" t="s">
        <v>4</v>
      </c>
      <c r="M138" s="2" t="s">
        <v>3</v>
      </c>
      <c r="N138" s="5">
        <f>IF(ISBLANK('Raw sheet'!L138),AVERAGE('Raw sheet'!$L$2:'Raw sheet'!$L$1500),'Raw sheet'!L138)</f>
        <v>3.4</v>
      </c>
      <c r="O138" s="5" t="str">
        <f>IF(Table1[[#This Row],[Stress_Index]]&gt;=8,"High",IF(N138&gt;=5,"Medium","Low"))</f>
        <v>Low</v>
      </c>
      <c r="P138" s="3">
        <v>2.1800000000000002</v>
      </c>
      <c r="Q138" s="2">
        <v>2.2999999999999998</v>
      </c>
      <c r="R138" s="3">
        <v>2.29</v>
      </c>
      <c r="S138" s="3" t="str">
        <f>IF(Table1[[#This Row],[CGPA]]&gt;=3,"High",IF(R137&gt;=2,"Medium","Low"))</f>
        <v>Low</v>
      </c>
      <c r="T138" s="2" t="s">
        <v>10</v>
      </c>
      <c r="U138" s="2" t="s">
        <v>14</v>
      </c>
      <c r="V138" s="2" t="s">
        <v>16</v>
      </c>
      <c r="W138" s="7">
        <v>0</v>
      </c>
      <c r="X138" t="str">
        <f t="shared" si="5"/>
        <v>Active</v>
      </c>
    </row>
    <row r="139" spans="1:24" x14ac:dyDescent="0.3">
      <c r="A139" s="2">
        <v>138</v>
      </c>
      <c r="B139" s="7">
        <v>20.3</v>
      </c>
      <c r="C139" s="2" t="s">
        <v>11</v>
      </c>
      <c r="D139" s="7">
        <f>IF(ISBLANK('Raw sheet'!D139),AVERAGE('Raw sheet'!$D$2:'Raw sheet'!$D$1500),'Raw sheet'!D139)</f>
        <v>40494</v>
      </c>
      <c r="E139" s="7" t="str">
        <f>IF(Table1[[#This Row],[Family_Income]]&gt;=100000,"Upper",IF(D139&gt;=50000,"Middle","Lower"))</f>
        <v>Lower</v>
      </c>
      <c r="F139" s="2" t="s">
        <v>3</v>
      </c>
      <c r="G139" s="3">
        <f>IF(ISBLANK('Raw sheet'!F139),AVERAGE('Raw sheet'!$F$2:'Raw sheet'!$F$1500),'Raw sheet'!F139)</f>
        <v>3.38</v>
      </c>
      <c r="H139" s="18">
        <v>91.2</v>
      </c>
      <c r="I139" s="9" t="str">
        <f t="shared" si="4"/>
        <v>Good</v>
      </c>
      <c r="J139" s="2">
        <v>2</v>
      </c>
      <c r="K139" s="2">
        <v>39.4</v>
      </c>
      <c r="L139" s="2" t="s">
        <v>3</v>
      </c>
      <c r="M139" s="2" t="s">
        <v>4</v>
      </c>
      <c r="N139" s="5">
        <f>IF(ISBLANK('Raw sheet'!L139),AVERAGE('Raw sheet'!$L$2:'Raw sheet'!$L$1500),'Raw sheet'!L139)</f>
        <v>4</v>
      </c>
      <c r="O139" s="5" t="str">
        <f>IF(Table1[[#This Row],[Stress_Index]]&gt;=8,"High",IF(N139&gt;=5,"Medium","Low"))</f>
        <v>Low</v>
      </c>
      <c r="P139" s="3">
        <v>1.9</v>
      </c>
      <c r="Q139" s="2">
        <v>1.89</v>
      </c>
      <c r="R139" s="3">
        <v>1.88</v>
      </c>
      <c r="S139" s="3" t="str">
        <f>IF(Table1[[#This Row],[CGPA]]&gt;=3,"High",IF(R138&gt;=2,"Medium","Low"))</f>
        <v>Medium</v>
      </c>
      <c r="T139" s="2" t="s">
        <v>12</v>
      </c>
      <c r="U139" s="2" t="s">
        <v>14</v>
      </c>
      <c r="V139" s="2" t="s">
        <v>9</v>
      </c>
      <c r="W139" s="7">
        <v>0</v>
      </c>
      <c r="X139" t="str">
        <f t="shared" si="5"/>
        <v>Active</v>
      </c>
    </row>
    <row r="140" spans="1:24" x14ac:dyDescent="0.3">
      <c r="A140" s="2">
        <v>139</v>
      </c>
      <c r="B140" s="7">
        <v>22.8</v>
      </c>
      <c r="C140" s="2" t="s">
        <v>5</v>
      </c>
      <c r="D140" s="7">
        <f>IF(ISBLANK('Raw sheet'!D140),AVERAGE('Raw sheet'!$D$2:'Raw sheet'!$D$1500),'Raw sheet'!D140)</f>
        <v>25000</v>
      </c>
      <c r="E140" s="7" t="str">
        <f>IF(Table1[[#This Row],[Family_Income]]&gt;=100000,"Upper",IF(D140&gt;=50000,"Middle","Lower"))</f>
        <v>Lower</v>
      </c>
      <c r="F140" s="2" t="s">
        <v>4</v>
      </c>
      <c r="G140" s="3">
        <f>IF(ISBLANK('Raw sheet'!F140),AVERAGE('Raw sheet'!$F$2:'Raw sheet'!$F$1500),'Raw sheet'!F140)</f>
        <v>5.36</v>
      </c>
      <c r="H140" s="18">
        <v>76.599999999999994</v>
      </c>
      <c r="I140" s="9" t="str">
        <f t="shared" si="4"/>
        <v>Good</v>
      </c>
      <c r="J140" s="2">
        <v>3</v>
      </c>
      <c r="K140" s="2">
        <v>23.6</v>
      </c>
      <c r="L140" s="2" t="s">
        <v>3</v>
      </c>
      <c r="M140" s="2" t="s">
        <v>3</v>
      </c>
      <c r="N140" s="5">
        <f>IF(ISBLANK('Raw sheet'!L140),AVERAGE('Raw sheet'!$L$2:'Raw sheet'!$L$1500),'Raw sheet'!L140)</f>
        <v>5.0999999999999996</v>
      </c>
      <c r="O140" s="5" t="str">
        <f>IF(Table1[[#This Row],[Stress_Index]]&gt;=8,"High",IF(N140&gt;=5,"Medium","Low"))</f>
        <v>Medium</v>
      </c>
      <c r="P140" s="3">
        <v>3.36</v>
      </c>
      <c r="Q140" s="2">
        <v>3.88</v>
      </c>
      <c r="R140" s="3">
        <v>3.95</v>
      </c>
      <c r="S140" s="3" t="str">
        <f>IF(Table1[[#This Row],[CGPA]]&gt;=3,"High",IF(R139&gt;=2,"Medium","Low"))</f>
        <v>High</v>
      </c>
      <c r="T140" s="2" t="s">
        <v>10</v>
      </c>
      <c r="U140" s="2" t="s">
        <v>1</v>
      </c>
      <c r="V140" s="2" t="s">
        <v>9</v>
      </c>
      <c r="W140" s="7">
        <v>0</v>
      </c>
      <c r="X140" t="str">
        <f t="shared" si="5"/>
        <v>Active</v>
      </c>
    </row>
    <row r="141" spans="1:24" x14ac:dyDescent="0.3">
      <c r="A141" s="2">
        <v>140</v>
      </c>
      <c r="B141" s="7">
        <v>18.3</v>
      </c>
      <c r="C141" s="2" t="s">
        <v>5</v>
      </c>
      <c r="D141" s="7">
        <f>IF(ISBLANK('Raw sheet'!D141),AVERAGE('Raw sheet'!$D$2:'Raw sheet'!$D$1500),'Raw sheet'!D141)</f>
        <v>38073</v>
      </c>
      <c r="E141" s="7" t="str">
        <f>IF(Table1[[#This Row],[Family_Income]]&gt;=100000,"Upper",IF(D141&gt;=50000,"Middle","Lower"))</f>
        <v>Lower</v>
      </c>
      <c r="F141" s="2" t="s">
        <v>4</v>
      </c>
      <c r="G141" s="3">
        <f>IF(ISBLANK('Raw sheet'!F141),AVERAGE('Raw sheet'!$F$2:'Raw sheet'!$F$1500),'Raw sheet'!F141)</f>
        <v>6.05</v>
      </c>
      <c r="H141" s="18">
        <v>75.099999999999994</v>
      </c>
      <c r="I141" s="9" t="str">
        <f t="shared" si="4"/>
        <v>Good</v>
      </c>
      <c r="J141" s="2">
        <v>1</v>
      </c>
      <c r="K141" s="2">
        <v>23.3</v>
      </c>
      <c r="L141" s="2" t="s">
        <v>3</v>
      </c>
      <c r="M141" s="2" t="s">
        <v>3</v>
      </c>
      <c r="N141" s="5">
        <f>IF(ISBLANK('Raw sheet'!L141),AVERAGE('Raw sheet'!$L$2:'Raw sheet'!$L$1500),'Raw sheet'!L141)</f>
        <v>7.3</v>
      </c>
      <c r="O141" s="5" t="str">
        <f>IF(Table1[[#This Row],[Stress_Index]]&gt;=8,"High",IF(N141&gt;=5,"Medium","Low"))</f>
        <v>Medium</v>
      </c>
      <c r="P141" s="3">
        <v>1.17</v>
      </c>
      <c r="Q141" s="2">
        <v>0.89</v>
      </c>
      <c r="R141" s="3">
        <v>1.01</v>
      </c>
      <c r="S141" s="3" t="str">
        <f>IF(Table1[[#This Row],[CGPA]]&gt;=3,"High",IF(R140&gt;=2,"Medium","Low"))</f>
        <v>Medium</v>
      </c>
      <c r="T141" s="2" t="s">
        <v>10</v>
      </c>
      <c r="U141" s="2" t="s">
        <v>8</v>
      </c>
      <c r="V141" s="2" t="s">
        <v>15</v>
      </c>
      <c r="W141" s="7">
        <v>0</v>
      </c>
      <c r="X141" t="str">
        <f t="shared" si="5"/>
        <v>Active</v>
      </c>
    </row>
    <row r="142" spans="1:24" x14ac:dyDescent="0.3">
      <c r="A142" s="2">
        <v>141</v>
      </c>
      <c r="B142" s="7">
        <v>21.5</v>
      </c>
      <c r="C142" s="2" t="s">
        <v>5</v>
      </c>
      <c r="D142" s="7">
        <f>IF(ISBLANK('Raw sheet'!D142),AVERAGE('Raw sheet'!$D$2:'Raw sheet'!$D$1500),'Raw sheet'!D142)</f>
        <v>68726</v>
      </c>
      <c r="E142" s="7" t="str">
        <f>IF(Table1[[#This Row],[Family_Income]]&gt;=100000,"Upper",IF(D142&gt;=50000,"Middle","Lower"))</f>
        <v>Middle</v>
      </c>
      <c r="F142" s="2" t="s">
        <v>4</v>
      </c>
      <c r="G142" s="3">
        <f>IF(ISBLANK('Raw sheet'!F142),AVERAGE('Raw sheet'!$F$2:'Raw sheet'!$F$1500),'Raw sheet'!F142)</f>
        <v>5.04</v>
      </c>
      <c r="H142" s="18">
        <v>85.1</v>
      </c>
      <c r="I142" s="9" t="str">
        <f t="shared" si="4"/>
        <v>Good</v>
      </c>
      <c r="J142" s="2">
        <v>1</v>
      </c>
      <c r="K142" s="2">
        <v>27.6</v>
      </c>
      <c r="L142" s="2" t="s">
        <v>4</v>
      </c>
      <c r="M142" s="2" t="s">
        <v>3</v>
      </c>
      <c r="N142" s="5">
        <f>IF(ISBLANK('Raw sheet'!L142),AVERAGE('Raw sheet'!$L$2:'Raw sheet'!$L$1500),'Raw sheet'!L142)</f>
        <v>6.2</v>
      </c>
      <c r="O142" s="5" t="str">
        <f>IF(Table1[[#This Row],[Stress_Index]]&gt;=8,"High",IF(N142&gt;=5,"Medium","Low"))</f>
        <v>Medium</v>
      </c>
      <c r="P142" s="3">
        <v>0.72</v>
      </c>
      <c r="Q142" s="2">
        <v>0.87</v>
      </c>
      <c r="R142" s="3">
        <v>0.83</v>
      </c>
      <c r="S142" s="3" t="str">
        <f>IF(Table1[[#This Row],[CGPA]]&gt;=3,"High",IF(R141&gt;=2,"Medium","Low"))</f>
        <v>Low</v>
      </c>
      <c r="T142" s="2" t="s">
        <v>10</v>
      </c>
      <c r="U142" s="2" t="s">
        <v>14</v>
      </c>
      <c r="V142" s="2" t="s">
        <v>9</v>
      </c>
      <c r="W142" s="7">
        <v>1</v>
      </c>
      <c r="X142" t="str">
        <f t="shared" si="5"/>
        <v>Dropped Out</v>
      </c>
    </row>
    <row r="143" spans="1:24" x14ac:dyDescent="0.3">
      <c r="A143" s="2">
        <v>142</v>
      </c>
      <c r="B143" s="7">
        <v>23.9</v>
      </c>
      <c r="C143" s="2" t="s">
        <v>11</v>
      </c>
      <c r="D143" s="7">
        <f>IF(ISBLANK('Raw sheet'!D143),AVERAGE('Raw sheet'!$D$2:'Raw sheet'!$D$1500),'Raw sheet'!D143)</f>
        <v>25000</v>
      </c>
      <c r="E143" s="7" t="str">
        <f>IF(Table1[[#This Row],[Family_Income]]&gt;=100000,"Upper",IF(D143&gt;=50000,"Middle","Lower"))</f>
        <v>Lower</v>
      </c>
      <c r="F143" s="2" t="s">
        <v>3</v>
      </c>
      <c r="G143" s="3">
        <f>IF(ISBLANK('Raw sheet'!F143),AVERAGE('Raw sheet'!$F$2:'Raw sheet'!$F$1500),'Raw sheet'!F143)</f>
        <v>6.58</v>
      </c>
      <c r="H143" s="18">
        <v>76.099999999999994</v>
      </c>
      <c r="I143" s="9" t="str">
        <f t="shared" si="4"/>
        <v>Good</v>
      </c>
      <c r="J143" s="2">
        <v>1</v>
      </c>
      <c r="K143" s="2">
        <v>5</v>
      </c>
      <c r="L143" s="2" t="s">
        <v>3</v>
      </c>
      <c r="M143" s="2" t="s">
        <v>3</v>
      </c>
      <c r="N143" s="5">
        <f>IF(ISBLANK('Raw sheet'!L143),AVERAGE('Raw sheet'!$L$2:'Raw sheet'!$L$1500),'Raw sheet'!L143)</f>
        <v>6.6</v>
      </c>
      <c r="O143" s="5" t="str">
        <f>IF(Table1[[#This Row],[Stress_Index]]&gt;=8,"High",IF(N143&gt;=5,"Medium","Low"))</f>
        <v>Medium</v>
      </c>
      <c r="P143" s="3">
        <v>3.6</v>
      </c>
      <c r="Q143" s="2">
        <v>3.93</v>
      </c>
      <c r="R143" s="3">
        <v>3.93</v>
      </c>
      <c r="S143" s="3" t="str">
        <f>IF(Table1[[#This Row],[CGPA]]&gt;=3,"High",IF(R142&gt;=2,"Medium","Low"))</f>
        <v>High</v>
      </c>
      <c r="T143" s="2" t="s">
        <v>2</v>
      </c>
      <c r="U143" s="2" t="s">
        <v>14</v>
      </c>
      <c r="V143" s="2" t="s">
        <v>9</v>
      </c>
      <c r="W143" s="7">
        <v>0</v>
      </c>
      <c r="X143" t="str">
        <f t="shared" si="5"/>
        <v>Active</v>
      </c>
    </row>
    <row r="144" spans="1:24" x14ac:dyDescent="0.3">
      <c r="A144" s="2">
        <v>143</v>
      </c>
      <c r="B144" s="7">
        <v>17.5</v>
      </c>
      <c r="C144" s="2" t="s">
        <v>5</v>
      </c>
      <c r="D144" s="7">
        <f>IF(ISBLANK('Raw sheet'!D144),AVERAGE('Raw sheet'!$D$2:'Raw sheet'!$D$1500),'Raw sheet'!D144)</f>
        <v>47971</v>
      </c>
      <c r="E144" s="7" t="str">
        <f>IF(Table1[[#This Row],[Family_Income]]&gt;=100000,"Upper",IF(D144&gt;=50000,"Middle","Lower"))</f>
        <v>Lower</v>
      </c>
      <c r="F144" s="2" t="s">
        <v>4</v>
      </c>
      <c r="G144" s="3">
        <f>IF(ISBLANK('Raw sheet'!F144),AVERAGE('Raw sheet'!$F$2:'Raw sheet'!$F$1500),'Raw sheet'!F144)</f>
        <v>4.68</v>
      </c>
      <c r="H144" s="18">
        <v>85.2</v>
      </c>
      <c r="I144" s="9" t="str">
        <f t="shared" si="4"/>
        <v>Good</v>
      </c>
      <c r="J144" s="2">
        <v>2</v>
      </c>
      <c r="K144" s="2">
        <v>43.4</v>
      </c>
      <c r="L144" s="2" t="s">
        <v>3</v>
      </c>
      <c r="M144" s="2" t="s">
        <v>3</v>
      </c>
      <c r="N144" s="5">
        <f>IF(ISBLANK('Raw sheet'!L144),AVERAGE('Raw sheet'!$L$2:'Raw sheet'!$L$1500),'Raw sheet'!L144)</f>
        <v>9</v>
      </c>
      <c r="O144" s="5" t="str">
        <f>IF(Table1[[#This Row],[Stress_Index]]&gt;=8,"High",IF(N144&gt;=5,"Medium","Low"))</f>
        <v>High</v>
      </c>
      <c r="P144" s="3">
        <v>3.09</v>
      </c>
      <c r="Q144" s="2">
        <v>3.01</v>
      </c>
      <c r="R144" s="3">
        <v>2.96</v>
      </c>
      <c r="S144" s="3" t="str">
        <f>IF(Table1[[#This Row],[CGPA]]&gt;=3,"High",IF(R143&gt;=2,"Medium","Low"))</f>
        <v>Medium</v>
      </c>
      <c r="T144" s="2" t="s">
        <v>12</v>
      </c>
      <c r="U144" s="2" t="s">
        <v>13</v>
      </c>
      <c r="V144" s="2" t="s">
        <v>9</v>
      </c>
      <c r="W144" s="7">
        <v>0</v>
      </c>
      <c r="X144" t="str">
        <f t="shared" si="5"/>
        <v>Active</v>
      </c>
    </row>
    <row r="145" spans="1:24" x14ac:dyDescent="0.3">
      <c r="A145" s="2">
        <v>144</v>
      </c>
      <c r="B145" s="7">
        <v>21.4</v>
      </c>
      <c r="C145" s="2" t="s">
        <v>11</v>
      </c>
      <c r="D145" s="7">
        <f>IF(ISBLANK('Raw sheet'!D145),AVERAGE('Raw sheet'!$D$2:'Raw sheet'!$D$1500),'Raw sheet'!D145)</f>
        <v>25000</v>
      </c>
      <c r="E145" s="7" t="str">
        <f>IF(Table1[[#This Row],[Family_Income]]&gt;=100000,"Upper",IF(D145&gt;=50000,"Middle","Lower"))</f>
        <v>Lower</v>
      </c>
      <c r="F145" s="2" t="s">
        <v>4</v>
      </c>
      <c r="G145" s="3">
        <f>IF(ISBLANK('Raw sheet'!F145),AVERAGE('Raw sheet'!$F$2:'Raw sheet'!$F$1500),'Raw sheet'!F145)</f>
        <v>2.73</v>
      </c>
      <c r="H145" s="18">
        <v>86.1</v>
      </c>
      <c r="I145" s="9" t="str">
        <f t="shared" si="4"/>
        <v>Good</v>
      </c>
      <c r="J145" s="2">
        <v>1</v>
      </c>
      <c r="K145" s="2">
        <v>32.1</v>
      </c>
      <c r="L145" s="2" t="s">
        <v>3</v>
      </c>
      <c r="M145" s="2" t="s">
        <v>4</v>
      </c>
      <c r="N145" s="5">
        <f>IF(ISBLANK('Raw sheet'!L145),AVERAGE('Raw sheet'!$L$2:'Raw sheet'!$L$1500),'Raw sheet'!L145)</f>
        <v>6.3</v>
      </c>
      <c r="O145" s="5" t="str">
        <f>IF(Table1[[#This Row],[Stress_Index]]&gt;=8,"High",IF(N145&gt;=5,"Medium","Low"))</f>
        <v>Medium</v>
      </c>
      <c r="P145" s="3">
        <v>2.39</v>
      </c>
      <c r="Q145" s="2">
        <v>2.62</v>
      </c>
      <c r="R145" s="3">
        <v>2.63</v>
      </c>
      <c r="S145" s="3" t="str">
        <f>IF(Table1[[#This Row],[CGPA]]&gt;=3,"High",IF(R144&gt;=2,"Medium","Low"))</f>
        <v>Medium</v>
      </c>
      <c r="T145" s="2" t="s">
        <v>10</v>
      </c>
      <c r="U145" s="2" t="s">
        <v>8</v>
      </c>
      <c r="V145" s="2" t="s">
        <v>15</v>
      </c>
      <c r="W145" s="7">
        <v>0</v>
      </c>
      <c r="X145" t="str">
        <f t="shared" si="5"/>
        <v>Active</v>
      </c>
    </row>
    <row r="146" spans="1:24" x14ac:dyDescent="0.3">
      <c r="A146" s="2">
        <v>145</v>
      </c>
      <c r="B146" s="7">
        <v>21.6</v>
      </c>
      <c r="C146" s="2" t="s">
        <v>5</v>
      </c>
      <c r="D146" s="7">
        <f>IF(ISBLANK('Raw sheet'!D146),AVERAGE('Raw sheet'!$D$2:'Raw sheet'!$D$1500),'Raw sheet'!D146)</f>
        <v>62131</v>
      </c>
      <c r="E146" s="7" t="str">
        <f>IF(Table1[[#This Row],[Family_Income]]&gt;=100000,"Upper",IF(D146&gt;=50000,"Middle","Lower"))</f>
        <v>Middle</v>
      </c>
      <c r="F146" s="2" t="s">
        <v>4</v>
      </c>
      <c r="G146" s="3">
        <f>IF(ISBLANK('Raw sheet'!F146),AVERAGE('Raw sheet'!$F$2:'Raw sheet'!$F$1500),'Raw sheet'!F146)</f>
        <v>2.2000000000000002</v>
      </c>
      <c r="H146" s="18">
        <v>85</v>
      </c>
      <c r="I146" s="9" t="str">
        <f t="shared" si="4"/>
        <v>Good</v>
      </c>
      <c r="J146" s="2">
        <v>4</v>
      </c>
      <c r="K146" s="2">
        <v>20.3</v>
      </c>
      <c r="L146" s="2" t="s">
        <v>4</v>
      </c>
      <c r="M146" s="2" t="s">
        <v>3</v>
      </c>
      <c r="N146" s="5">
        <f>IF(ISBLANK('Raw sheet'!L146),AVERAGE('Raw sheet'!$L$2:'Raw sheet'!$L$1500),'Raw sheet'!L146)</f>
        <v>3.6</v>
      </c>
      <c r="O146" s="5" t="str">
        <f>IF(Table1[[#This Row],[Stress_Index]]&gt;=8,"High",IF(N146&gt;=5,"Medium","Low"))</f>
        <v>Low</v>
      </c>
      <c r="P146" s="3">
        <v>0.9</v>
      </c>
      <c r="Q146" s="2">
        <v>0.97</v>
      </c>
      <c r="R146" s="3">
        <v>0.97</v>
      </c>
      <c r="S146" s="3" t="str">
        <f>IF(Table1[[#This Row],[CGPA]]&gt;=3,"High",IF(R145&gt;=2,"Medium","Low"))</f>
        <v>Medium</v>
      </c>
      <c r="T146" s="2" t="s">
        <v>7</v>
      </c>
      <c r="U146" s="2" t="s">
        <v>1</v>
      </c>
      <c r="V146" s="2" t="s">
        <v>15</v>
      </c>
      <c r="W146" s="7">
        <v>0</v>
      </c>
      <c r="X146" t="str">
        <f t="shared" si="5"/>
        <v>Active</v>
      </c>
    </row>
    <row r="147" spans="1:24" x14ac:dyDescent="0.3">
      <c r="A147" s="2">
        <v>146</v>
      </c>
      <c r="B147" s="7">
        <v>22.7</v>
      </c>
      <c r="C147" s="2" t="s">
        <v>5</v>
      </c>
      <c r="D147" s="7">
        <f>IF(ISBLANK('Raw sheet'!D147),AVERAGE('Raw sheet'!$D$2:'Raw sheet'!$D$1500),'Raw sheet'!D147)</f>
        <v>25000</v>
      </c>
      <c r="E147" s="7" t="str">
        <f>IF(Table1[[#This Row],[Family_Income]]&gt;=100000,"Upper",IF(D147&gt;=50000,"Middle","Lower"))</f>
        <v>Lower</v>
      </c>
      <c r="F147" s="2" t="s">
        <v>4</v>
      </c>
      <c r="G147" s="3">
        <f>IF(ISBLANK('Raw sheet'!F147),AVERAGE('Raw sheet'!$F$2:'Raw sheet'!$F$1500),'Raw sheet'!F147)</f>
        <v>2.8</v>
      </c>
      <c r="H147" s="18">
        <v>91.4</v>
      </c>
      <c r="I147" s="9" t="str">
        <f t="shared" si="4"/>
        <v>Good</v>
      </c>
      <c r="J147" s="2">
        <v>3</v>
      </c>
      <c r="K147" s="2">
        <v>9.4</v>
      </c>
      <c r="L147" s="2" t="s">
        <v>3</v>
      </c>
      <c r="M147" s="2" t="s">
        <v>4</v>
      </c>
      <c r="N147" s="5">
        <f>IF(ISBLANK('Raw sheet'!L147),AVERAGE('Raw sheet'!$L$2:'Raw sheet'!$L$1500),'Raw sheet'!L147)</f>
        <v>4.5</v>
      </c>
      <c r="O147" s="5" t="str">
        <f>IF(Table1[[#This Row],[Stress_Index]]&gt;=8,"High",IF(N147&gt;=5,"Medium","Low"))</f>
        <v>Low</v>
      </c>
      <c r="P147" s="3">
        <v>2.11</v>
      </c>
      <c r="Q147" s="2">
        <v>2.71</v>
      </c>
      <c r="R147" s="3">
        <v>2.73</v>
      </c>
      <c r="S147" s="3" t="str">
        <f>IF(Table1[[#This Row],[CGPA]]&gt;=3,"High",IF(R146&gt;=2,"Medium","Low"))</f>
        <v>Low</v>
      </c>
      <c r="T147" s="2" t="s">
        <v>12</v>
      </c>
      <c r="U147" s="2" t="s">
        <v>6</v>
      </c>
      <c r="V147" s="2" t="s">
        <v>0</v>
      </c>
      <c r="W147" s="7">
        <v>0</v>
      </c>
      <c r="X147" t="str">
        <f t="shared" si="5"/>
        <v>Active</v>
      </c>
    </row>
    <row r="148" spans="1:24" x14ac:dyDescent="0.3">
      <c r="A148" s="2">
        <v>147</v>
      </c>
      <c r="B148" s="7">
        <v>18.3</v>
      </c>
      <c r="C148" s="2" t="s">
        <v>5</v>
      </c>
      <c r="D148" s="7">
        <f>IF(ISBLANK('Raw sheet'!D148),AVERAGE('Raw sheet'!$D$2:'Raw sheet'!$D$1500),'Raw sheet'!D148)</f>
        <v>25000</v>
      </c>
      <c r="E148" s="7" t="str">
        <f>IF(Table1[[#This Row],[Family_Income]]&gt;=100000,"Upper",IF(D148&gt;=50000,"Middle","Lower"))</f>
        <v>Lower</v>
      </c>
      <c r="F148" s="2" t="s">
        <v>4</v>
      </c>
      <c r="G148" s="3">
        <f>IF(ISBLANK('Raw sheet'!F148),AVERAGE('Raw sheet'!$F$2:'Raw sheet'!$F$1500),'Raw sheet'!F148)</f>
        <v>3.41</v>
      </c>
      <c r="H148" s="18">
        <v>78.900000000000006</v>
      </c>
      <c r="I148" s="9" t="str">
        <f t="shared" si="4"/>
        <v>Good</v>
      </c>
      <c r="J148" s="2">
        <v>1</v>
      </c>
      <c r="K148" s="2">
        <v>13.6</v>
      </c>
      <c r="L148" s="2" t="s">
        <v>3</v>
      </c>
      <c r="M148" s="2" t="s">
        <v>4</v>
      </c>
      <c r="N148" s="5">
        <f>IF(ISBLANK('Raw sheet'!L148),AVERAGE('Raw sheet'!$L$2:'Raw sheet'!$L$1500),'Raw sheet'!L148)</f>
        <v>4</v>
      </c>
      <c r="O148" s="5" t="str">
        <f>IF(Table1[[#This Row],[Stress_Index]]&gt;=8,"High",IF(N148&gt;=5,"Medium","Low"))</f>
        <v>Low</v>
      </c>
      <c r="P148" s="3">
        <v>1.81</v>
      </c>
      <c r="Q148" s="2">
        <v>1.98</v>
      </c>
      <c r="R148" s="3">
        <v>1.91</v>
      </c>
      <c r="S148" s="3" t="str">
        <f>IF(Table1[[#This Row],[CGPA]]&gt;=3,"High",IF(R147&gt;=2,"Medium","Low"))</f>
        <v>Medium</v>
      </c>
      <c r="T148" s="2" t="s">
        <v>12</v>
      </c>
      <c r="U148" s="2" t="s">
        <v>8</v>
      </c>
      <c r="V148" s="2" t="s">
        <v>15</v>
      </c>
      <c r="W148" s="7">
        <v>0</v>
      </c>
      <c r="X148" t="str">
        <f t="shared" si="5"/>
        <v>Active</v>
      </c>
    </row>
    <row r="149" spans="1:24" x14ac:dyDescent="0.3">
      <c r="A149" s="2">
        <v>148</v>
      </c>
      <c r="B149" s="7">
        <v>18.100000000000001</v>
      </c>
      <c r="C149" s="2" t="s">
        <v>5</v>
      </c>
      <c r="D149" s="7">
        <f>IF(ISBLANK('Raw sheet'!D149),AVERAGE('Raw sheet'!$D$2:'Raw sheet'!$D$1500),'Raw sheet'!D149)</f>
        <v>45124</v>
      </c>
      <c r="E149" s="7" t="str">
        <f>IF(Table1[[#This Row],[Family_Income]]&gt;=100000,"Upper",IF(D149&gt;=50000,"Middle","Lower"))</f>
        <v>Lower</v>
      </c>
      <c r="F149" s="2" t="s">
        <v>4</v>
      </c>
      <c r="G149" s="3">
        <f>IF(ISBLANK('Raw sheet'!F149),AVERAGE('Raw sheet'!$F$2:'Raw sheet'!$F$1500),'Raw sheet'!F149)</f>
        <v>3.12</v>
      </c>
      <c r="H149" s="18">
        <v>78</v>
      </c>
      <c r="I149" s="9" t="str">
        <f t="shared" si="4"/>
        <v>Good</v>
      </c>
      <c r="J149" s="2">
        <v>0</v>
      </c>
      <c r="K149" s="2">
        <v>10.9</v>
      </c>
      <c r="L149" s="2" t="s">
        <v>3</v>
      </c>
      <c r="M149" s="2" t="s">
        <v>4</v>
      </c>
      <c r="N149" s="5">
        <f>IF(ISBLANK('Raw sheet'!L149),AVERAGE('Raw sheet'!$L$2:'Raw sheet'!$L$1500),'Raw sheet'!L149)</f>
        <v>5.3</v>
      </c>
      <c r="O149" s="5" t="str">
        <f>IF(Table1[[#This Row],[Stress_Index]]&gt;=8,"High",IF(N149&gt;=5,"Medium","Low"))</f>
        <v>Medium</v>
      </c>
      <c r="P149" s="3">
        <v>2.68</v>
      </c>
      <c r="Q149" s="2">
        <v>2.23</v>
      </c>
      <c r="R149" s="3">
        <v>2.27</v>
      </c>
      <c r="S149" s="3" t="str">
        <f>IF(Table1[[#This Row],[CGPA]]&gt;=3,"High",IF(R148&gt;=2,"Medium","Low"))</f>
        <v>Low</v>
      </c>
      <c r="T149" s="2" t="s">
        <v>12</v>
      </c>
      <c r="U149" s="2" t="s">
        <v>6</v>
      </c>
      <c r="V149" s="2" t="s">
        <v>0</v>
      </c>
      <c r="W149" s="7">
        <v>0</v>
      </c>
      <c r="X149" t="str">
        <f t="shared" si="5"/>
        <v>Active</v>
      </c>
    </row>
    <row r="150" spans="1:24" x14ac:dyDescent="0.3">
      <c r="A150" s="2">
        <v>149</v>
      </c>
      <c r="B150" s="7">
        <v>22.1</v>
      </c>
      <c r="C150" s="2" t="s">
        <v>11</v>
      </c>
      <c r="D150" s="7">
        <f>IF(ISBLANK('Raw sheet'!D150),AVERAGE('Raw sheet'!$D$2:'Raw sheet'!$D$1500),'Raw sheet'!D150)</f>
        <v>36994</v>
      </c>
      <c r="E150" s="7" t="str">
        <f>IF(Table1[[#This Row],[Family_Income]]&gt;=100000,"Upper",IF(D150&gt;=50000,"Middle","Lower"))</f>
        <v>Lower</v>
      </c>
      <c r="F150" s="2" t="s">
        <v>4</v>
      </c>
      <c r="G150" s="3">
        <f>IF(ISBLANK('Raw sheet'!F150),AVERAGE('Raw sheet'!$F$2:'Raw sheet'!$F$1500),'Raw sheet'!F150)</f>
        <v>4.07</v>
      </c>
      <c r="H150" s="18">
        <v>81.3</v>
      </c>
      <c r="I150" s="9" t="str">
        <f t="shared" si="4"/>
        <v>Good</v>
      </c>
      <c r="J150" s="2">
        <v>3</v>
      </c>
      <c r="K150" s="2">
        <v>32.700000000000003</v>
      </c>
      <c r="L150" s="2" t="s">
        <v>3</v>
      </c>
      <c r="M150" s="2" t="s">
        <v>3</v>
      </c>
      <c r="N150" s="5">
        <f>IF(ISBLANK('Raw sheet'!L150),AVERAGE('Raw sheet'!$L$2:'Raw sheet'!$L$1500),'Raw sheet'!L150)</f>
        <v>4.8</v>
      </c>
      <c r="O150" s="5" t="str">
        <f>IF(Table1[[#This Row],[Stress_Index]]&gt;=8,"High",IF(N150&gt;=5,"Medium","Low"))</f>
        <v>Low</v>
      </c>
      <c r="P150" s="3">
        <v>2.89</v>
      </c>
      <c r="Q150" s="2">
        <v>3.07</v>
      </c>
      <c r="R150" s="3">
        <v>3.09</v>
      </c>
      <c r="S150" s="3" t="str">
        <f>IF(Table1[[#This Row],[CGPA]]&gt;=3,"High",IF(R149&gt;=2,"Medium","Low"))</f>
        <v>High</v>
      </c>
      <c r="T150" s="2" t="s">
        <v>12</v>
      </c>
      <c r="U150" s="2" t="s">
        <v>13</v>
      </c>
      <c r="V150" s="2" t="s">
        <v>15</v>
      </c>
      <c r="W150" s="7">
        <v>0</v>
      </c>
      <c r="X150" t="str">
        <f t="shared" si="5"/>
        <v>Active</v>
      </c>
    </row>
    <row r="151" spans="1:24" x14ac:dyDescent="0.3">
      <c r="A151" s="2">
        <v>150</v>
      </c>
      <c r="B151" s="7">
        <v>21.7</v>
      </c>
      <c r="C151" s="2" t="s">
        <v>11</v>
      </c>
      <c r="D151" s="7">
        <f>IF(ISBLANK('Raw sheet'!D151),AVERAGE('Raw sheet'!$D$2:'Raw sheet'!$D$1500),'Raw sheet'!D151)</f>
        <v>25000</v>
      </c>
      <c r="E151" s="7" t="str">
        <f>IF(Table1[[#This Row],[Family_Income]]&gt;=100000,"Upper",IF(D151&gt;=50000,"Middle","Lower"))</f>
        <v>Lower</v>
      </c>
      <c r="F151" s="2" t="s">
        <v>4</v>
      </c>
      <c r="G151" s="3">
        <f>IF(ISBLANK('Raw sheet'!F151),AVERAGE('Raw sheet'!$F$2:'Raw sheet'!$F$1500),'Raw sheet'!F151)</f>
        <v>3.77</v>
      </c>
      <c r="H151" s="18">
        <v>59.4</v>
      </c>
      <c r="I151" s="9" t="str">
        <f t="shared" si="4"/>
        <v>Low</v>
      </c>
      <c r="J151" s="2">
        <v>5</v>
      </c>
      <c r="K151" s="2">
        <v>32.799999999999997</v>
      </c>
      <c r="L151" s="2" t="s">
        <v>3</v>
      </c>
      <c r="M151" s="2" t="s">
        <v>3</v>
      </c>
      <c r="N151" s="5">
        <f>IF(ISBLANK('Raw sheet'!L151),AVERAGE('Raw sheet'!$L$2:'Raw sheet'!$L$1500),'Raw sheet'!L151)</f>
        <v>3.8</v>
      </c>
      <c r="O151" s="5" t="str">
        <f>IF(Table1[[#This Row],[Stress_Index]]&gt;=8,"High",IF(N151&gt;=5,"Medium","Low"))</f>
        <v>Low</v>
      </c>
      <c r="P151" s="3">
        <v>3.15</v>
      </c>
      <c r="Q151" s="2">
        <v>3.26</v>
      </c>
      <c r="R151" s="3">
        <v>3.26</v>
      </c>
      <c r="S151" s="3" t="str">
        <f>IF(Table1[[#This Row],[CGPA]]&gt;=3,"High",IF(R150&gt;=2,"Medium","Low"))</f>
        <v>High</v>
      </c>
      <c r="T151" s="2" t="s">
        <v>2</v>
      </c>
      <c r="U151" s="2" t="s">
        <v>14</v>
      </c>
      <c r="V151" s="2" t="s">
        <v>9</v>
      </c>
      <c r="W151" s="7">
        <v>0</v>
      </c>
      <c r="X151" t="str">
        <f t="shared" si="5"/>
        <v>Active</v>
      </c>
    </row>
    <row r="152" spans="1:24" x14ac:dyDescent="0.3">
      <c r="A152" s="2">
        <v>151</v>
      </c>
      <c r="B152" s="7">
        <v>21.6</v>
      </c>
      <c r="C152" s="2" t="s">
        <v>5</v>
      </c>
      <c r="D152" s="7">
        <f>IF(ISBLANK('Raw sheet'!D152),AVERAGE('Raw sheet'!$D$2:'Raw sheet'!$D$1500),'Raw sheet'!D152)</f>
        <v>25000</v>
      </c>
      <c r="E152" s="7" t="str">
        <f>IF(Table1[[#This Row],[Family_Income]]&gt;=100000,"Upper",IF(D152&gt;=50000,"Middle","Lower"))</f>
        <v>Lower</v>
      </c>
      <c r="F152" s="2" t="s">
        <v>4</v>
      </c>
      <c r="G152" s="3">
        <f>IF(ISBLANK('Raw sheet'!F152),AVERAGE('Raw sheet'!$F$2:'Raw sheet'!$F$1500),'Raw sheet'!F152)</f>
        <v>4.0999999999999996</v>
      </c>
      <c r="H152" s="18">
        <v>83.7</v>
      </c>
      <c r="I152" s="9" t="str">
        <f t="shared" si="4"/>
        <v>Good</v>
      </c>
      <c r="J152" s="2">
        <v>0</v>
      </c>
      <c r="K152" s="2">
        <v>37.299999999999997</v>
      </c>
      <c r="L152" s="2" t="s">
        <v>4</v>
      </c>
      <c r="M152" s="2" t="s">
        <v>4</v>
      </c>
      <c r="N152" s="5">
        <f>IF(ISBLANK('Raw sheet'!L152),AVERAGE('Raw sheet'!$L$2:'Raw sheet'!$L$1500),'Raw sheet'!L152)</f>
        <v>7.2</v>
      </c>
      <c r="O152" s="5" t="str">
        <f>IF(Table1[[#This Row],[Stress_Index]]&gt;=8,"High",IF(N152&gt;=5,"Medium","Low"))</f>
        <v>Medium</v>
      </c>
      <c r="P152" s="3">
        <v>2.21</v>
      </c>
      <c r="Q152" s="2">
        <v>2.5499999999999998</v>
      </c>
      <c r="R152" s="3">
        <v>2.5299999999999998</v>
      </c>
      <c r="S152" s="3" t="str">
        <f>IF(Table1[[#This Row],[CGPA]]&gt;=3,"High",IF(R151&gt;=2,"Medium","Low"))</f>
        <v>Medium</v>
      </c>
      <c r="T152" s="2" t="s">
        <v>7</v>
      </c>
      <c r="U152" s="2" t="s">
        <v>14</v>
      </c>
      <c r="V152" s="2" t="s">
        <v>15</v>
      </c>
      <c r="W152" s="7">
        <v>0</v>
      </c>
      <c r="X152" t="str">
        <f t="shared" si="5"/>
        <v>Active</v>
      </c>
    </row>
    <row r="153" spans="1:24" x14ac:dyDescent="0.3">
      <c r="A153" s="2">
        <v>152</v>
      </c>
      <c r="B153" s="7">
        <v>21.8</v>
      </c>
      <c r="C153" s="2" t="s">
        <v>11</v>
      </c>
      <c r="D153" s="7">
        <f>IF(ISBLANK('Raw sheet'!D153),AVERAGE('Raw sheet'!$D$2:'Raw sheet'!$D$1500),'Raw sheet'!D153)</f>
        <v>26569</v>
      </c>
      <c r="E153" s="7" t="str">
        <f>IF(Table1[[#This Row],[Family_Income]]&gt;=100000,"Upper",IF(D153&gt;=50000,"Middle","Lower"))</f>
        <v>Lower</v>
      </c>
      <c r="F153" s="2" t="s">
        <v>4</v>
      </c>
      <c r="G153" s="3">
        <f>IF(ISBLANK('Raw sheet'!F153),AVERAGE('Raw sheet'!$F$2:'Raw sheet'!$F$1500),'Raw sheet'!F153)</f>
        <v>7.17</v>
      </c>
      <c r="H153" s="18">
        <v>79.400000000000006</v>
      </c>
      <c r="I153" s="9" t="str">
        <f t="shared" si="4"/>
        <v>Good</v>
      </c>
      <c r="J153" s="2">
        <v>2</v>
      </c>
      <c r="K153" s="2">
        <v>38.799999999999997</v>
      </c>
      <c r="L153" s="2" t="s">
        <v>4</v>
      </c>
      <c r="M153" s="2" t="s">
        <v>4</v>
      </c>
      <c r="N153" s="5">
        <f>IF(ISBLANK('Raw sheet'!L153),AVERAGE('Raw sheet'!$L$2:'Raw sheet'!$L$1500),'Raw sheet'!L153)</f>
        <v>7.3</v>
      </c>
      <c r="O153" s="5" t="str">
        <f>IF(Table1[[#This Row],[Stress_Index]]&gt;=8,"High",IF(N153&gt;=5,"Medium","Low"))</f>
        <v>Medium</v>
      </c>
      <c r="P153" s="3">
        <v>0.92</v>
      </c>
      <c r="Q153" s="2">
        <v>1.25</v>
      </c>
      <c r="R153" s="3">
        <v>1.25</v>
      </c>
      <c r="S153" s="3" t="str">
        <f>IF(Table1[[#This Row],[CGPA]]&gt;=3,"High",IF(R152&gt;=2,"Medium","Low"))</f>
        <v>Medium</v>
      </c>
      <c r="T153" s="2" t="s">
        <v>2</v>
      </c>
      <c r="U153" s="2" t="s">
        <v>8</v>
      </c>
      <c r="V153" s="2" t="s">
        <v>9</v>
      </c>
      <c r="W153" s="7">
        <v>0</v>
      </c>
      <c r="X153" t="str">
        <f t="shared" si="5"/>
        <v>Active</v>
      </c>
    </row>
    <row r="154" spans="1:24" x14ac:dyDescent="0.3">
      <c r="A154" s="2">
        <v>153</v>
      </c>
      <c r="B154" s="7">
        <v>19.5</v>
      </c>
      <c r="C154" s="2" t="s">
        <v>5</v>
      </c>
      <c r="D154" s="7">
        <f>IF(ISBLANK('Raw sheet'!D154),AVERAGE('Raw sheet'!$D$2:'Raw sheet'!$D$1500),'Raw sheet'!D154)</f>
        <v>25000</v>
      </c>
      <c r="E154" s="7" t="str">
        <f>IF(Table1[[#This Row],[Family_Income]]&gt;=100000,"Upper",IF(D154&gt;=50000,"Middle","Lower"))</f>
        <v>Lower</v>
      </c>
      <c r="F154" s="2" t="s">
        <v>4</v>
      </c>
      <c r="G154" s="3">
        <f>IF(ISBLANK('Raw sheet'!F154),AVERAGE('Raw sheet'!$F$2:'Raw sheet'!$F$1500),'Raw sheet'!F154)</f>
        <v>5.14</v>
      </c>
      <c r="H154" s="18">
        <v>85.1</v>
      </c>
      <c r="I154" s="9" t="str">
        <f t="shared" si="4"/>
        <v>Good</v>
      </c>
      <c r="J154" s="2">
        <v>1</v>
      </c>
      <c r="K154" s="2">
        <v>37.5</v>
      </c>
      <c r="L154" s="2" t="s">
        <v>4</v>
      </c>
      <c r="M154" s="2" t="s">
        <v>4</v>
      </c>
      <c r="N154" s="5">
        <f>IF(ISBLANK('Raw sheet'!L154),AVERAGE('Raw sheet'!$L$2:'Raw sheet'!$L$1500),'Raw sheet'!L154)</f>
        <v>5.8</v>
      </c>
      <c r="O154" s="5" t="str">
        <f>IF(Table1[[#This Row],[Stress_Index]]&gt;=8,"High",IF(N154&gt;=5,"Medium","Low"))</f>
        <v>Medium</v>
      </c>
      <c r="P154" s="3">
        <v>3.84</v>
      </c>
      <c r="Q154" s="2">
        <v>3.78</v>
      </c>
      <c r="R154" s="3">
        <v>3.86</v>
      </c>
      <c r="S154" s="3" t="str">
        <f>IF(Table1[[#This Row],[CGPA]]&gt;=3,"High",IF(R153&gt;=2,"Medium","Low"))</f>
        <v>High</v>
      </c>
      <c r="T154" s="2" t="s">
        <v>7</v>
      </c>
      <c r="U154" s="2" t="s">
        <v>6</v>
      </c>
      <c r="V154" s="2" t="s">
        <v>0</v>
      </c>
      <c r="W154" s="7">
        <v>0</v>
      </c>
      <c r="X154" t="str">
        <f t="shared" si="5"/>
        <v>Active</v>
      </c>
    </row>
    <row r="155" spans="1:24" x14ac:dyDescent="0.3">
      <c r="A155" s="2">
        <v>154</v>
      </c>
      <c r="B155" s="7">
        <v>21.5</v>
      </c>
      <c r="C155" s="2" t="s">
        <v>11</v>
      </c>
      <c r="D155" s="7">
        <f>IF(ISBLANK('Raw sheet'!D155),AVERAGE('Raw sheet'!$D$2:'Raw sheet'!$D$1500),'Raw sheet'!D155)</f>
        <v>25000</v>
      </c>
      <c r="E155" s="7" t="str">
        <f>IF(Table1[[#This Row],[Family_Income]]&gt;=100000,"Upper",IF(D155&gt;=50000,"Middle","Lower"))</f>
        <v>Lower</v>
      </c>
      <c r="F155" s="2" t="s">
        <v>4</v>
      </c>
      <c r="G155" s="3">
        <f>IF(ISBLANK('Raw sheet'!F155),AVERAGE('Raw sheet'!$F$2:'Raw sheet'!$F$1500),'Raw sheet'!F155)</f>
        <v>4.3499999999999996</v>
      </c>
      <c r="H155" s="18">
        <v>74.8</v>
      </c>
      <c r="I155" s="9" t="str">
        <f t="shared" si="4"/>
        <v>Low</v>
      </c>
      <c r="J155" s="2">
        <v>1</v>
      </c>
      <c r="K155" s="2">
        <v>48.5</v>
      </c>
      <c r="L155" s="2" t="s">
        <v>3</v>
      </c>
      <c r="M155" s="2" t="s">
        <v>3</v>
      </c>
      <c r="N155" s="5">
        <f>IF(ISBLANK('Raw sheet'!L155),AVERAGE('Raw sheet'!$L$2:'Raw sheet'!$L$1500),'Raw sheet'!L155)</f>
        <v>3.7</v>
      </c>
      <c r="O155" s="5" t="str">
        <f>IF(Table1[[#This Row],[Stress_Index]]&gt;=8,"High",IF(N155&gt;=5,"Medium","Low"))</f>
        <v>Low</v>
      </c>
      <c r="P155" s="3">
        <v>3.68</v>
      </c>
      <c r="Q155" s="2">
        <v>3.49</v>
      </c>
      <c r="R155" s="3">
        <v>3.42</v>
      </c>
      <c r="S155" s="3" t="str">
        <f>IF(Table1[[#This Row],[CGPA]]&gt;=3,"High",IF(R154&gt;=2,"Medium","Low"))</f>
        <v>High</v>
      </c>
      <c r="T155" s="2" t="s">
        <v>12</v>
      </c>
      <c r="U155" s="2" t="s">
        <v>1</v>
      </c>
      <c r="V155" s="2" t="s">
        <v>9</v>
      </c>
      <c r="W155" s="7">
        <v>0</v>
      </c>
      <c r="X155" t="str">
        <f t="shared" si="5"/>
        <v>Active</v>
      </c>
    </row>
    <row r="156" spans="1:24" x14ac:dyDescent="0.3">
      <c r="A156" s="2">
        <v>155</v>
      </c>
      <c r="B156" s="7">
        <v>21.6</v>
      </c>
      <c r="C156" s="2" t="s">
        <v>5</v>
      </c>
      <c r="D156" s="7">
        <f>IF(ISBLANK('Raw sheet'!D156),AVERAGE('Raw sheet'!$D$2:'Raw sheet'!$D$1500),'Raw sheet'!D156)</f>
        <v>31868</v>
      </c>
      <c r="E156" s="7" t="str">
        <f>IF(Table1[[#This Row],[Family_Income]]&gt;=100000,"Upper",IF(D156&gt;=50000,"Middle","Lower"))</f>
        <v>Lower</v>
      </c>
      <c r="F156" s="2" t="s">
        <v>4</v>
      </c>
      <c r="G156" s="3">
        <f>IF(ISBLANK('Raw sheet'!F156),AVERAGE('Raw sheet'!$F$2:'Raw sheet'!$F$1500),'Raw sheet'!F156)</f>
        <v>5.38</v>
      </c>
      <c r="H156" s="18">
        <v>92.8</v>
      </c>
      <c r="I156" s="9" t="str">
        <f t="shared" si="4"/>
        <v>Good</v>
      </c>
      <c r="J156" s="2">
        <v>4</v>
      </c>
      <c r="K156" s="2">
        <v>44.3</v>
      </c>
      <c r="L156" s="2" t="s">
        <v>3</v>
      </c>
      <c r="M156" s="2" t="s">
        <v>4</v>
      </c>
      <c r="N156" s="5">
        <f>IF(ISBLANK('Raw sheet'!L156),AVERAGE('Raw sheet'!$L$2:'Raw sheet'!$L$1500),'Raw sheet'!L156)</f>
        <v>5.7</v>
      </c>
      <c r="O156" s="5" t="str">
        <f>IF(Table1[[#This Row],[Stress_Index]]&gt;=8,"High",IF(N156&gt;=5,"Medium","Low"))</f>
        <v>Medium</v>
      </c>
      <c r="P156" s="3">
        <v>4</v>
      </c>
      <c r="Q156" s="2">
        <v>4</v>
      </c>
      <c r="R156" s="3">
        <v>4</v>
      </c>
      <c r="S156" s="3" t="str">
        <f>IF(Table1[[#This Row],[CGPA]]&gt;=3,"High",IF(R155&gt;=2,"Medium","Low"))</f>
        <v>High</v>
      </c>
      <c r="T156" s="2" t="s">
        <v>2</v>
      </c>
      <c r="U156" s="2" t="s">
        <v>8</v>
      </c>
      <c r="V156" s="2" t="s">
        <v>9</v>
      </c>
      <c r="W156" s="7">
        <v>0</v>
      </c>
      <c r="X156" t="str">
        <f t="shared" si="5"/>
        <v>Active</v>
      </c>
    </row>
    <row r="157" spans="1:24" x14ac:dyDescent="0.3">
      <c r="A157" s="2">
        <v>156</v>
      </c>
      <c r="B157" s="7">
        <v>19.399999999999999</v>
      </c>
      <c r="C157" s="2" t="s">
        <v>11</v>
      </c>
      <c r="D157" s="7">
        <f>IF(ISBLANK('Raw sheet'!D157),AVERAGE('Raw sheet'!$D$2:'Raw sheet'!$D$1500),'Raw sheet'!D157)</f>
        <v>25000</v>
      </c>
      <c r="E157" s="7" t="str">
        <f>IF(Table1[[#This Row],[Family_Income]]&gt;=100000,"Upper",IF(D157&gt;=50000,"Middle","Lower"))</f>
        <v>Lower</v>
      </c>
      <c r="F157" s="2" t="s">
        <v>3</v>
      </c>
      <c r="G157" s="3">
        <f>IF(ISBLANK('Raw sheet'!F157),AVERAGE('Raw sheet'!$F$2:'Raw sheet'!$F$1500),'Raw sheet'!F157)</f>
        <v>2.95</v>
      </c>
      <c r="H157" s="18">
        <v>80.3</v>
      </c>
      <c r="I157" s="9" t="str">
        <f t="shared" si="4"/>
        <v>Good</v>
      </c>
      <c r="J157" s="2">
        <v>2</v>
      </c>
      <c r="K157" s="2">
        <v>41.5</v>
      </c>
      <c r="L157" s="2" t="s">
        <v>4</v>
      </c>
      <c r="M157" s="2" t="s">
        <v>3</v>
      </c>
      <c r="N157" s="5">
        <f>IF(ISBLANK('Raw sheet'!L157),AVERAGE('Raw sheet'!$L$2:'Raw sheet'!$L$1500),'Raw sheet'!L157)</f>
        <v>4.4000000000000004</v>
      </c>
      <c r="O157" s="5" t="str">
        <f>IF(Table1[[#This Row],[Stress_Index]]&gt;=8,"High",IF(N157&gt;=5,"Medium","Low"))</f>
        <v>Low</v>
      </c>
      <c r="P157" s="3">
        <v>3.72</v>
      </c>
      <c r="Q157" s="2">
        <v>3.87</v>
      </c>
      <c r="R157" s="3">
        <v>3.87</v>
      </c>
      <c r="S157" s="3" t="str">
        <f>IF(Table1[[#This Row],[CGPA]]&gt;=3,"High",IF(R156&gt;=2,"Medium","Low"))</f>
        <v>High</v>
      </c>
      <c r="T157" s="2" t="s">
        <v>2</v>
      </c>
      <c r="U157" s="2" t="s">
        <v>8</v>
      </c>
      <c r="V157" s="2" t="s">
        <v>0</v>
      </c>
      <c r="W157" s="7">
        <v>0</v>
      </c>
      <c r="X157" t="str">
        <f t="shared" si="5"/>
        <v>Active</v>
      </c>
    </row>
    <row r="158" spans="1:24" x14ac:dyDescent="0.3">
      <c r="A158" s="2">
        <v>157</v>
      </c>
      <c r="B158" s="7">
        <v>25.1</v>
      </c>
      <c r="C158" s="2" t="s">
        <v>11</v>
      </c>
      <c r="D158" s="7">
        <f>IF(ISBLANK('Raw sheet'!D158),AVERAGE('Raw sheet'!$D$2:'Raw sheet'!$D$1500),'Raw sheet'!D158)</f>
        <v>38404</v>
      </c>
      <c r="E158" s="7" t="str">
        <f>IF(Table1[[#This Row],[Family_Income]]&gt;=100000,"Upper",IF(D158&gt;=50000,"Middle","Lower"))</f>
        <v>Lower</v>
      </c>
      <c r="F158" s="2" t="s">
        <v>4</v>
      </c>
      <c r="G158" s="3">
        <f>IF(ISBLANK('Raw sheet'!F158),AVERAGE('Raw sheet'!$F$2:'Raw sheet'!$F$1500),'Raw sheet'!F158)</f>
        <v>2.9</v>
      </c>
      <c r="H158" s="18">
        <v>88.7</v>
      </c>
      <c r="I158" s="9" t="str">
        <f t="shared" si="4"/>
        <v>Good</v>
      </c>
      <c r="J158" s="2">
        <v>1</v>
      </c>
      <c r="K158" s="2">
        <v>32.799999999999997</v>
      </c>
      <c r="L158" s="2" t="s">
        <v>3</v>
      </c>
      <c r="M158" s="2" t="s">
        <v>3</v>
      </c>
      <c r="N158" s="5">
        <f>IF(ISBLANK('Raw sheet'!L158),AVERAGE('Raw sheet'!$L$2:'Raw sheet'!$L$1500),'Raw sheet'!L158)</f>
        <v>7.8</v>
      </c>
      <c r="O158" s="5" t="str">
        <f>IF(Table1[[#This Row],[Stress_Index]]&gt;=8,"High",IF(N158&gt;=5,"Medium","Low"))</f>
        <v>Medium</v>
      </c>
      <c r="P158" s="3">
        <v>0.63</v>
      </c>
      <c r="Q158" s="2">
        <v>0.88</v>
      </c>
      <c r="R158" s="3">
        <v>0.88</v>
      </c>
      <c r="S158" s="3" t="str">
        <f>IF(Table1[[#This Row],[CGPA]]&gt;=3,"High",IF(R157&gt;=2,"Medium","Low"))</f>
        <v>Medium</v>
      </c>
      <c r="T158" s="2" t="s">
        <v>2</v>
      </c>
      <c r="U158" s="2" t="s">
        <v>8</v>
      </c>
      <c r="V158" s="2" t="s">
        <v>16</v>
      </c>
      <c r="W158" s="7">
        <v>1</v>
      </c>
      <c r="X158" t="str">
        <f t="shared" si="5"/>
        <v>Dropped Out</v>
      </c>
    </row>
    <row r="159" spans="1:24" x14ac:dyDescent="0.3">
      <c r="A159" s="2">
        <v>158</v>
      </c>
      <c r="B159" s="7">
        <v>22</v>
      </c>
      <c r="C159" s="2" t="s">
        <v>5</v>
      </c>
      <c r="D159" s="7">
        <f>IF(ISBLANK('Raw sheet'!D159),AVERAGE('Raw sheet'!$D$2:'Raw sheet'!$D$1500),'Raw sheet'!D159)</f>
        <v>72699</v>
      </c>
      <c r="E159" s="7" t="str">
        <f>IF(Table1[[#This Row],[Family_Income]]&gt;=100000,"Upper",IF(D159&gt;=50000,"Middle","Lower"))</f>
        <v>Middle</v>
      </c>
      <c r="F159" s="2" t="s">
        <v>4</v>
      </c>
      <c r="G159" s="3">
        <f>IF(ISBLANK('Raw sheet'!F159),AVERAGE('Raw sheet'!$F$2:'Raw sheet'!$F$1500),'Raw sheet'!F159)</f>
        <v>5.19</v>
      </c>
      <c r="H159" s="18">
        <v>77.900000000000006</v>
      </c>
      <c r="I159" s="9" t="str">
        <f t="shared" si="4"/>
        <v>Good</v>
      </c>
      <c r="J159" s="2">
        <v>2</v>
      </c>
      <c r="K159" s="2">
        <v>38.6</v>
      </c>
      <c r="L159" s="2" t="s">
        <v>3</v>
      </c>
      <c r="M159" s="2" t="s">
        <v>3</v>
      </c>
      <c r="N159" s="5">
        <f>IF(ISBLANK('Raw sheet'!L159),AVERAGE('Raw sheet'!$L$2:'Raw sheet'!$L$1500),'Raw sheet'!L159)</f>
        <v>3.3</v>
      </c>
      <c r="O159" s="5" t="str">
        <f>IF(Table1[[#This Row],[Stress_Index]]&gt;=8,"High",IF(N159&gt;=5,"Medium","Low"))</f>
        <v>Low</v>
      </c>
      <c r="P159" s="3">
        <v>3.6</v>
      </c>
      <c r="Q159" s="2">
        <v>3.55</v>
      </c>
      <c r="R159" s="3">
        <v>3.55</v>
      </c>
      <c r="S159" s="3" t="str">
        <f>IF(Table1[[#This Row],[CGPA]]&gt;=3,"High",IF(R158&gt;=2,"Medium","Low"))</f>
        <v>High</v>
      </c>
      <c r="T159" s="2" t="s">
        <v>2</v>
      </c>
      <c r="U159" s="2" t="s">
        <v>13</v>
      </c>
      <c r="V159" s="2" t="s">
        <v>0</v>
      </c>
      <c r="W159" s="7">
        <v>0</v>
      </c>
      <c r="X159" t="str">
        <f t="shared" si="5"/>
        <v>Active</v>
      </c>
    </row>
    <row r="160" spans="1:24" x14ac:dyDescent="0.3">
      <c r="A160" s="2">
        <v>159</v>
      </c>
      <c r="B160" s="7">
        <v>18.399999999999999</v>
      </c>
      <c r="C160" s="2" t="s">
        <v>11</v>
      </c>
      <c r="D160" s="7">
        <f>IF(ISBLANK('Raw sheet'!D160),AVERAGE('Raw sheet'!$D$2:'Raw sheet'!$D$1500),'Raw sheet'!D160)</f>
        <v>27197</v>
      </c>
      <c r="E160" s="7" t="str">
        <f>IF(Table1[[#This Row],[Family_Income]]&gt;=100000,"Upper",IF(D160&gt;=50000,"Middle","Lower"))</f>
        <v>Lower</v>
      </c>
      <c r="F160" s="2" t="s">
        <v>4</v>
      </c>
      <c r="G160" s="3">
        <f>IF(ISBLANK('Raw sheet'!F160),AVERAGE('Raw sheet'!$F$2:'Raw sheet'!$F$1500),'Raw sheet'!F160)</f>
        <v>4</v>
      </c>
      <c r="H160" s="18">
        <v>85.7</v>
      </c>
      <c r="I160" s="9" t="str">
        <f t="shared" si="4"/>
        <v>Good</v>
      </c>
      <c r="J160" s="2">
        <v>2</v>
      </c>
      <c r="K160" s="2">
        <v>25.1</v>
      </c>
      <c r="L160" s="2" t="s">
        <v>3</v>
      </c>
      <c r="M160" s="2" t="s">
        <v>3</v>
      </c>
      <c r="N160" s="5">
        <f>IF(ISBLANK('Raw sheet'!L160),AVERAGE('Raw sheet'!$L$2:'Raw sheet'!$L$1500),'Raw sheet'!L160)</f>
        <v>6.7</v>
      </c>
      <c r="O160" s="5" t="str">
        <f>IF(Table1[[#This Row],[Stress_Index]]&gt;=8,"High",IF(N160&gt;=5,"Medium","Low"))</f>
        <v>Medium</v>
      </c>
      <c r="P160" s="3">
        <v>2.34</v>
      </c>
      <c r="Q160" s="2">
        <v>2.4500000000000002</v>
      </c>
      <c r="R160" s="3">
        <v>2.42</v>
      </c>
      <c r="S160" s="3" t="str">
        <f>IF(Table1[[#This Row],[CGPA]]&gt;=3,"High",IF(R159&gt;=2,"Medium","Low"))</f>
        <v>Medium</v>
      </c>
      <c r="T160" s="2" t="s">
        <v>10</v>
      </c>
      <c r="U160" s="2" t="s">
        <v>6</v>
      </c>
      <c r="V160" s="2" t="s">
        <v>17</v>
      </c>
      <c r="W160" s="7">
        <v>0</v>
      </c>
      <c r="X160" t="str">
        <f t="shared" si="5"/>
        <v>Active</v>
      </c>
    </row>
    <row r="161" spans="1:24" x14ac:dyDescent="0.3">
      <c r="A161" s="2">
        <v>160</v>
      </c>
      <c r="B161" s="7">
        <v>22.4</v>
      </c>
      <c r="C161" s="2" t="s">
        <v>5</v>
      </c>
      <c r="D161" s="7">
        <f>IF(ISBLANK('Raw sheet'!D161),AVERAGE('Raw sheet'!$D$2:'Raw sheet'!$D$1500),'Raw sheet'!D161)</f>
        <v>32148</v>
      </c>
      <c r="E161" s="7" t="str">
        <f>IF(Table1[[#This Row],[Family_Income]]&gt;=100000,"Upper",IF(D161&gt;=50000,"Middle","Lower"))</f>
        <v>Lower</v>
      </c>
      <c r="F161" s="2" t="s">
        <v>4</v>
      </c>
      <c r="G161" s="3">
        <f>IF(ISBLANK('Raw sheet'!F161),AVERAGE('Raw sheet'!$F$2:'Raw sheet'!$F$1500),'Raw sheet'!F161)</f>
        <v>4.16</v>
      </c>
      <c r="H161" s="18">
        <v>69.599999999999994</v>
      </c>
      <c r="I161" s="9" t="str">
        <f t="shared" si="4"/>
        <v>Low</v>
      </c>
      <c r="J161" s="2">
        <v>0</v>
      </c>
      <c r="K161" s="2">
        <v>27.3</v>
      </c>
      <c r="L161" s="2" t="s">
        <v>4</v>
      </c>
      <c r="M161" s="2" t="s">
        <v>4</v>
      </c>
      <c r="N161" s="5">
        <f>IF(ISBLANK('Raw sheet'!L161),AVERAGE('Raw sheet'!$L$2:'Raw sheet'!$L$1500),'Raw sheet'!L161)</f>
        <v>6.6</v>
      </c>
      <c r="O161" s="5" t="str">
        <f>IF(Table1[[#This Row],[Stress_Index]]&gt;=8,"High",IF(N161&gt;=5,"Medium","Low"))</f>
        <v>Medium</v>
      </c>
      <c r="P161" s="3">
        <v>1.7</v>
      </c>
      <c r="Q161" s="2">
        <v>1.54</v>
      </c>
      <c r="R161" s="3">
        <v>1.54</v>
      </c>
      <c r="S161" s="3" t="str">
        <f>IF(Table1[[#This Row],[CGPA]]&gt;=3,"High",IF(R160&gt;=2,"Medium","Low"))</f>
        <v>Medium</v>
      </c>
      <c r="T161" s="2" t="s">
        <v>2</v>
      </c>
      <c r="U161" s="2" t="s">
        <v>8</v>
      </c>
      <c r="V161" s="2" t="s">
        <v>15</v>
      </c>
      <c r="W161" s="7">
        <v>0</v>
      </c>
      <c r="X161" t="str">
        <f t="shared" si="5"/>
        <v>Active</v>
      </c>
    </row>
    <row r="162" spans="1:24" x14ac:dyDescent="0.3">
      <c r="A162" s="2">
        <v>161</v>
      </c>
      <c r="B162" s="7">
        <v>18.899999999999999</v>
      </c>
      <c r="C162" s="2" t="s">
        <v>5</v>
      </c>
      <c r="D162" s="7">
        <f>IF(ISBLANK('Raw sheet'!D162),AVERAGE('Raw sheet'!$D$2:'Raw sheet'!$D$1500),'Raw sheet'!D162)</f>
        <v>99793</v>
      </c>
      <c r="E162" s="7" t="str">
        <f>IF(Table1[[#This Row],[Family_Income]]&gt;=100000,"Upper",IF(D162&gt;=50000,"Middle","Lower"))</f>
        <v>Middle</v>
      </c>
      <c r="F162" s="2" t="s">
        <v>4</v>
      </c>
      <c r="G162" s="3">
        <f>IF(ISBLANK('Raw sheet'!F162),AVERAGE('Raw sheet'!$F$2:'Raw sheet'!$F$1500),'Raw sheet'!F162)</f>
        <v>2.5099999999999998</v>
      </c>
      <c r="H162" s="18">
        <v>64.400000000000006</v>
      </c>
      <c r="I162" s="9" t="str">
        <f t="shared" si="4"/>
        <v>Low</v>
      </c>
      <c r="J162" s="2">
        <v>4</v>
      </c>
      <c r="K162" s="2">
        <v>50.7</v>
      </c>
      <c r="L162" s="2" t="s">
        <v>3</v>
      </c>
      <c r="M162" s="2" t="s">
        <v>4</v>
      </c>
      <c r="N162" s="5">
        <f>IF(ISBLANK('Raw sheet'!L162),AVERAGE('Raw sheet'!$L$2:'Raw sheet'!$L$1500),'Raw sheet'!L162)</f>
        <v>7.1</v>
      </c>
      <c r="O162" s="5" t="str">
        <f>IF(Table1[[#This Row],[Stress_Index]]&gt;=8,"High",IF(N162&gt;=5,"Medium","Low"))</f>
        <v>Medium</v>
      </c>
      <c r="P162" s="3">
        <v>2.5099999999999998</v>
      </c>
      <c r="Q162" s="2">
        <v>2.29</v>
      </c>
      <c r="R162" s="3">
        <v>2.29</v>
      </c>
      <c r="S162" s="3" t="str">
        <f>IF(Table1[[#This Row],[CGPA]]&gt;=3,"High",IF(R161&gt;=2,"Medium","Low"))</f>
        <v>Low</v>
      </c>
      <c r="T162" s="2" t="s">
        <v>2</v>
      </c>
      <c r="U162" s="2" t="s">
        <v>13</v>
      </c>
      <c r="V162" s="2" t="s">
        <v>15</v>
      </c>
      <c r="W162" s="7">
        <v>0</v>
      </c>
      <c r="X162" t="str">
        <f t="shared" si="5"/>
        <v>Active</v>
      </c>
    </row>
    <row r="163" spans="1:24" x14ac:dyDescent="0.3">
      <c r="A163" s="2">
        <v>162</v>
      </c>
      <c r="B163" s="7">
        <v>22.7</v>
      </c>
      <c r="C163" s="2" t="s">
        <v>5</v>
      </c>
      <c r="D163" s="7">
        <f>IF(ISBLANK('Raw sheet'!D163),AVERAGE('Raw sheet'!$D$2:'Raw sheet'!$D$1500),'Raw sheet'!D163)</f>
        <v>25000</v>
      </c>
      <c r="E163" s="7" t="str">
        <f>IF(Table1[[#This Row],[Family_Income]]&gt;=100000,"Upper",IF(D163&gt;=50000,"Middle","Lower"))</f>
        <v>Lower</v>
      </c>
      <c r="F163" s="2" t="s">
        <v>4</v>
      </c>
      <c r="G163" s="3">
        <f>IF(ISBLANK('Raw sheet'!F163),AVERAGE('Raw sheet'!$F$2:'Raw sheet'!$F$1500),'Raw sheet'!F163)</f>
        <v>3.38</v>
      </c>
      <c r="H163" s="18">
        <v>80.3</v>
      </c>
      <c r="I163" s="9" t="str">
        <f t="shared" si="4"/>
        <v>Good</v>
      </c>
      <c r="J163" s="2">
        <v>1</v>
      </c>
      <c r="K163" s="2">
        <v>23.3</v>
      </c>
      <c r="L163" s="2" t="s">
        <v>3</v>
      </c>
      <c r="M163" s="2" t="s">
        <v>3</v>
      </c>
      <c r="N163" s="5">
        <f>IF(ISBLANK('Raw sheet'!L163),AVERAGE('Raw sheet'!$L$2:'Raw sheet'!$L$1500),'Raw sheet'!L163)</f>
        <v>5.9</v>
      </c>
      <c r="O163" s="5" t="str">
        <f>IF(Table1[[#This Row],[Stress_Index]]&gt;=8,"High",IF(N163&gt;=5,"Medium","Low"))</f>
        <v>Medium</v>
      </c>
      <c r="P163" s="3">
        <v>2.79</v>
      </c>
      <c r="Q163" s="2">
        <v>2.78</v>
      </c>
      <c r="R163" s="3">
        <v>2.77</v>
      </c>
      <c r="S163" s="3" t="str">
        <f>IF(Table1[[#This Row],[CGPA]]&gt;=3,"High",IF(R162&gt;=2,"Medium","Low"))</f>
        <v>Medium</v>
      </c>
      <c r="T163" s="2" t="s">
        <v>10</v>
      </c>
      <c r="U163" s="2" t="s">
        <v>8</v>
      </c>
      <c r="V163" s="2" t="s">
        <v>0</v>
      </c>
      <c r="W163" s="7">
        <v>0</v>
      </c>
      <c r="X163" t="str">
        <f t="shared" si="5"/>
        <v>Active</v>
      </c>
    </row>
    <row r="164" spans="1:24" x14ac:dyDescent="0.3">
      <c r="A164" s="2">
        <v>163</v>
      </c>
      <c r="B164" s="7">
        <v>23.5</v>
      </c>
      <c r="C164" s="2" t="s">
        <v>5</v>
      </c>
      <c r="D164" s="7">
        <f>IF(ISBLANK('Raw sheet'!D164),AVERAGE('Raw sheet'!$D$2:'Raw sheet'!$D$1500),'Raw sheet'!D164)</f>
        <v>60763</v>
      </c>
      <c r="E164" s="7" t="str">
        <f>IF(Table1[[#This Row],[Family_Income]]&gt;=100000,"Upper",IF(D164&gt;=50000,"Middle","Lower"))</f>
        <v>Middle</v>
      </c>
      <c r="F164" s="2" t="s">
        <v>4</v>
      </c>
      <c r="G164" s="3">
        <f>IF(ISBLANK('Raw sheet'!F164),AVERAGE('Raw sheet'!$F$2:'Raw sheet'!$F$1500),'Raw sheet'!F164)</f>
        <v>3.47</v>
      </c>
      <c r="H164" s="18">
        <v>81.8</v>
      </c>
      <c r="I164" s="9" t="str">
        <f t="shared" si="4"/>
        <v>Good</v>
      </c>
      <c r="J164" s="2">
        <v>1</v>
      </c>
      <c r="K164" s="2">
        <v>22.4</v>
      </c>
      <c r="L164" s="2" t="s">
        <v>4</v>
      </c>
      <c r="M164" s="2" t="s">
        <v>3</v>
      </c>
      <c r="N164" s="5">
        <f>IF(ISBLANK('Raw sheet'!L164),AVERAGE('Raw sheet'!$L$2:'Raw sheet'!$L$1500),'Raw sheet'!L164)</f>
        <v>4.9000000000000004</v>
      </c>
      <c r="O164" s="5" t="str">
        <f>IF(Table1[[#This Row],[Stress_Index]]&gt;=8,"High",IF(N164&gt;=5,"Medium","Low"))</f>
        <v>Low</v>
      </c>
      <c r="P164" s="3">
        <v>1.29</v>
      </c>
      <c r="Q164" s="2">
        <v>1.0900000000000001</v>
      </c>
      <c r="R164" s="3">
        <v>1.1599999999999999</v>
      </c>
      <c r="S164" s="3" t="str">
        <f>IF(Table1[[#This Row],[CGPA]]&gt;=3,"High",IF(R163&gt;=2,"Medium","Low"))</f>
        <v>Medium</v>
      </c>
      <c r="T164" s="2" t="s">
        <v>12</v>
      </c>
      <c r="U164" s="2" t="s">
        <v>14</v>
      </c>
      <c r="V164" s="2" t="s">
        <v>9</v>
      </c>
      <c r="W164" s="7">
        <v>0</v>
      </c>
      <c r="X164" t="str">
        <f t="shared" si="5"/>
        <v>Active</v>
      </c>
    </row>
    <row r="165" spans="1:24" x14ac:dyDescent="0.3">
      <c r="A165" s="2">
        <v>164</v>
      </c>
      <c r="B165" s="7">
        <v>19.2</v>
      </c>
      <c r="C165" s="2" t="s">
        <v>5</v>
      </c>
      <c r="D165" s="7">
        <f>IF(ISBLANK('Raw sheet'!D165),AVERAGE('Raw sheet'!$D$2:'Raw sheet'!$D$1500),'Raw sheet'!D165)</f>
        <v>56529</v>
      </c>
      <c r="E165" s="7" t="str">
        <f>IF(Table1[[#This Row],[Family_Income]]&gt;=100000,"Upper",IF(D165&gt;=50000,"Middle","Lower"))</f>
        <v>Middle</v>
      </c>
      <c r="F165" s="2" t="s">
        <v>4</v>
      </c>
      <c r="G165" s="3">
        <f>IF(ISBLANK('Raw sheet'!F165),AVERAGE('Raw sheet'!$F$2:'Raw sheet'!$F$1500),'Raw sheet'!F165)</f>
        <v>3.37</v>
      </c>
      <c r="H165" s="18">
        <v>81.2</v>
      </c>
      <c r="I165" s="9" t="str">
        <f t="shared" si="4"/>
        <v>Good</v>
      </c>
      <c r="J165" s="2">
        <v>1</v>
      </c>
      <c r="K165" s="2">
        <v>25.7</v>
      </c>
      <c r="L165" s="2" t="s">
        <v>3</v>
      </c>
      <c r="M165" s="2" t="s">
        <v>3</v>
      </c>
      <c r="N165" s="5">
        <f>IF(ISBLANK('Raw sheet'!L165),AVERAGE('Raw sheet'!$L$2:'Raw sheet'!$L$1500),'Raw sheet'!L165)</f>
        <v>9.8000000000000007</v>
      </c>
      <c r="O165" s="5" t="str">
        <f>IF(Table1[[#This Row],[Stress_Index]]&gt;=8,"High",IF(N165&gt;=5,"Medium","Low"))</f>
        <v>High</v>
      </c>
      <c r="P165" s="3">
        <v>1.17</v>
      </c>
      <c r="Q165" s="2">
        <v>1.01</v>
      </c>
      <c r="R165" s="3">
        <v>1.06</v>
      </c>
      <c r="S165" s="3" t="str">
        <f>IF(Table1[[#This Row],[CGPA]]&gt;=3,"High",IF(R164&gt;=2,"Medium","Low"))</f>
        <v>Low</v>
      </c>
      <c r="T165" s="2" t="s">
        <v>12</v>
      </c>
      <c r="U165" s="2" t="s">
        <v>8</v>
      </c>
      <c r="V165" s="2" t="s">
        <v>9</v>
      </c>
      <c r="W165" s="7">
        <v>1</v>
      </c>
      <c r="X165" t="str">
        <f t="shared" si="5"/>
        <v>Dropped Out</v>
      </c>
    </row>
    <row r="166" spans="1:24" x14ac:dyDescent="0.3">
      <c r="A166" s="2">
        <v>165</v>
      </c>
      <c r="B166" s="7">
        <v>23.1</v>
      </c>
      <c r="C166" s="2" t="s">
        <v>5</v>
      </c>
      <c r="D166" s="7">
        <f>IF(ISBLANK('Raw sheet'!D166),AVERAGE('Raw sheet'!$D$2:'Raw sheet'!$D$1500),'Raw sheet'!D166)</f>
        <v>49642</v>
      </c>
      <c r="E166" s="7" t="str">
        <f>IF(Table1[[#This Row],[Family_Income]]&gt;=100000,"Upper",IF(D166&gt;=50000,"Middle","Lower"))</f>
        <v>Lower</v>
      </c>
      <c r="F166" s="2" t="s">
        <v>4</v>
      </c>
      <c r="G166" s="3">
        <f>IF(ISBLANK('Raw sheet'!F166),AVERAGE('Raw sheet'!$F$2:'Raw sheet'!$F$1500),'Raw sheet'!F166)</f>
        <v>6.79</v>
      </c>
      <c r="H166" s="18">
        <v>79.7</v>
      </c>
      <c r="I166" s="9" t="str">
        <f t="shared" si="4"/>
        <v>Good</v>
      </c>
      <c r="J166" s="2">
        <v>3</v>
      </c>
      <c r="K166" s="2">
        <v>23.4</v>
      </c>
      <c r="L166" s="2" t="s">
        <v>4</v>
      </c>
      <c r="M166" s="2" t="s">
        <v>3</v>
      </c>
      <c r="N166" s="5">
        <f>IF(ISBLANK('Raw sheet'!L166),AVERAGE('Raw sheet'!$L$2:'Raw sheet'!$L$1500),'Raw sheet'!L166)</f>
        <v>3.9</v>
      </c>
      <c r="O166" s="5" t="str">
        <f>IF(Table1[[#This Row],[Stress_Index]]&gt;=8,"High",IF(N166&gt;=5,"Medium","Low"))</f>
        <v>Low</v>
      </c>
      <c r="P166" s="3">
        <v>2.11</v>
      </c>
      <c r="Q166" s="2">
        <v>2.14</v>
      </c>
      <c r="R166" s="3">
        <v>2.1800000000000002</v>
      </c>
      <c r="S166" s="3" t="str">
        <f>IF(Table1[[#This Row],[CGPA]]&gt;=3,"High",IF(R165&gt;=2,"Medium","Low"))</f>
        <v>Low</v>
      </c>
      <c r="T166" s="2" t="s">
        <v>10</v>
      </c>
      <c r="U166" s="2" t="s">
        <v>13</v>
      </c>
      <c r="V166" s="2" t="s">
        <v>0</v>
      </c>
      <c r="W166" s="7">
        <v>0</v>
      </c>
      <c r="X166" t="str">
        <f t="shared" si="5"/>
        <v>Active</v>
      </c>
    </row>
    <row r="167" spans="1:24" x14ac:dyDescent="0.3">
      <c r="A167" s="2">
        <v>166</v>
      </c>
      <c r="B167" s="7">
        <v>21.9</v>
      </c>
      <c r="C167" s="2" t="s">
        <v>5</v>
      </c>
      <c r="D167" s="7">
        <f>IF(ISBLANK('Raw sheet'!D167),AVERAGE('Raw sheet'!$D$2:'Raw sheet'!$D$1500),'Raw sheet'!D167)</f>
        <v>64541</v>
      </c>
      <c r="E167" s="7" t="str">
        <f>IF(Table1[[#This Row],[Family_Income]]&gt;=100000,"Upper",IF(D167&gt;=50000,"Middle","Lower"))</f>
        <v>Middle</v>
      </c>
      <c r="F167" s="2" t="s">
        <v>4</v>
      </c>
      <c r="G167" s="3">
        <f>IF(ISBLANK('Raw sheet'!F167),AVERAGE('Raw sheet'!$F$2:'Raw sheet'!$F$1500),'Raw sheet'!F167)</f>
        <v>6.76</v>
      </c>
      <c r="H167" s="18">
        <v>78.8</v>
      </c>
      <c r="I167" s="9" t="str">
        <f t="shared" si="4"/>
        <v>Good</v>
      </c>
      <c r="J167" s="2">
        <v>2</v>
      </c>
      <c r="K167" s="2">
        <v>24.4</v>
      </c>
      <c r="L167" s="2" t="s">
        <v>3</v>
      </c>
      <c r="M167" s="2" t="s">
        <v>3</v>
      </c>
      <c r="N167" s="5">
        <f>IF(ISBLANK('Raw sheet'!L167),AVERAGE('Raw sheet'!$L$2:'Raw sheet'!$L$1500),'Raw sheet'!L167)</f>
        <v>6.8</v>
      </c>
      <c r="O167" s="5" t="str">
        <f>IF(Table1[[#This Row],[Stress_Index]]&gt;=8,"High",IF(N167&gt;=5,"Medium","Low"))</f>
        <v>Medium</v>
      </c>
      <c r="P167" s="3">
        <v>2.74</v>
      </c>
      <c r="Q167" s="2">
        <v>2.61</v>
      </c>
      <c r="R167" s="3">
        <v>2.62</v>
      </c>
      <c r="S167" s="3" t="str">
        <f>IF(Table1[[#This Row],[CGPA]]&gt;=3,"High",IF(R166&gt;=2,"Medium","Low"))</f>
        <v>Medium</v>
      </c>
      <c r="T167" s="2" t="s">
        <v>10</v>
      </c>
      <c r="U167" s="2" t="s">
        <v>14</v>
      </c>
      <c r="V167" s="2" t="s">
        <v>9</v>
      </c>
      <c r="W167" s="7">
        <v>0</v>
      </c>
      <c r="X167" t="str">
        <f t="shared" si="5"/>
        <v>Active</v>
      </c>
    </row>
    <row r="168" spans="1:24" x14ac:dyDescent="0.3">
      <c r="A168" s="2">
        <v>167</v>
      </c>
      <c r="B168" s="7">
        <v>22.8</v>
      </c>
      <c r="C168" s="2" t="s">
        <v>5</v>
      </c>
      <c r="D168" s="7">
        <f>IF(ISBLANK('Raw sheet'!D168),AVERAGE('Raw sheet'!$D$2:'Raw sheet'!$D$1500),'Raw sheet'!D168)</f>
        <v>35184</v>
      </c>
      <c r="E168" s="7" t="str">
        <f>IF(Table1[[#This Row],[Family_Income]]&gt;=100000,"Upper",IF(D168&gt;=50000,"Middle","Lower"))</f>
        <v>Lower</v>
      </c>
      <c r="F168" s="2" t="s">
        <v>4</v>
      </c>
      <c r="G168" s="3">
        <f>IF(ISBLANK('Raw sheet'!F168),AVERAGE('Raw sheet'!$F$2:'Raw sheet'!$F$1500),'Raw sheet'!F168)</f>
        <v>5.48</v>
      </c>
      <c r="H168" s="18">
        <v>87.4</v>
      </c>
      <c r="I168" s="9" t="str">
        <f t="shared" si="4"/>
        <v>Good</v>
      </c>
      <c r="J168" s="2">
        <v>1</v>
      </c>
      <c r="K168" s="2">
        <v>32.9</v>
      </c>
      <c r="L168" s="2" t="s">
        <v>4</v>
      </c>
      <c r="M168" s="2" t="s">
        <v>4</v>
      </c>
      <c r="N168" s="5">
        <f>IF(ISBLANK('Raw sheet'!L168),AVERAGE('Raw sheet'!$L$2:'Raw sheet'!$L$1500),'Raw sheet'!L168)</f>
        <v>5.5</v>
      </c>
      <c r="O168" s="5" t="str">
        <f>IF(Table1[[#This Row],[Stress_Index]]&gt;=8,"High",IF(N168&gt;=5,"Medium","Low"))</f>
        <v>Medium</v>
      </c>
      <c r="P168" s="3">
        <v>2.56</v>
      </c>
      <c r="Q168" s="2">
        <v>3.08</v>
      </c>
      <c r="R168" s="3">
        <v>3.08</v>
      </c>
      <c r="S168" s="3" t="str">
        <f>IF(Table1[[#This Row],[CGPA]]&gt;=3,"High",IF(R167&gt;=2,"Medium","Low"))</f>
        <v>High</v>
      </c>
      <c r="T168" s="2" t="s">
        <v>2</v>
      </c>
      <c r="U168" s="2" t="s">
        <v>1</v>
      </c>
      <c r="V168" s="2" t="s">
        <v>15</v>
      </c>
      <c r="W168" s="7">
        <v>0</v>
      </c>
      <c r="X168" t="str">
        <f t="shared" si="5"/>
        <v>Active</v>
      </c>
    </row>
    <row r="169" spans="1:24" x14ac:dyDescent="0.3">
      <c r="A169" s="2">
        <v>168</v>
      </c>
      <c r="B169" s="7">
        <v>25.2</v>
      </c>
      <c r="C169" s="2" t="s">
        <v>11</v>
      </c>
      <c r="D169" s="7">
        <f>IF(ISBLANK('Raw sheet'!D169),AVERAGE('Raw sheet'!$D$2:'Raw sheet'!$D$1500),'Raw sheet'!D169)</f>
        <v>25000</v>
      </c>
      <c r="E169" s="7" t="str">
        <f>IF(Table1[[#This Row],[Family_Income]]&gt;=100000,"Upper",IF(D169&gt;=50000,"Middle","Lower"))</f>
        <v>Lower</v>
      </c>
      <c r="F169" s="2" t="s">
        <v>4</v>
      </c>
      <c r="G169" s="3">
        <f>IF(ISBLANK('Raw sheet'!F169),AVERAGE('Raw sheet'!$F$2:'Raw sheet'!$F$1500),'Raw sheet'!F169)</f>
        <v>4.13</v>
      </c>
      <c r="H169" s="18">
        <v>96.3</v>
      </c>
      <c r="I169" s="9" t="str">
        <f t="shared" si="4"/>
        <v>Good</v>
      </c>
      <c r="J169" s="2">
        <v>0</v>
      </c>
      <c r="K169" s="2">
        <v>33.299999999999997</v>
      </c>
      <c r="L169" s="2" t="s">
        <v>3</v>
      </c>
      <c r="M169" s="2" t="s">
        <v>3</v>
      </c>
      <c r="N169" s="5">
        <f>IF(ISBLANK('Raw sheet'!L169),AVERAGE('Raw sheet'!$L$2:'Raw sheet'!$L$1500),'Raw sheet'!L169)</f>
        <v>6.1</v>
      </c>
      <c r="O169" s="5" t="str">
        <f>IF(Table1[[#This Row],[Stress_Index]]&gt;=8,"High",IF(N169&gt;=5,"Medium","Low"))</f>
        <v>Medium</v>
      </c>
      <c r="P169" s="3">
        <v>2.2400000000000002</v>
      </c>
      <c r="Q169" s="2">
        <v>2.25</v>
      </c>
      <c r="R169" s="3">
        <v>2.2400000000000002</v>
      </c>
      <c r="S169" s="3" t="str">
        <f>IF(Table1[[#This Row],[CGPA]]&gt;=3,"High",IF(R168&gt;=2,"Medium","Low"))</f>
        <v>Medium</v>
      </c>
      <c r="T169" s="2" t="s">
        <v>10</v>
      </c>
      <c r="U169" s="2" t="s">
        <v>6</v>
      </c>
      <c r="V169" s="2" t="s">
        <v>17</v>
      </c>
      <c r="W169" s="7">
        <v>1</v>
      </c>
      <c r="X169" t="str">
        <f t="shared" si="5"/>
        <v>Dropped Out</v>
      </c>
    </row>
    <row r="170" spans="1:24" x14ac:dyDescent="0.3">
      <c r="A170" s="2">
        <v>169</v>
      </c>
      <c r="B170" s="7">
        <v>20.5</v>
      </c>
      <c r="C170" s="2" t="s">
        <v>11</v>
      </c>
      <c r="D170" s="7">
        <f>IF(ISBLANK('Raw sheet'!D170),AVERAGE('Raw sheet'!$D$2:'Raw sheet'!$D$1500),'Raw sheet'!D170)</f>
        <v>57339</v>
      </c>
      <c r="E170" s="7" t="str">
        <f>IF(Table1[[#This Row],[Family_Income]]&gt;=100000,"Upper",IF(D170&gt;=50000,"Middle","Lower"))</f>
        <v>Middle</v>
      </c>
      <c r="F170" s="2" t="s">
        <v>4</v>
      </c>
      <c r="G170" s="3">
        <f>IF(ISBLANK('Raw sheet'!F170),AVERAGE('Raw sheet'!$F$2:'Raw sheet'!$F$1500),'Raw sheet'!F170)</f>
        <v>3.24</v>
      </c>
      <c r="H170" s="18">
        <v>100</v>
      </c>
      <c r="I170" s="9" t="str">
        <f t="shared" si="4"/>
        <v>Good</v>
      </c>
      <c r="J170" s="2">
        <v>2</v>
      </c>
      <c r="K170" s="2">
        <v>40.9</v>
      </c>
      <c r="L170" s="2" t="s">
        <v>3</v>
      </c>
      <c r="M170" s="2" t="s">
        <v>4</v>
      </c>
      <c r="N170" s="5">
        <f>IF(ISBLANK('Raw sheet'!L170),AVERAGE('Raw sheet'!$L$2:'Raw sheet'!$L$1500),'Raw sheet'!L170)</f>
        <v>6.1</v>
      </c>
      <c r="O170" s="5" t="str">
        <f>IF(Table1[[#This Row],[Stress_Index]]&gt;=8,"High",IF(N170&gt;=5,"Medium","Low"))</f>
        <v>Medium</v>
      </c>
      <c r="P170" s="3">
        <v>4</v>
      </c>
      <c r="Q170" s="2">
        <v>4</v>
      </c>
      <c r="R170" s="3">
        <v>4</v>
      </c>
      <c r="S170" s="3" t="str">
        <f>IF(Table1[[#This Row],[CGPA]]&gt;=3,"High",IF(R169&gt;=2,"Medium","Low"))</f>
        <v>High</v>
      </c>
      <c r="T170" s="2" t="s">
        <v>12</v>
      </c>
      <c r="U170" s="2" t="s">
        <v>1</v>
      </c>
      <c r="V170" s="2" t="s">
        <v>9</v>
      </c>
      <c r="W170" s="7">
        <v>0</v>
      </c>
      <c r="X170" t="str">
        <f t="shared" si="5"/>
        <v>Active</v>
      </c>
    </row>
    <row r="171" spans="1:24" x14ac:dyDescent="0.3">
      <c r="A171" s="2">
        <v>170</v>
      </c>
      <c r="B171" s="7">
        <v>19.3</v>
      </c>
      <c r="C171" s="2" t="s">
        <v>5</v>
      </c>
      <c r="D171" s="7">
        <f>IF(ISBLANK('Raw sheet'!D171),AVERAGE('Raw sheet'!$D$2:'Raw sheet'!$D$1500),'Raw sheet'!D171)</f>
        <v>58671</v>
      </c>
      <c r="E171" s="7" t="str">
        <f>IF(Table1[[#This Row],[Family_Income]]&gt;=100000,"Upper",IF(D171&gt;=50000,"Middle","Lower"))</f>
        <v>Middle</v>
      </c>
      <c r="F171" s="2" t="s">
        <v>4</v>
      </c>
      <c r="G171" s="3">
        <f>IF(ISBLANK('Raw sheet'!F171),AVERAGE('Raw sheet'!$F$2:'Raw sheet'!$F$1500),'Raw sheet'!F171)</f>
        <v>2.65</v>
      </c>
      <c r="H171" s="18">
        <v>90.8</v>
      </c>
      <c r="I171" s="9" t="str">
        <f t="shared" si="4"/>
        <v>Good</v>
      </c>
      <c r="J171" s="2">
        <v>1</v>
      </c>
      <c r="K171" s="2">
        <v>56.3</v>
      </c>
      <c r="L171" s="2" t="s">
        <v>4</v>
      </c>
      <c r="M171" s="2" t="s">
        <v>3</v>
      </c>
      <c r="N171" s="5">
        <f>IF(ISBLANK('Raw sheet'!L171),AVERAGE('Raw sheet'!$L$2:'Raw sheet'!$L$1500),'Raw sheet'!L171)</f>
        <v>3.6</v>
      </c>
      <c r="O171" s="5" t="str">
        <f>IF(Table1[[#This Row],[Stress_Index]]&gt;=8,"High",IF(N171&gt;=5,"Medium","Low"))</f>
        <v>Low</v>
      </c>
      <c r="P171" s="3">
        <v>4</v>
      </c>
      <c r="Q171" s="2">
        <v>3.78</v>
      </c>
      <c r="R171" s="3">
        <v>3.81</v>
      </c>
      <c r="S171" s="3" t="str">
        <f>IF(Table1[[#This Row],[CGPA]]&gt;=3,"High",IF(R170&gt;=2,"Medium","Low"))</f>
        <v>High</v>
      </c>
      <c r="T171" s="2" t="s">
        <v>10</v>
      </c>
      <c r="U171" s="2" t="s">
        <v>1</v>
      </c>
      <c r="V171" s="2" t="s">
        <v>9</v>
      </c>
      <c r="W171" s="7">
        <v>0</v>
      </c>
      <c r="X171" t="str">
        <f t="shared" si="5"/>
        <v>Active</v>
      </c>
    </row>
    <row r="172" spans="1:24" x14ac:dyDescent="0.3">
      <c r="A172" s="2">
        <v>171</v>
      </c>
      <c r="B172" s="7">
        <v>19</v>
      </c>
      <c r="C172" s="2" t="s">
        <v>5</v>
      </c>
      <c r="D172" s="7">
        <f>IF(ISBLANK('Raw sheet'!D172),AVERAGE('Raw sheet'!$D$2:'Raw sheet'!$D$1500),'Raw sheet'!D172)</f>
        <v>57710</v>
      </c>
      <c r="E172" s="7" t="str">
        <f>IF(Table1[[#This Row],[Family_Income]]&gt;=100000,"Upper",IF(D172&gt;=50000,"Middle","Lower"))</f>
        <v>Middle</v>
      </c>
      <c r="F172" s="2" t="s">
        <v>4</v>
      </c>
      <c r="G172" s="3">
        <f>IF(ISBLANK('Raw sheet'!F172),AVERAGE('Raw sheet'!$F$2:'Raw sheet'!$F$1500),'Raw sheet'!F172)</f>
        <v>4.4400000000000004</v>
      </c>
      <c r="H172" s="18">
        <v>63.7</v>
      </c>
      <c r="I172" s="9" t="str">
        <f t="shared" si="4"/>
        <v>Low</v>
      </c>
      <c r="J172" s="2">
        <v>0</v>
      </c>
      <c r="K172" s="2">
        <v>25.6</v>
      </c>
      <c r="L172" s="2" t="s">
        <v>4</v>
      </c>
      <c r="M172" s="2" t="s">
        <v>4</v>
      </c>
      <c r="N172" s="5">
        <f>IF(ISBLANK('Raw sheet'!L172),AVERAGE('Raw sheet'!$L$2:'Raw sheet'!$L$1500),'Raw sheet'!L172)</f>
        <v>3.1</v>
      </c>
      <c r="O172" s="5" t="str">
        <f>IF(Table1[[#This Row],[Stress_Index]]&gt;=8,"High",IF(N172&gt;=5,"Medium","Low"))</f>
        <v>Low</v>
      </c>
      <c r="P172" s="3">
        <v>0.91</v>
      </c>
      <c r="Q172" s="2">
        <v>1.01</v>
      </c>
      <c r="R172" s="3">
        <v>0.97</v>
      </c>
      <c r="S172" s="3" t="str">
        <f>IF(Table1[[#This Row],[CGPA]]&gt;=3,"High",IF(R171&gt;=2,"Medium","Low"))</f>
        <v>Medium</v>
      </c>
      <c r="T172" s="2" t="s">
        <v>10</v>
      </c>
      <c r="U172" s="2" t="s">
        <v>13</v>
      </c>
      <c r="V172" s="2" t="s">
        <v>9</v>
      </c>
      <c r="W172" s="7">
        <v>0</v>
      </c>
      <c r="X172" t="str">
        <f t="shared" si="5"/>
        <v>Active</v>
      </c>
    </row>
    <row r="173" spans="1:24" x14ac:dyDescent="0.3">
      <c r="A173" s="2">
        <v>172</v>
      </c>
      <c r="B173" s="7">
        <v>19.2</v>
      </c>
      <c r="C173" s="2" t="s">
        <v>5</v>
      </c>
      <c r="D173" s="7">
        <f>IF(ISBLANK('Raw sheet'!D173),AVERAGE('Raw sheet'!$D$2:'Raw sheet'!$D$1500),'Raw sheet'!D173)</f>
        <v>30537</v>
      </c>
      <c r="E173" s="7" t="str">
        <f>IF(Table1[[#This Row],[Family_Income]]&gt;=100000,"Upper",IF(D173&gt;=50000,"Middle","Lower"))</f>
        <v>Lower</v>
      </c>
      <c r="F173" s="2" t="s">
        <v>3</v>
      </c>
      <c r="G173" s="3">
        <f>IF(ISBLANK('Raw sheet'!F173),AVERAGE('Raw sheet'!$F$2:'Raw sheet'!$F$1500),'Raw sheet'!F173)</f>
        <v>5.66</v>
      </c>
      <c r="H173" s="18">
        <v>90.4</v>
      </c>
      <c r="I173" s="9" t="str">
        <f t="shared" si="4"/>
        <v>Good</v>
      </c>
      <c r="J173" s="2">
        <v>0</v>
      </c>
      <c r="K173" s="2">
        <v>29.2</v>
      </c>
      <c r="L173" s="2" t="s">
        <v>4</v>
      </c>
      <c r="M173" s="2" t="s">
        <v>4</v>
      </c>
      <c r="N173" s="5">
        <f>IF(ISBLANK('Raw sheet'!L173),AVERAGE('Raw sheet'!$L$2:'Raw sheet'!$L$1500),'Raw sheet'!L173)</f>
        <v>3.2</v>
      </c>
      <c r="O173" s="5" t="str">
        <f>IF(Table1[[#This Row],[Stress_Index]]&gt;=8,"High",IF(N173&gt;=5,"Medium","Low"))</f>
        <v>Low</v>
      </c>
      <c r="P173" s="3">
        <v>4</v>
      </c>
      <c r="Q173" s="2">
        <v>3.73</v>
      </c>
      <c r="R173" s="3">
        <v>3.73</v>
      </c>
      <c r="S173" s="3" t="str">
        <f>IF(Table1[[#This Row],[CGPA]]&gt;=3,"High",IF(R172&gt;=2,"Medium","Low"))</f>
        <v>High</v>
      </c>
      <c r="T173" s="2" t="s">
        <v>7</v>
      </c>
      <c r="U173" s="2" t="s">
        <v>6</v>
      </c>
      <c r="V173" s="2" t="s">
        <v>9</v>
      </c>
      <c r="W173" s="7">
        <v>0</v>
      </c>
      <c r="X173" t="str">
        <f t="shared" si="5"/>
        <v>Active</v>
      </c>
    </row>
    <row r="174" spans="1:24" x14ac:dyDescent="0.3">
      <c r="A174" s="2">
        <v>173</v>
      </c>
      <c r="B174" s="7">
        <v>20.8</v>
      </c>
      <c r="C174" s="2" t="s">
        <v>11</v>
      </c>
      <c r="D174" s="7">
        <f>IF(ISBLANK('Raw sheet'!D174),AVERAGE('Raw sheet'!$D$2:'Raw sheet'!$D$1500),'Raw sheet'!D174)</f>
        <v>25000</v>
      </c>
      <c r="E174" s="7" t="str">
        <f>IF(Table1[[#This Row],[Family_Income]]&gt;=100000,"Upper",IF(D174&gt;=50000,"Middle","Lower"))</f>
        <v>Lower</v>
      </c>
      <c r="F174" s="2" t="s">
        <v>4</v>
      </c>
      <c r="G174" s="3">
        <f>IF(ISBLANK('Raw sheet'!F174),AVERAGE('Raw sheet'!$F$2:'Raw sheet'!$F$1500),'Raw sheet'!F174)</f>
        <v>5.01</v>
      </c>
      <c r="H174" s="18">
        <v>90.3</v>
      </c>
      <c r="I174" s="9" t="str">
        <f t="shared" si="4"/>
        <v>Good</v>
      </c>
      <c r="J174" s="2">
        <v>3</v>
      </c>
      <c r="K174" s="2">
        <v>7.9</v>
      </c>
      <c r="L174" s="2" t="s">
        <v>3</v>
      </c>
      <c r="M174" s="2" t="s">
        <v>3</v>
      </c>
      <c r="N174" s="5">
        <f>IF(ISBLANK('Raw sheet'!L174),AVERAGE('Raw sheet'!$L$2:'Raw sheet'!$L$1500),'Raw sheet'!L174)</f>
        <v>4.7</v>
      </c>
      <c r="O174" s="5" t="str">
        <f>IF(Table1[[#This Row],[Stress_Index]]&gt;=8,"High",IF(N174&gt;=5,"Medium","Low"))</f>
        <v>Low</v>
      </c>
      <c r="P174" s="3">
        <v>4</v>
      </c>
      <c r="Q174" s="2">
        <v>3.7</v>
      </c>
      <c r="R174" s="3">
        <v>3.7</v>
      </c>
      <c r="S174" s="3" t="str">
        <f>IF(Table1[[#This Row],[CGPA]]&gt;=3,"High",IF(R173&gt;=2,"Medium","Low"))</f>
        <v>High</v>
      </c>
      <c r="T174" s="2" t="s">
        <v>12</v>
      </c>
      <c r="U174" s="2" t="s">
        <v>14</v>
      </c>
      <c r="V174" s="2" t="s">
        <v>17</v>
      </c>
      <c r="W174" s="7">
        <v>0</v>
      </c>
      <c r="X174" t="str">
        <f t="shared" si="5"/>
        <v>Active</v>
      </c>
    </row>
    <row r="175" spans="1:24" x14ac:dyDescent="0.3">
      <c r="A175" s="2">
        <v>174</v>
      </c>
      <c r="B175" s="7">
        <v>21.8</v>
      </c>
      <c r="C175" s="2" t="s">
        <v>11</v>
      </c>
      <c r="D175" s="7">
        <f>IF(ISBLANK('Raw sheet'!D175),AVERAGE('Raw sheet'!$D$2:'Raw sheet'!$D$1500),'Raw sheet'!D175)</f>
        <v>33350</v>
      </c>
      <c r="E175" s="7" t="str">
        <f>IF(Table1[[#This Row],[Family_Income]]&gt;=100000,"Upper",IF(D175&gt;=50000,"Middle","Lower"))</f>
        <v>Lower</v>
      </c>
      <c r="F175" s="2" t="s">
        <v>4</v>
      </c>
      <c r="G175" s="3">
        <f>IF(ISBLANK('Raw sheet'!F175),AVERAGE('Raw sheet'!$F$2:'Raw sheet'!$F$1500),'Raw sheet'!F175)</f>
        <v>4.13</v>
      </c>
      <c r="H175" s="18">
        <v>81.2</v>
      </c>
      <c r="I175" s="9" t="str">
        <f t="shared" si="4"/>
        <v>Good</v>
      </c>
      <c r="J175" s="2">
        <v>1</v>
      </c>
      <c r="K175" s="2">
        <v>14.5</v>
      </c>
      <c r="L175" s="2" t="s">
        <v>4</v>
      </c>
      <c r="M175" s="2" t="s">
        <v>4</v>
      </c>
      <c r="N175" s="5">
        <f>IF(ISBLANK('Raw sheet'!L175),AVERAGE('Raw sheet'!$L$2:'Raw sheet'!$L$1500),'Raw sheet'!L175)</f>
        <v>5.9</v>
      </c>
      <c r="O175" s="5" t="str">
        <f>IF(Table1[[#This Row],[Stress_Index]]&gt;=8,"High",IF(N175&gt;=5,"Medium","Low"))</f>
        <v>Medium</v>
      </c>
      <c r="P175" s="3">
        <v>1.01</v>
      </c>
      <c r="Q175" s="2">
        <v>0.8</v>
      </c>
      <c r="R175" s="3">
        <v>0.8</v>
      </c>
      <c r="S175" s="3" t="str">
        <f>IF(Table1[[#This Row],[CGPA]]&gt;=3,"High",IF(R174&gt;=2,"Medium","Low"))</f>
        <v>Medium</v>
      </c>
      <c r="T175" s="2" t="s">
        <v>2</v>
      </c>
      <c r="U175" s="2" t="s">
        <v>6</v>
      </c>
      <c r="V175" s="2" t="s">
        <v>15</v>
      </c>
      <c r="W175" s="7">
        <v>0</v>
      </c>
      <c r="X175" t="str">
        <f t="shared" si="5"/>
        <v>Active</v>
      </c>
    </row>
    <row r="176" spans="1:24" x14ac:dyDescent="0.3">
      <c r="A176" s="2">
        <v>175</v>
      </c>
      <c r="B176" s="7">
        <v>21.6</v>
      </c>
      <c r="C176" s="2" t="s">
        <v>5</v>
      </c>
      <c r="D176" s="7">
        <f>IF(ISBLANK('Raw sheet'!D176),AVERAGE('Raw sheet'!$D$2:'Raw sheet'!$D$1500),'Raw sheet'!D176)</f>
        <v>52331</v>
      </c>
      <c r="E176" s="7" t="str">
        <f>IF(Table1[[#This Row],[Family_Income]]&gt;=100000,"Upper",IF(D176&gt;=50000,"Middle","Lower"))</f>
        <v>Middle</v>
      </c>
      <c r="F176" s="2" t="s">
        <v>4</v>
      </c>
      <c r="G176" s="3">
        <f>IF(ISBLANK('Raw sheet'!F176),AVERAGE('Raw sheet'!$F$2:'Raw sheet'!$F$1500),'Raw sheet'!F176)</f>
        <v>4.87</v>
      </c>
      <c r="H176" s="18">
        <v>89.4</v>
      </c>
      <c r="I176" s="9" t="str">
        <f t="shared" si="4"/>
        <v>Good</v>
      </c>
      <c r="J176" s="2">
        <v>2</v>
      </c>
      <c r="K176" s="2">
        <v>28.2</v>
      </c>
      <c r="L176" s="2" t="s">
        <v>3</v>
      </c>
      <c r="M176" s="2" t="s">
        <v>4</v>
      </c>
      <c r="N176" s="5">
        <f>IF(ISBLANK('Raw sheet'!L176),AVERAGE('Raw sheet'!$L$2:'Raw sheet'!$L$1500),'Raw sheet'!L176)</f>
        <v>4.3</v>
      </c>
      <c r="O176" s="5" t="str">
        <f>IF(Table1[[#This Row],[Stress_Index]]&gt;=8,"High",IF(N176&gt;=5,"Medium","Low"))</f>
        <v>Low</v>
      </c>
      <c r="P176" s="3">
        <v>3.97</v>
      </c>
      <c r="Q176" s="2">
        <v>3.53</v>
      </c>
      <c r="R176" s="3">
        <v>3.54</v>
      </c>
      <c r="S176" s="3" t="str">
        <f>IF(Table1[[#This Row],[CGPA]]&gt;=3,"High",IF(R175&gt;=2,"Medium","Low"))</f>
        <v>High</v>
      </c>
      <c r="T176" s="2" t="s">
        <v>10</v>
      </c>
      <c r="U176" s="2" t="s">
        <v>6</v>
      </c>
      <c r="V176" s="2" t="s">
        <v>15</v>
      </c>
      <c r="W176" s="7">
        <v>0</v>
      </c>
      <c r="X176" t="str">
        <f t="shared" si="5"/>
        <v>Active</v>
      </c>
    </row>
    <row r="177" spans="1:24" x14ac:dyDescent="0.3">
      <c r="A177" s="2">
        <v>176</v>
      </c>
      <c r="B177" s="7">
        <v>22.8</v>
      </c>
      <c r="C177" s="2" t="s">
        <v>5</v>
      </c>
      <c r="D177" s="7">
        <f>IF(ISBLANK('Raw sheet'!D177),AVERAGE('Raw sheet'!$D$2:'Raw sheet'!$D$1500),'Raw sheet'!D177)</f>
        <v>54974</v>
      </c>
      <c r="E177" s="7" t="str">
        <f>IF(Table1[[#This Row],[Family_Income]]&gt;=100000,"Upper",IF(D177&gt;=50000,"Middle","Lower"))</f>
        <v>Middle</v>
      </c>
      <c r="F177" s="2" t="s">
        <v>3</v>
      </c>
      <c r="G177" s="3">
        <f>IF(ISBLANK('Raw sheet'!F177),AVERAGE('Raw sheet'!$F$2:'Raw sheet'!$F$1500),'Raw sheet'!F177)</f>
        <v>3.98</v>
      </c>
      <c r="H177" s="18">
        <v>84.9</v>
      </c>
      <c r="I177" s="9" t="str">
        <f t="shared" si="4"/>
        <v>Good</v>
      </c>
      <c r="J177" s="2">
        <v>1</v>
      </c>
      <c r="K177" s="2">
        <v>35.6</v>
      </c>
      <c r="L177" s="2" t="s">
        <v>3</v>
      </c>
      <c r="M177" s="2" t="s">
        <v>3</v>
      </c>
      <c r="N177" s="5">
        <f>IF(ISBLANK('Raw sheet'!L177),AVERAGE('Raw sheet'!$L$2:'Raw sheet'!$L$1500),'Raw sheet'!L177)</f>
        <v>2.9</v>
      </c>
      <c r="O177" s="5" t="str">
        <f>IF(Table1[[#This Row],[Stress_Index]]&gt;=8,"High",IF(N177&gt;=5,"Medium","Low"))</f>
        <v>Low</v>
      </c>
      <c r="P177" s="3">
        <v>2.2400000000000002</v>
      </c>
      <c r="Q177" s="2">
        <v>2.68</v>
      </c>
      <c r="R177" s="3">
        <v>2.68</v>
      </c>
      <c r="S177" s="3" t="str">
        <f>IF(Table1[[#This Row],[CGPA]]&gt;=3,"High",IF(R176&gt;=2,"Medium","Low"))</f>
        <v>Medium</v>
      </c>
      <c r="T177" s="2" t="s">
        <v>2</v>
      </c>
      <c r="U177" s="2" t="s">
        <v>13</v>
      </c>
      <c r="V177" s="2" t="s">
        <v>0</v>
      </c>
      <c r="W177" s="7">
        <v>0</v>
      </c>
      <c r="X177" t="str">
        <f t="shared" si="5"/>
        <v>Active</v>
      </c>
    </row>
    <row r="178" spans="1:24" x14ac:dyDescent="0.3">
      <c r="A178" s="2">
        <v>177</v>
      </c>
      <c r="B178" s="7">
        <v>21</v>
      </c>
      <c r="C178" s="2" t="s">
        <v>5</v>
      </c>
      <c r="D178" s="7">
        <f>IF(ISBLANK('Raw sheet'!D178),AVERAGE('Raw sheet'!$D$2:'Raw sheet'!$D$1500),'Raw sheet'!D178)</f>
        <v>25000</v>
      </c>
      <c r="E178" s="7" t="str">
        <f>IF(Table1[[#This Row],[Family_Income]]&gt;=100000,"Upper",IF(D178&gt;=50000,"Middle","Lower"))</f>
        <v>Lower</v>
      </c>
      <c r="F178" s="2" t="s">
        <v>4</v>
      </c>
      <c r="G178" s="3">
        <f>IF(ISBLANK('Raw sheet'!F178),AVERAGE('Raw sheet'!$F$2:'Raw sheet'!$F$1500),'Raw sheet'!F178)</f>
        <v>3.64</v>
      </c>
      <c r="H178" s="18">
        <v>81.900000000000006</v>
      </c>
      <c r="I178" s="9" t="str">
        <f t="shared" si="4"/>
        <v>Good</v>
      </c>
      <c r="J178" s="2">
        <v>0</v>
      </c>
      <c r="K178" s="2">
        <v>35.9</v>
      </c>
      <c r="L178" s="2" t="s">
        <v>3</v>
      </c>
      <c r="M178" s="2" t="s">
        <v>3</v>
      </c>
      <c r="N178" s="5">
        <f>IF(ISBLANK('Raw sheet'!L178),AVERAGE('Raw sheet'!$L$2:'Raw sheet'!$L$1500),'Raw sheet'!L178)</f>
        <v>7.2</v>
      </c>
      <c r="O178" s="5" t="str">
        <f>IF(Table1[[#This Row],[Stress_Index]]&gt;=8,"High",IF(N178&gt;=5,"Medium","Low"))</f>
        <v>Medium</v>
      </c>
      <c r="P178" s="3">
        <v>2.2200000000000002</v>
      </c>
      <c r="Q178" s="2">
        <v>2.25</v>
      </c>
      <c r="R178" s="3">
        <v>2.23</v>
      </c>
      <c r="S178" s="3" t="str">
        <f>IF(Table1[[#This Row],[CGPA]]&gt;=3,"High",IF(R177&gt;=2,"Medium","Low"))</f>
        <v>Medium</v>
      </c>
      <c r="T178" s="2" t="s">
        <v>12</v>
      </c>
      <c r="U178" s="2" t="s">
        <v>8</v>
      </c>
      <c r="V178" s="2" t="s">
        <v>9</v>
      </c>
      <c r="W178" s="7">
        <v>0</v>
      </c>
      <c r="X178" t="str">
        <f t="shared" si="5"/>
        <v>Active</v>
      </c>
    </row>
    <row r="179" spans="1:24" x14ac:dyDescent="0.3">
      <c r="A179" s="2">
        <v>178</v>
      </c>
      <c r="B179" s="7">
        <v>24.2</v>
      </c>
      <c r="C179" s="2" t="s">
        <v>5</v>
      </c>
      <c r="D179" s="7">
        <f>IF(ISBLANK('Raw sheet'!D179),AVERAGE('Raw sheet'!$D$2:'Raw sheet'!$D$1500),'Raw sheet'!D179)</f>
        <v>35926</v>
      </c>
      <c r="E179" s="7" t="str">
        <f>IF(Table1[[#This Row],[Family_Income]]&gt;=100000,"Upper",IF(D179&gt;=50000,"Middle","Lower"))</f>
        <v>Lower</v>
      </c>
      <c r="F179" s="2" t="s">
        <v>4</v>
      </c>
      <c r="G179" s="3">
        <f>IF(ISBLANK('Raw sheet'!F179),AVERAGE('Raw sheet'!$F$2:'Raw sheet'!$F$1500),'Raw sheet'!F179)</f>
        <v>2.68</v>
      </c>
      <c r="H179" s="18">
        <v>84</v>
      </c>
      <c r="I179" s="9" t="str">
        <f t="shared" si="4"/>
        <v>Good</v>
      </c>
      <c r="J179" s="2">
        <v>4</v>
      </c>
      <c r="K179" s="2">
        <v>37.4</v>
      </c>
      <c r="L179" s="2" t="s">
        <v>3</v>
      </c>
      <c r="M179" s="2" t="s">
        <v>3</v>
      </c>
      <c r="N179" s="5">
        <f>IF(ISBLANK('Raw sheet'!L179),AVERAGE('Raw sheet'!$L$2:'Raw sheet'!$L$1500),'Raw sheet'!L179)</f>
        <v>2.7</v>
      </c>
      <c r="O179" s="5" t="str">
        <f>IF(Table1[[#This Row],[Stress_Index]]&gt;=8,"High",IF(N179&gt;=5,"Medium","Low"))</f>
        <v>Low</v>
      </c>
      <c r="P179" s="3">
        <v>1.21</v>
      </c>
      <c r="Q179" s="2">
        <v>1.66</v>
      </c>
      <c r="R179" s="3">
        <v>1.71</v>
      </c>
      <c r="S179" s="3" t="str">
        <f>IF(Table1[[#This Row],[CGPA]]&gt;=3,"High",IF(R178&gt;=2,"Medium","Low"))</f>
        <v>Medium</v>
      </c>
      <c r="T179" s="2" t="s">
        <v>12</v>
      </c>
      <c r="U179" s="2" t="s">
        <v>8</v>
      </c>
      <c r="V179" s="2" t="s">
        <v>15</v>
      </c>
      <c r="W179" s="7">
        <v>0</v>
      </c>
      <c r="X179" t="str">
        <f t="shared" si="5"/>
        <v>Active</v>
      </c>
    </row>
    <row r="180" spans="1:24" x14ac:dyDescent="0.3">
      <c r="A180" s="2">
        <v>179</v>
      </c>
      <c r="B180" s="7">
        <v>20.399999999999999</v>
      </c>
      <c r="C180" s="2" t="s">
        <v>11</v>
      </c>
      <c r="D180" s="7">
        <f>IF(ISBLANK('Raw sheet'!D180),AVERAGE('Raw sheet'!$D$2:'Raw sheet'!$D$1500),'Raw sheet'!D180)</f>
        <v>25000</v>
      </c>
      <c r="E180" s="7" t="str">
        <f>IF(Table1[[#This Row],[Family_Income]]&gt;=100000,"Upper",IF(D180&gt;=50000,"Middle","Lower"))</f>
        <v>Lower</v>
      </c>
      <c r="F180" s="2" t="s">
        <v>4</v>
      </c>
      <c r="G180" s="3">
        <f>IF(ISBLANK('Raw sheet'!F180),AVERAGE('Raw sheet'!$F$2:'Raw sheet'!$F$1500),'Raw sheet'!F180)</f>
        <v>3.57</v>
      </c>
      <c r="H180" s="18">
        <v>77.599999999999994</v>
      </c>
      <c r="I180" s="9" t="str">
        <f t="shared" si="4"/>
        <v>Good</v>
      </c>
      <c r="J180" s="2">
        <v>1</v>
      </c>
      <c r="K180" s="2">
        <v>45.1</v>
      </c>
      <c r="L180" s="2" t="s">
        <v>3</v>
      </c>
      <c r="M180" s="2" t="s">
        <v>3</v>
      </c>
      <c r="N180" s="5">
        <f>IF(ISBLANK('Raw sheet'!L180),AVERAGE('Raw sheet'!$L$2:'Raw sheet'!$L$1500),'Raw sheet'!L180)</f>
        <v>6.4</v>
      </c>
      <c r="O180" s="5" t="str">
        <f>IF(Table1[[#This Row],[Stress_Index]]&gt;=8,"High",IF(N180&gt;=5,"Medium","Low"))</f>
        <v>Medium</v>
      </c>
      <c r="P180" s="3">
        <v>2.34</v>
      </c>
      <c r="Q180" s="2">
        <v>2.0499999999999998</v>
      </c>
      <c r="R180" s="3">
        <v>1.99</v>
      </c>
      <c r="S180" s="3" t="str">
        <f>IF(Table1[[#This Row],[CGPA]]&gt;=3,"High",IF(R179&gt;=2,"Medium","Low"))</f>
        <v>Low</v>
      </c>
      <c r="T180" s="2" t="s">
        <v>7</v>
      </c>
      <c r="U180" s="2" t="s">
        <v>8</v>
      </c>
      <c r="V180" s="2" t="s">
        <v>9</v>
      </c>
      <c r="W180" s="7">
        <v>0</v>
      </c>
      <c r="X180" t="str">
        <f t="shared" si="5"/>
        <v>Active</v>
      </c>
    </row>
    <row r="181" spans="1:24" x14ac:dyDescent="0.3">
      <c r="A181" s="2">
        <v>180</v>
      </c>
      <c r="B181" s="7">
        <v>27</v>
      </c>
      <c r="C181" s="2" t="s">
        <v>11</v>
      </c>
      <c r="D181" s="7">
        <f>IF(ISBLANK('Raw sheet'!D181),AVERAGE('Raw sheet'!$D$2:'Raw sheet'!$D$1500),'Raw sheet'!D181)</f>
        <v>53689</v>
      </c>
      <c r="E181" s="7" t="str">
        <f>IF(Table1[[#This Row],[Family_Income]]&gt;=100000,"Upper",IF(D181&gt;=50000,"Middle","Lower"))</f>
        <v>Middle</v>
      </c>
      <c r="F181" s="2" t="s">
        <v>4</v>
      </c>
      <c r="G181" s="3">
        <f>IF(ISBLANK('Raw sheet'!F181),AVERAGE('Raw sheet'!$F$2:'Raw sheet'!$F$1500),'Raw sheet'!F181)</f>
        <v>4.3899999999999997</v>
      </c>
      <c r="H181" s="18">
        <v>67.3</v>
      </c>
      <c r="I181" s="9" t="str">
        <f t="shared" si="4"/>
        <v>Low</v>
      </c>
      <c r="J181" s="2">
        <v>2</v>
      </c>
      <c r="K181" s="2">
        <v>50.5</v>
      </c>
      <c r="L181" s="2" t="s">
        <v>4</v>
      </c>
      <c r="M181" s="2" t="s">
        <v>3</v>
      </c>
      <c r="N181" s="5">
        <f>IF(ISBLANK('Raw sheet'!L181),AVERAGE('Raw sheet'!$L$2:'Raw sheet'!$L$1500),'Raw sheet'!L181)</f>
        <v>4.0999999999999996</v>
      </c>
      <c r="O181" s="5" t="str">
        <f>IF(Table1[[#This Row],[Stress_Index]]&gt;=8,"High",IF(N181&gt;=5,"Medium","Low"))</f>
        <v>Low</v>
      </c>
      <c r="P181" s="3">
        <v>3.47</v>
      </c>
      <c r="Q181" s="2">
        <v>3.57</v>
      </c>
      <c r="R181" s="3">
        <v>3.54</v>
      </c>
      <c r="S181" s="3" t="str">
        <f>IF(Table1[[#This Row],[CGPA]]&gt;=3,"High",IF(R180&gt;=2,"Medium","Low"))</f>
        <v>High</v>
      </c>
      <c r="T181" s="2" t="s">
        <v>10</v>
      </c>
      <c r="U181" s="2" t="s">
        <v>8</v>
      </c>
      <c r="V181" s="2" t="s">
        <v>9</v>
      </c>
      <c r="W181" s="7">
        <v>0</v>
      </c>
      <c r="X181" t="str">
        <f t="shared" si="5"/>
        <v>Active</v>
      </c>
    </row>
    <row r="182" spans="1:24" x14ac:dyDescent="0.3">
      <c r="A182" s="2">
        <v>181</v>
      </c>
      <c r="B182" s="7">
        <v>22.4</v>
      </c>
      <c r="C182" s="2" t="s">
        <v>5</v>
      </c>
      <c r="D182" s="7">
        <f>IF(ISBLANK('Raw sheet'!D182),AVERAGE('Raw sheet'!$D$2:'Raw sheet'!$D$1500),'Raw sheet'!D182)</f>
        <v>25000</v>
      </c>
      <c r="E182" s="7" t="str">
        <f>IF(Table1[[#This Row],[Family_Income]]&gt;=100000,"Upper",IF(D182&gt;=50000,"Middle","Lower"))</f>
        <v>Lower</v>
      </c>
      <c r="F182" s="2" t="s">
        <v>4</v>
      </c>
      <c r="G182" s="3">
        <f>IF(ISBLANK('Raw sheet'!F182),AVERAGE('Raw sheet'!$F$2:'Raw sheet'!$F$1500),'Raw sheet'!F182)</f>
        <v>3.46</v>
      </c>
      <c r="H182" s="18">
        <v>67</v>
      </c>
      <c r="I182" s="9" t="str">
        <f t="shared" si="4"/>
        <v>Low</v>
      </c>
      <c r="J182" s="2">
        <v>6</v>
      </c>
      <c r="K182" s="2">
        <v>27.1</v>
      </c>
      <c r="L182" s="2" t="s">
        <v>3</v>
      </c>
      <c r="M182" s="2" t="s">
        <v>4</v>
      </c>
      <c r="N182" s="5">
        <f>IF(ISBLANK('Raw sheet'!L182),AVERAGE('Raw sheet'!$L$2:'Raw sheet'!$L$1500),'Raw sheet'!L182)</f>
        <v>7.7</v>
      </c>
      <c r="O182" s="5" t="str">
        <f>IF(Table1[[#This Row],[Stress_Index]]&gt;=8,"High",IF(N182&gt;=5,"Medium","Low"))</f>
        <v>Medium</v>
      </c>
      <c r="P182" s="3">
        <v>0.02</v>
      </c>
      <c r="Q182" s="2">
        <v>0.28999999999999998</v>
      </c>
      <c r="R182" s="3">
        <v>0.28999999999999998</v>
      </c>
      <c r="S182" s="3" t="str">
        <f>IF(Table1[[#This Row],[CGPA]]&gt;=3,"High",IF(R181&gt;=2,"Medium","Low"))</f>
        <v>Medium</v>
      </c>
      <c r="T182" s="2" t="s">
        <v>2</v>
      </c>
      <c r="U182" s="2" t="s">
        <v>6</v>
      </c>
      <c r="V182" s="2" t="s">
        <v>9</v>
      </c>
      <c r="W182" s="7">
        <v>1</v>
      </c>
      <c r="X182" t="str">
        <f t="shared" si="5"/>
        <v>Dropped Out</v>
      </c>
    </row>
    <row r="183" spans="1:24" x14ac:dyDescent="0.3">
      <c r="A183" s="2">
        <v>182</v>
      </c>
      <c r="B183" s="7">
        <v>19.100000000000001</v>
      </c>
      <c r="C183" s="2" t="s">
        <v>11</v>
      </c>
      <c r="D183" s="7">
        <f>IF(ISBLANK('Raw sheet'!D183),AVERAGE('Raw sheet'!$D$2:'Raw sheet'!$D$1500),'Raw sheet'!D183)</f>
        <v>47627</v>
      </c>
      <c r="E183" s="7" t="str">
        <f>IF(Table1[[#This Row],[Family_Income]]&gt;=100000,"Upper",IF(D183&gt;=50000,"Middle","Lower"))</f>
        <v>Lower</v>
      </c>
      <c r="F183" s="2" t="s">
        <v>4</v>
      </c>
      <c r="G183" s="3">
        <f>IF(ISBLANK('Raw sheet'!F183),AVERAGE('Raw sheet'!$F$2:'Raw sheet'!$F$1500),'Raw sheet'!F183)</f>
        <v>2.5099999999999998</v>
      </c>
      <c r="H183" s="18">
        <v>89.3</v>
      </c>
      <c r="I183" s="9" t="str">
        <f t="shared" si="4"/>
        <v>Good</v>
      </c>
      <c r="J183" s="2">
        <v>5</v>
      </c>
      <c r="K183" s="2">
        <v>20.399999999999999</v>
      </c>
      <c r="L183" s="2" t="s">
        <v>3</v>
      </c>
      <c r="M183" s="2" t="s">
        <v>3</v>
      </c>
      <c r="N183" s="5">
        <f>IF(ISBLANK('Raw sheet'!L183),AVERAGE('Raw sheet'!$L$2:'Raw sheet'!$L$1500),'Raw sheet'!L183)</f>
        <v>4.5999999999999996</v>
      </c>
      <c r="O183" s="5" t="str">
        <f>IF(Table1[[#This Row],[Stress_Index]]&gt;=8,"High",IF(N183&gt;=5,"Medium","Low"))</f>
        <v>Low</v>
      </c>
      <c r="P183" s="3">
        <v>2.0099999999999998</v>
      </c>
      <c r="Q183" s="2">
        <v>2.09</v>
      </c>
      <c r="R183" s="3">
        <v>2.11</v>
      </c>
      <c r="S183" s="3" t="str">
        <f>IF(Table1[[#This Row],[CGPA]]&gt;=3,"High",IF(R182&gt;=2,"Medium","Low"))</f>
        <v>Low</v>
      </c>
      <c r="T183" s="2" t="s">
        <v>10</v>
      </c>
      <c r="U183" s="2" t="s">
        <v>13</v>
      </c>
      <c r="V183" s="2" t="s">
        <v>15</v>
      </c>
      <c r="W183" s="7">
        <v>0</v>
      </c>
      <c r="X183" t="str">
        <f t="shared" si="5"/>
        <v>Active</v>
      </c>
    </row>
    <row r="184" spans="1:24" x14ac:dyDescent="0.3">
      <c r="A184" s="2">
        <v>183</v>
      </c>
      <c r="B184" s="7">
        <v>18.600000000000001</v>
      </c>
      <c r="C184" s="2" t="s">
        <v>5</v>
      </c>
      <c r="D184" s="7">
        <f>IF(ISBLANK('Raw sheet'!D184),AVERAGE('Raw sheet'!$D$2:'Raw sheet'!$D$1500),'Raw sheet'!D184)</f>
        <v>25000</v>
      </c>
      <c r="E184" s="7" t="str">
        <f>IF(Table1[[#This Row],[Family_Income]]&gt;=100000,"Upper",IF(D184&gt;=50000,"Middle","Lower"))</f>
        <v>Lower</v>
      </c>
      <c r="F184" s="2" t="s">
        <v>4</v>
      </c>
      <c r="G184" s="3">
        <f>IF(ISBLANK('Raw sheet'!F184),AVERAGE('Raw sheet'!$F$2:'Raw sheet'!$F$1500),'Raw sheet'!F184)</f>
        <v>4.1500000000000004</v>
      </c>
      <c r="H184" s="18">
        <v>73.8</v>
      </c>
      <c r="I184" s="9" t="str">
        <f t="shared" si="4"/>
        <v>Low</v>
      </c>
      <c r="J184" s="2">
        <v>1</v>
      </c>
      <c r="K184" s="2">
        <v>37.9</v>
      </c>
      <c r="L184" s="2" t="s">
        <v>3</v>
      </c>
      <c r="M184" s="2" t="s">
        <v>3</v>
      </c>
      <c r="N184" s="5">
        <f>IF(ISBLANK('Raw sheet'!L184),AVERAGE('Raw sheet'!$L$2:'Raw sheet'!$L$1500),'Raw sheet'!L184)</f>
        <v>2.2999999999999998</v>
      </c>
      <c r="O184" s="5" t="str">
        <f>IF(Table1[[#This Row],[Stress_Index]]&gt;=8,"High",IF(N184&gt;=5,"Medium","Low"))</f>
        <v>Low</v>
      </c>
      <c r="P184" s="3">
        <v>2.5499999999999998</v>
      </c>
      <c r="Q184" s="2">
        <v>2.2599999999999998</v>
      </c>
      <c r="R184" s="3">
        <v>2.2599999999999998</v>
      </c>
      <c r="S184" s="3" t="str">
        <f>IF(Table1[[#This Row],[CGPA]]&gt;=3,"High",IF(R183&gt;=2,"Medium","Low"))</f>
        <v>Medium</v>
      </c>
      <c r="T184" s="2" t="s">
        <v>2</v>
      </c>
      <c r="U184" s="2" t="s">
        <v>1</v>
      </c>
      <c r="V184" s="2" t="s">
        <v>9</v>
      </c>
      <c r="W184" s="7">
        <v>0</v>
      </c>
      <c r="X184" t="str">
        <f t="shared" si="5"/>
        <v>Active</v>
      </c>
    </row>
    <row r="185" spans="1:24" x14ac:dyDescent="0.3">
      <c r="A185" s="2">
        <v>184</v>
      </c>
      <c r="B185" s="7">
        <v>22.1</v>
      </c>
      <c r="C185" s="2" t="s">
        <v>5</v>
      </c>
      <c r="D185" s="7">
        <f>IF(ISBLANK('Raw sheet'!D185),AVERAGE('Raw sheet'!$D$2:'Raw sheet'!$D$1500),'Raw sheet'!D185)</f>
        <v>55207</v>
      </c>
      <c r="E185" s="7" t="str">
        <f>IF(Table1[[#This Row],[Family_Income]]&gt;=100000,"Upper",IF(D185&gt;=50000,"Middle","Lower"))</f>
        <v>Middle</v>
      </c>
      <c r="F185" s="2" t="s">
        <v>3</v>
      </c>
      <c r="G185" s="3">
        <f>IF(ISBLANK('Raw sheet'!F185),AVERAGE('Raw sheet'!$F$2:'Raw sheet'!$F$1500),'Raw sheet'!F185)</f>
        <v>4.3899999999999997</v>
      </c>
      <c r="H185" s="18">
        <v>69.8</v>
      </c>
      <c r="I185" s="9" t="str">
        <f t="shared" si="4"/>
        <v>Low</v>
      </c>
      <c r="J185" s="2">
        <v>2</v>
      </c>
      <c r="K185" s="2">
        <v>41.2</v>
      </c>
      <c r="L185" s="2" t="s">
        <v>3</v>
      </c>
      <c r="M185" s="2" t="s">
        <v>3</v>
      </c>
      <c r="N185" s="5">
        <f>IF(ISBLANK('Raw sheet'!L185),AVERAGE('Raw sheet'!$L$2:'Raw sheet'!$L$1500),'Raw sheet'!L185)</f>
        <v>5.4</v>
      </c>
      <c r="O185" s="5" t="str">
        <f>IF(Table1[[#This Row],[Stress_Index]]&gt;=8,"High",IF(N185&gt;=5,"Medium","Low"))</f>
        <v>Medium</v>
      </c>
      <c r="P185" s="3">
        <v>3.18</v>
      </c>
      <c r="Q185" s="2">
        <v>2.81</v>
      </c>
      <c r="R185" s="3">
        <v>2.8</v>
      </c>
      <c r="S185" s="3" t="str">
        <f>IF(Table1[[#This Row],[CGPA]]&gt;=3,"High",IF(R184&gt;=2,"Medium","Low"))</f>
        <v>Medium</v>
      </c>
      <c r="T185" s="2" t="s">
        <v>12</v>
      </c>
      <c r="U185" s="2" t="s">
        <v>8</v>
      </c>
      <c r="V185" s="2" t="s">
        <v>15</v>
      </c>
      <c r="W185" s="7">
        <v>0</v>
      </c>
      <c r="X185" t="str">
        <f t="shared" si="5"/>
        <v>Active</v>
      </c>
    </row>
    <row r="186" spans="1:24" x14ac:dyDescent="0.3">
      <c r="A186" s="2">
        <v>185</v>
      </c>
      <c r="B186" s="7">
        <v>20.5</v>
      </c>
      <c r="C186" s="2" t="s">
        <v>11</v>
      </c>
      <c r="D186" s="7">
        <f>IF(ISBLANK('Raw sheet'!D186),AVERAGE('Raw sheet'!$D$2:'Raw sheet'!$D$1500),'Raw sheet'!D186)</f>
        <v>36066</v>
      </c>
      <c r="E186" s="7" t="str">
        <f>IF(Table1[[#This Row],[Family_Income]]&gt;=100000,"Upper",IF(D186&gt;=50000,"Middle","Lower"))</f>
        <v>Lower</v>
      </c>
      <c r="F186" s="2" t="s">
        <v>4</v>
      </c>
      <c r="G186" s="3">
        <f>IF(ISBLANK('Raw sheet'!F186),AVERAGE('Raw sheet'!$F$2:'Raw sheet'!$F$1500),'Raw sheet'!F186)</f>
        <v>3.52</v>
      </c>
      <c r="H186" s="18">
        <v>69.599999999999994</v>
      </c>
      <c r="I186" s="9" t="str">
        <f t="shared" si="4"/>
        <v>Low</v>
      </c>
      <c r="J186" s="2">
        <v>3</v>
      </c>
      <c r="K186" s="2">
        <v>31.6</v>
      </c>
      <c r="L186" s="2" t="s">
        <v>4</v>
      </c>
      <c r="M186" s="2" t="s">
        <v>4</v>
      </c>
      <c r="N186" s="5">
        <f>IF(ISBLANK('Raw sheet'!L186),AVERAGE('Raw sheet'!$L$2:'Raw sheet'!$L$1500),'Raw sheet'!L186)</f>
        <v>4</v>
      </c>
      <c r="O186" s="5" t="str">
        <f>IF(Table1[[#This Row],[Stress_Index]]&gt;=8,"High",IF(N186&gt;=5,"Medium","Low"))</f>
        <v>Low</v>
      </c>
      <c r="P186" s="3">
        <v>1.87</v>
      </c>
      <c r="Q186" s="2">
        <v>1.74</v>
      </c>
      <c r="R186" s="3">
        <v>1.77</v>
      </c>
      <c r="S186" s="3" t="str">
        <f>IF(Table1[[#This Row],[CGPA]]&gt;=3,"High",IF(R185&gt;=2,"Medium","Low"))</f>
        <v>Medium</v>
      </c>
      <c r="T186" s="2" t="s">
        <v>12</v>
      </c>
      <c r="U186" s="2" t="s">
        <v>13</v>
      </c>
      <c r="V186" s="2" t="s">
        <v>9</v>
      </c>
      <c r="W186" s="7">
        <v>0</v>
      </c>
      <c r="X186" t="str">
        <f t="shared" si="5"/>
        <v>Active</v>
      </c>
    </row>
    <row r="187" spans="1:24" x14ac:dyDescent="0.3">
      <c r="A187" s="2">
        <v>186</v>
      </c>
      <c r="B187" s="7">
        <v>22.6</v>
      </c>
      <c r="C187" s="2" t="s">
        <v>11</v>
      </c>
      <c r="D187" s="7">
        <f>IF(ISBLANK('Raw sheet'!D187),AVERAGE('Raw sheet'!$D$2:'Raw sheet'!$D$1500),'Raw sheet'!D187)</f>
        <v>25000</v>
      </c>
      <c r="E187" s="7" t="str">
        <f>IF(Table1[[#This Row],[Family_Income]]&gt;=100000,"Upper",IF(D187&gt;=50000,"Middle","Lower"))</f>
        <v>Lower</v>
      </c>
      <c r="F187" s="2" t="s">
        <v>4</v>
      </c>
      <c r="G187" s="3">
        <f>IF(ISBLANK('Raw sheet'!F187),AVERAGE('Raw sheet'!$F$2:'Raw sheet'!$F$1500),'Raw sheet'!F187)</f>
        <v>3.97</v>
      </c>
      <c r="H187" s="18">
        <v>78.2</v>
      </c>
      <c r="I187" s="9" t="str">
        <f t="shared" si="4"/>
        <v>Good</v>
      </c>
      <c r="J187" s="2">
        <v>0</v>
      </c>
      <c r="K187" s="2">
        <v>27.9</v>
      </c>
      <c r="L187" s="2" t="s">
        <v>3</v>
      </c>
      <c r="M187" s="2" t="s">
        <v>4</v>
      </c>
      <c r="N187" s="5">
        <f>IF(ISBLANK('Raw sheet'!L187),AVERAGE('Raw sheet'!$L$2:'Raw sheet'!$L$1500),'Raw sheet'!L187)</f>
        <v>7</v>
      </c>
      <c r="O187" s="5" t="str">
        <f>IF(Table1[[#This Row],[Stress_Index]]&gt;=8,"High",IF(N187&gt;=5,"Medium","Low"))</f>
        <v>Medium</v>
      </c>
      <c r="P187" s="3">
        <v>2.61</v>
      </c>
      <c r="Q187" s="2">
        <v>2.35</v>
      </c>
      <c r="R187" s="3">
        <v>2.3199999999999998</v>
      </c>
      <c r="S187" s="3" t="str">
        <f>IF(Table1[[#This Row],[CGPA]]&gt;=3,"High",IF(R186&gt;=2,"Medium","Low"))</f>
        <v>Low</v>
      </c>
      <c r="T187" s="2" t="s">
        <v>12</v>
      </c>
      <c r="U187" s="2" t="s">
        <v>6</v>
      </c>
      <c r="V187" s="2" t="s">
        <v>0</v>
      </c>
      <c r="W187" s="7">
        <v>0</v>
      </c>
      <c r="X187" t="str">
        <f t="shared" si="5"/>
        <v>Active</v>
      </c>
    </row>
    <row r="188" spans="1:24" x14ac:dyDescent="0.3">
      <c r="A188" s="2">
        <v>187</v>
      </c>
      <c r="B188" s="7">
        <v>22</v>
      </c>
      <c r="C188" s="2" t="s">
        <v>5</v>
      </c>
      <c r="D188" s="7">
        <f>IF(ISBLANK('Raw sheet'!D188),AVERAGE('Raw sheet'!$D$2:'Raw sheet'!$D$1500),'Raw sheet'!D188)</f>
        <v>45018</v>
      </c>
      <c r="E188" s="7" t="str">
        <f>IF(Table1[[#This Row],[Family_Income]]&gt;=100000,"Upper",IF(D188&gt;=50000,"Middle","Lower"))</f>
        <v>Lower</v>
      </c>
      <c r="F188" s="2" t="s">
        <v>4</v>
      </c>
      <c r="G188" s="3">
        <f>IF(ISBLANK('Raw sheet'!F188),AVERAGE('Raw sheet'!$F$2:'Raw sheet'!$F$1500),'Raw sheet'!F188)</f>
        <v>0.71</v>
      </c>
      <c r="H188" s="18">
        <v>94.1</v>
      </c>
      <c r="I188" s="9" t="str">
        <f t="shared" si="4"/>
        <v>Good</v>
      </c>
      <c r="J188" s="2">
        <v>1</v>
      </c>
      <c r="K188" s="2">
        <v>24</v>
      </c>
      <c r="L188" s="2" t="s">
        <v>3</v>
      </c>
      <c r="M188" s="2" t="s">
        <v>4</v>
      </c>
      <c r="N188" s="5">
        <f>IF(ISBLANK('Raw sheet'!L188),AVERAGE('Raw sheet'!$L$2:'Raw sheet'!$L$1500),'Raw sheet'!L188)</f>
        <v>6.1</v>
      </c>
      <c r="O188" s="5" t="str">
        <f>IF(Table1[[#This Row],[Stress_Index]]&gt;=8,"High",IF(N188&gt;=5,"Medium","Low"))</f>
        <v>Medium</v>
      </c>
      <c r="P188" s="3">
        <v>1.06</v>
      </c>
      <c r="Q188" s="2">
        <v>1.43</v>
      </c>
      <c r="R188" s="3">
        <v>1.41</v>
      </c>
      <c r="S188" s="3" t="str">
        <f>IF(Table1[[#This Row],[CGPA]]&gt;=3,"High",IF(R187&gt;=2,"Medium","Low"))</f>
        <v>Medium</v>
      </c>
      <c r="T188" s="2" t="s">
        <v>10</v>
      </c>
      <c r="U188" s="2" t="s">
        <v>1</v>
      </c>
      <c r="V188" s="2" t="s">
        <v>0</v>
      </c>
      <c r="W188" s="7">
        <v>0</v>
      </c>
      <c r="X188" t="str">
        <f t="shared" si="5"/>
        <v>Active</v>
      </c>
    </row>
    <row r="189" spans="1:24" x14ac:dyDescent="0.3">
      <c r="A189" s="2">
        <v>188</v>
      </c>
      <c r="B189" s="7">
        <v>20.8</v>
      </c>
      <c r="C189" s="2" t="s">
        <v>5</v>
      </c>
      <c r="D189" s="7">
        <f>IF(ISBLANK('Raw sheet'!D189),AVERAGE('Raw sheet'!$D$2:'Raw sheet'!$D$1500),'Raw sheet'!D189)</f>
        <v>25000</v>
      </c>
      <c r="E189" s="7" t="str">
        <f>IF(Table1[[#This Row],[Family_Income]]&gt;=100000,"Upper",IF(D189&gt;=50000,"Middle","Lower"))</f>
        <v>Lower</v>
      </c>
      <c r="F189" s="2" t="s">
        <v>4</v>
      </c>
      <c r="G189" s="3">
        <f>IF(ISBLANK('Raw sheet'!F189),AVERAGE('Raw sheet'!$F$2:'Raw sheet'!$F$1500),'Raw sheet'!F189)</f>
        <v>4.96</v>
      </c>
      <c r="H189" s="18">
        <v>80.8</v>
      </c>
      <c r="I189" s="9" t="str">
        <f t="shared" si="4"/>
        <v>Good</v>
      </c>
      <c r="J189" s="2">
        <v>1</v>
      </c>
      <c r="K189" s="2">
        <v>29.5</v>
      </c>
      <c r="L189" s="2" t="s">
        <v>4</v>
      </c>
      <c r="M189" s="2" t="s">
        <v>3</v>
      </c>
      <c r="N189" s="5">
        <f>IF(ISBLANK('Raw sheet'!L189),AVERAGE('Raw sheet'!$L$2:'Raw sheet'!$L$1500),'Raw sheet'!L189)</f>
        <v>4.4000000000000004</v>
      </c>
      <c r="O189" s="5" t="str">
        <f>IF(Table1[[#This Row],[Stress_Index]]&gt;=8,"High",IF(N189&gt;=5,"Medium","Low"))</f>
        <v>Low</v>
      </c>
      <c r="P189" s="3">
        <v>3.54</v>
      </c>
      <c r="Q189" s="2">
        <v>3.43</v>
      </c>
      <c r="R189" s="3">
        <v>3.43</v>
      </c>
      <c r="S189" s="3" t="str">
        <f>IF(Table1[[#This Row],[CGPA]]&gt;=3,"High",IF(R188&gt;=2,"Medium","Low"))</f>
        <v>High</v>
      </c>
      <c r="T189" s="2" t="s">
        <v>12</v>
      </c>
      <c r="U189" s="2" t="s">
        <v>14</v>
      </c>
      <c r="V189" s="2" t="s">
        <v>15</v>
      </c>
      <c r="W189" s="7">
        <v>0</v>
      </c>
      <c r="X189" t="str">
        <f t="shared" si="5"/>
        <v>Active</v>
      </c>
    </row>
    <row r="190" spans="1:24" x14ac:dyDescent="0.3">
      <c r="A190" s="2">
        <v>189</v>
      </c>
      <c r="B190" s="7">
        <v>19.100000000000001</v>
      </c>
      <c r="C190" s="2" t="s">
        <v>11</v>
      </c>
      <c r="D190" s="7">
        <f>IF(ISBLANK('Raw sheet'!D190),AVERAGE('Raw sheet'!$D$2:'Raw sheet'!$D$1500),'Raw sheet'!D190)</f>
        <v>46618</v>
      </c>
      <c r="E190" s="7" t="str">
        <f>IF(Table1[[#This Row],[Family_Income]]&gt;=100000,"Upper",IF(D190&gt;=50000,"Middle","Lower"))</f>
        <v>Lower</v>
      </c>
      <c r="F190" s="2" t="s">
        <v>4</v>
      </c>
      <c r="G190" s="3">
        <f>IF(ISBLANK('Raw sheet'!F190),AVERAGE('Raw sheet'!$F$2:'Raw sheet'!$F$1500),'Raw sheet'!F190)</f>
        <v>4.37</v>
      </c>
      <c r="H190" s="18">
        <v>70.599999999999994</v>
      </c>
      <c r="I190" s="9" t="str">
        <f t="shared" si="4"/>
        <v>Low</v>
      </c>
      <c r="J190" s="2">
        <v>2</v>
      </c>
      <c r="K190" s="2">
        <v>38.299999999999997</v>
      </c>
      <c r="L190" s="2" t="s">
        <v>3</v>
      </c>
      <c r="M190" s="2" t="s">
        <v>4</v>
      </c>
      <c r="N190" s="5">
        <f>IF(ISBLANK('Raw sheet'!L190),AVERAGE('Raw sheet'!$L$2:'Raw sheet'!$L$1500),'Raw sheet'!L190)</f>
        <v>3.7</v>
      </c>
      <c r="O190" s="5" t="str">
        <f>IF(Table1[[#This Row],[Stress_Index]]&gt;=8,"High",IF(N190&gt;=5,"Medium","Low"))</f>
        <v>Low</v>
      </c>
      <c r="P190" s="3">
        <v>4</v>
      </c>
      <c r="Q190" s="2">
        <v>3.93</v>
      </c>
      <c r="R190" s="3">
        <v>4</v>
      </c>
      <c r="S190" s="3" t="str">
        <f>IF(Table1[[#This Row],[CGPA]]&gt;=3,"High",IF(R189&gt;=2,"Medium","Low"))</f>
        <v>High</v>
      </c>
      <c r="T190" s="2" t="s">
        <v>12</v>
      </c>
      <c r="U190" s="2" t="s">
        <v>1</v>
      </c>
      <c r="V190" s="2" t="s">
        <v>9</v>
      </c>
      <c r="W190" s="7">
        <v>0</v>
      </c>
      <c r="X190" t="str">
        <f t="shared" si="5"/>
        <v>Active</v>
      </c>
    </row>
    <row r="191" spans="1:24" x14ac:dyDescent="0.3">
      <c r="A191" s="2">
        <v>190</v>
      </c>
      <c r="B191" s="7">
        <v>17.7</v>
      </c>
      <c r="C191" s="2" t="s">
        <v>11</v>
      </c>
      <c r="D191" s="7">
        <f>IF(ISBLANK('Raw sheet'!D191),AVERAGE('Raw sheet'!$D$2:'Raw sheet'!$D$1500),'Raw sheet'!D191)</f>
        <v>25224</v>
      </c>
      <c r="E191" s="7" t="str">
        <f>IF(Table1[[#This Row],[Family_Income]]&gt;=100000,"Upper",IF(D191&gt;=50000,"Middle","Lower"))</f>
        <v>Lower</v>
      </c>
      <c r="F191" s="2" t="s">
        <v>3</v>
      </c>
      <c r="G191" s="3">
        <f>IF(ISBLANK('Raw sheet'!F191),AVERAGE('Raw sheet'!$F$2:'Raw sheet'!$F$1500),'Raw sheet'!F191)</f>
        <v>5.84</v>
      </c>
      <c r="H191" s="18">
        <v>93.9</v>
      </c>
      <c r="I191" s="9" t="str">
        <f t="shared" si="4"/>
        <v>Good</v>
      </c>
      <c r="J191" s="2">
        <v>1</v>
      </c>
      <c r="K191" s="2">
        <v>22</v>
      </c>
      <c r="L191" s="2" t="s">
        <v>4</v>
      </c>
      <c r="M191" s="2" t="s">
        <v>3</v>
      </c>
      <c r="N191" s="5">
        <f>IF(ISBLANK('Raw sheet'!L191),AVERAGE('Raw sheet'!$L$2:'Raw sheet'!$L$1500),'Raw sheet'!L191)</f>
        <v>3.5</v>
      </c>
      <c r="O191" s="5" t="str">
        <f>IF(Table1[[#This Row],[Stress_Index]]&gt;=8,"High",IF(N191&gt;=5,"Medium","Low"))</f>
        <v>Low</v>
      </c>
      <c r="P191" s="3">
        <v>3.77</v>
      </c>
      <c r="Q191" s="2">
        <v>3.79</v>
      </c>
      <c r="R191" s="3">
        <v>3.73</v>
      </c>
      <c r="S191" s="3" t="str">
        <f>IF(Table1[[#This Row],[CGPA]]&gt;=3,"High",IF(R190&gt;=2,"Medium","Low"))</f>
        <v>High</v>
      </c>
      <c r="T191" s="2" t="s">
        <v>7</v>
      </c>
      <c r="U191" s="2" t="s">
        <v>6</v>
      </c>
      <c r="V191" s="2" t="s">
        <v>9</v>
      </c>
      <c r="W191" s="7">
        <v>0</v>
      </c>
      <c r="X191" t="str">
        <f t="shared" si="5"/>
        <v>Active</v>
      </c>
    </row>
    <row r="192" spans="1:24" x14ac:dyDescent="0.3">
      <c r="A192" s="2">
        <v>191</v>
      </c>
      <c r="B192" s="7">
        <v>20</v>
      </c>
      <c r="C192" s="2" t="s">
        <v>5</v>
      </c>
      <c r="D192" s="7">
        <f>IF(ISBLANK('Raw sheet'!D192),AVERAGE('Raw sheet'!$D$2:'Raw sheet'!$D$1500),'Raw sheet'!D192)</f>
        <v>25000</v>
      </c>
      <c r="E192" s="7" t="str">
        <f>IF(Table1[[#This Row],[Family_Income]]&gt;=100000,"Upper",IF(D192&gt;=50000,"Middle","Lower"))</f>
        <v>Lower</v>
      </c>
      <c r="F192" s="2" t="s">
        <v>4</v>
      </c>
      <c r="G192" s="3">
        <f>IF(ISBLANK('Raw sheet'!F192),AVERAGE('Raw sheet'!$F$2:'Raw sheet'!$F$1500),'Raw sheet'!F192)</f>
        <v>3.72</v>
      </c>
      <c r="H192" s="18">
        <v>84.6</v>
      </c>
      <c r="I192" s="9" t="str">
        <f t="shared" si="4"/>
        <v>Good</v>
      </c>
      <c r="J192" s="2">
        <v>1</v>
      </c>
      <c r="K192" s="2">
        <v>20.399999999999999</v>
      </c>
      <c r="L192" s="2" t="s">
        <v>3</v>
      </c>
      <c r="M192" s="2" t="s">
        <v>3</v>
      </c>
      <c r="N192" s="5">
        <f>IF(ISBLANK('Raw sheet'!L192),AVERAGE('Raw sheet'!$L$2:'Raw sheet'!$L$1500),'Raw sheet'!L192)</f>
        <v>4.4000000000000004</v>
      </c>
      <c r="O192" s="5" t="str">
        <f>IF(Table1[[#This Row],[Stress_Index]]&gt;=8,"High",IF(N192&gt;=5,"Medium","Low"))</f>
        <v>Low</v>
      </c>
      <c r="P192" s="3">
        <v>2.4500000000000002</v>
      </c>
      <c r="Q192" s="2">
        <v>2.5099999999999998</v>
      </c>
      <c r="R192" s="3">
        <v>2.5099999999999998</v>
      </c>
      <c r="S192" s="3" t="str">
        <f>IF(Table1[[#This Row],[CGPA]]&gt;=3,"High",IF(R191&gt;=2,"Medium","Low"))</f>
        <v>Medium</v>
      </c>
      <c r="T192" s="2" t="s">
        <v>2</v>
      </c>
      <c r="U192" s="2" t="s">
        <v>8</v>
      </c>
      <c r="V192" s="2" t="s">
        <v>15</v>
      </c>
      <c r="W192" s="7">
        <v>0</v>
      </c>
      <c r="X192" t="str">
        <f t="shared" si="5"/>
        <v>Active</v>
      </c>
    </row>
    <row r="193" spans="1:24" x14ac:dyDescent="0.3">
      <c r="A193" s="2">
        <v>192</v>
      </c>
      <c r="B193" s="7">
        <v>22.9</v>
      </c>
      <c r="C193" s="2" t="s">
        <v>5</v>
      </c>
      <c r="D193" s="7">
        <f>IF(ISBLANK('Raw sheet'!D193),AVERAGE('Raw sheet'!$D$2:'Raw sheet'!$D$1500),'Raw sheet'!D193)</f>
        <v>25000</v>
      </c>
      <c r="E193" s="7" t="str">
        <f>IF(Table1[[#This Row],[Family_Income]]&gt;=100000,"Upper",IF(D193&gt;=50000,"Middle","Lower"))</f>
        <v>Lower</v>
      </c>
      <c r="F193" s="2" t="s">
        <v>4</v>
      </c>
      <c r="G193" s="3">
        <f>IF(ISBLANK('Raw sheet'!F193),AVERAGE('Raw sheet'!$F$2:'Raw sheet'!$F$1500),'Raw sheet'!F193)</f>
        <v>4.95</v>
      </c>
      <c r="H193" s="18">
        <v>79.2</v>
      </c>
      <c r="I193" s="9" t="str">
        <f t="shared" si="4"/>
        <v>Good</v>
      </c>
      <c r="J193" s="2">
        <v>1</v>
      </c>
      <c r="K193" s="2">
        <v>37.200000000000003</v>
      </c>
      <c r="L193" s="2" t="s">
        <v>3</v>
      </c>
      <c r="M193" s="2" t="s">
        <v>3</v>
      </c>
      <c r="N193" s="5">
        <f>IF(ISBLANK('Raw sheet'!L193),AVERAGE('Raw sheet'!$L$2:'Raw sheet'!$L$1500),'Raw sheet'!L193)</f>
        <v>8</v>
      </c>
      <c r="O193" s="5" t="str">
        <f>IF(Table1[[#This Row],[Stress_Index]]&gt;=8,"High",IF(N193&gt;=5,"Medium","Low"))</f>
        <v>High</v>
      </c>
      <c r="P193" s="3">
        <v>1.96</v>
      </c>
      <c r="Q193" s="2">
        <v>1.95</v>
      </c>
      <c r="R193" s="3">
        <v>2.0099999999999998</v>
      </c>
      <c r="S193" s="3" t="str">
        <f>IF(Table1[[#This Row],[CGPA]]&gt;=3,"High",IF(R192&gt;=2,"Medium","Low"))</f>
        <v>Medium</v>
      </c>
      <c r="T193" s="2" t="s">
        <v>7</v>
      </c>
      <c r="U193" s="2" t="s">
        <v>8</v>
      </c>
      <c r="V193" s="2" t="s">
        <v>15</v>
      </c>
      <c r="W193" s="7">
        <v>0</v>
      </c>
      <c r="X193" t="str">
        <f t="shared" si="5"/>
        <v>Active</v>
      </c>
    </row>
    <row r="194" spans="1:24" x14ac:dyDescent="0.3">
      <c r="A194" s="2">
        <v>193</v>
      </c>
      <c r="B194" s="7">
        <v>21.5</v>
      </c>
      <c r="C194" s="2" t="s">
        <v>5</v>
      </c>
      <c r="D194" s="7">
        <f>IF(ISBLANK('Raw sheet'!D194),AVERAGE('Raw sheet'!$D$2:'Raw sheet'!$D$1500),'Raw sheet'!D194)</f>
        <v>25000</v>
      </c>
      <c r="E194" s="7" t="str">
        <f>IF(Table1[[#This Row],[Family_Income]]&gt;=100000,"Upper",IF(D194&gt;=50000,"Middle","Lower"))</f>
        <v>Lower</v>
      </c>
      <c r="F194" s="2" t="s">
        <v>3</v>
      </c>
      <c r="G194" s="3">
        <f>IF(ISBLANK('Raw sheet'!F194),AVERAGE('Raw sheet'!$F$2:'Raw sheet'!$F$1500),'Raw sheet'!F194)</f>
        <v>5.53</v>
      </c>
      <c r="H194" s="18">
        <v>85.9</v>
      </c>
      <c r="I194" s="9" t="str">
        <f t="shared" ref="I194:I257" si="6">IF(H194&gt;=75,"Good","Low")</f>
        <v>Good</v>
      </c>
      <c r="J194" s="2">
        <v>3</v>
      </c>
      <c r="K194" s="2">
        <v>19.8</v>
      </c>
      <c r="L194" s="2" t="s">
        <v>3</v>
      </c>
      <c r="M194" s="2" t="s">
        <v>3</v>
      </c>
      <c r="N194" s="5">
        <f>IF(ISBLANK('Raw sheet'!L194),AVERAGE('Raw sheet'!$L$2:'Raw sheet'!$L$1500),'Raw sheet'!L194)</f>
        <v>5.2</v>
      </c>
      <c r="O194" s="5" t="str">
        <f>IF(Table1[[#This Row],[Stress_Index]]&gt;=8,"High",IF(N194&gt;=5,"Medium","Low"))</f>
        <v>Medium</v>
      </c>
      <c r="P194" s="3">
        <v>2.93</v>
      </c>
      <c r="Q194" s="2">
        <v>2.67</v>
      </c>
      <c r="R194" s="3">
        <v>2.67</v>
      </c>
      <c r="S194" s="3" t="str">
        <f>IF(Table1[[#This Row],[CGPA]]&gt;=3,"High",IF(R193&gt;=2,"Medium","Low"))</f>
        <v>Medium</v>
      </c>
      <c r="T194" s="2" t="s">
        <v>2</v>
      </c>
      <c r="U194" s="2" t="s">
        <v>14</v>
      </c>
      <c r="V194" s="2" t="s">
        <v>16</v>
      </c>
      <c r="W194" s="7">
        <v>0</v>
      </c>
      <c r="X194" t="str">
        <f t="shared" ref="X194:X257" si="7">IF(W194=1,"Dropped Out","Active")</f>
        <v>Active</v>
      </c>
    </row>
    <row r="195" spans="1:24" x14ac:dyDescent="0.3">
      <c r="A195" s="2">
        <v>194</v>
      </c>
      <c r="B195" s="7">
        <v>18.3</v>
      </c>
      <c r="C195" s="2" t="s">
        <v>11</v>
      </c>
      <c r="D195" s="7">
        <f>IF(ISBLANK('Raw sheet'!D195),AVERAGE('Raw sheet'!$D$2:'Raw sheet'!$D$1500),'Raw sheet'!D195)</f>
        <v>67570</v>
      </c>
      <c r="E195" s="7" t="str">
        <f>IF(Table1[[#This Row],[Family_Income]]&gt;=100000,"Upper",IF(D195&gt;=50000,"Middle","Lower"))</f>
        <v>Middle</v>
      </c>
      <c r="F195" s="2" t="s">
        <v>4</v>
      </c>
      <c r="G195" s="3">
        <f>IF(ISBLANK('Raw sheet'!F195),AVERAGE('Raw sheet'!$F$2:'Raw sheet'!$F$1500),'Raw sheet'!F195)</f>
        <v>4.03</v>
      </c>
      <c r="H195" s="18">
        <v>82.1</v>
      </c>
      <c r="I195" s="9" t="str">
        <f t="shared" si="6"/>
        <v>Good</v>
      </c>
      <c r="J195" s="2">
        <v>0</v>
      </c>
      <c r="K195" s="2">
        <v>31.8</v>
      </c>
      <c r="L195" s="2" t="s">
        <v>4</v>
      </c>
      <c r="M195" s="2" t="s">
        <v>4</v>
      </c>
      <c r="N195" s="5">
        <f>IF(ISBLANK('Raw sheet'!L195),AVERAGE('Raw sheet'!$L$2:'Raw sheet'!$L$1500),'Raw sheet'!L195)</f>
        <v>7.2</v>
      </c>
      <c r="O195" s="5" t="str">
        <f>IF(Table1[[#This Row],[Stress_Index]]&gt;=8,"High",IF(N195&gt;=5,"Medium","Low"))</f>
        <v>Medium</v>
      </c>
      <c r="P195" s="3">
        <v>2.08</v>
      </c>
      <c r="Q195" s="2">
        <v>2.29</v>
      </c>
      <c r="R195" s="3">
        <v>2.29</v>
      </c>
      <c r="S195" s="3" t="str">
        <f>IF(Table1[[#This Row],[CGPA]]&gt;=3,"High",IF(R194&gt;=2,"Medium","Low"))</f>
        <v>Medium</v>
      </c>
      <c r="T195" s="2" t="s">
        <v>7</v>
      </c>
      <c r="U195" s="2" t="s">
        <v>14</v>
      </c>
      <c r="V195" s="2" t="s">
        <v>0</v>
      </c>
      <c r="W195" s="7">
        <v>0</v>
      </c>
      <c r="X195" t="str">
        <f t="shared" si="7"/>
        <v>Active</v>
      </c>
    </row>
    <row r="196" spans="1:24" x14ac:dyDescent="0.3">
      <c r="A196" s="2">
        <v>195</v>
      </c>
      <c r="B196" s="7">
        <v>21.4</v>
      </c>
      <c r="C196" s="2" t="s">
        <v>11</v>
      </c>
      <c r="D196" s="7">
        <f>IF(ISBLANK('Raw sheet'!D196),AVERAGE('Raw sheet'!$D$2:'Raw sheet'!$D$1500),'Raw sheet'!D196)</f>
        <v>51056</v>
      </c>
      <c r="E196" s="7" t="str">
        <f>IF(Table1[[#This Row],[Family_Income]]&gt;=100000,"Upper",IF(D196&gt;=50000,"Middle","Lower"))</f>
        <v>Middle</v>
      </c>
      <c r="F196" s="2" t="s">
        <v>4</v>
      </c>
      <c r="G196" s="3">
        <f>IF(ISBLANK('Raw sheet'!F196),AVERAGE('Raw sheet'!$F$2:'Raw sheet'!$F$1500),'Raw sheet'!F196)</f>
        <v>4.45</v>
      </c>
      <c r="H196" s="18">
        <v>76.3</v>
      </c>
      <c r="I196" s="9" t="str">
        <f t="shared" si="6"/>
        <v>Good</v>
      </c>
      <c r="J196" s="2">
        <v>1</v>
      </c>
      <c r="K196" s="2">
        <v>31.2</v>
      </c>
      <c r="L196" s="2" t="s">
        <v>4</v>
      </c>
      <c r="M196" s="2" t="s">
        <v>3</v>
      </c>
      <c r="N196" s="5">
        <f>IF(ISBLANK('Raw sheet'!L196),AVERAGE('Raw sheet'!$L$2:'Raw sheet'!$L$1500),'Raw sheet'!L196)</f>
        <v>2.8</v>
      </c>
      <c r="O196" s="5" t="str">
        <f>IF(Table1[[#This Row],[Stress_Index]]&gt;=8,"High",IF(N196&gt;=5,"Medium","Low"))</f>
        <v>Low</v>
      </c>
      <c r="P196" s="3">
        <v>2.71</v>
      </c>
      <c r="Q196" s="2">
        <v>2.94</v>
      </c>
      <c r="R196" s="3">
        <v>2.97</v>
      </c>
      <c r="S196" s="3" t="str">
        <f>IF(Table1[[#This Row],[CGPA]]&gt;=3,"High",IF(R195&gt;=2,"Medium","Low"))</f>
        <v>Medium</v>
      </c>
      <c r="T196" s="2" t="s">
        <v>10</v>
      </c>
      <c r="U196" s="2" t="s">
        <v>13</v>
      </c>
      <c r="V196" s="2" t="s">
        <v>15</v>
      </c>
      <c r="W196" s="7">
        <v>0</v>
      </c>
      <c r="X196" t="str">
        <f t="shared" si="7"/>
        <v>Active</v>
      </c>
    </row>
    <row r="197" spans="1:24" x14ac:dyDescent="0.3">
      <c r="A197" s="2">
        <v>196</v>
      </c>
      <c r="B197" s="7">
        <v>21.8</v>
      </c>
      <c r="C197" s="2" t="s">
        <v>5</v>
      </c>
      <c r="D197" s="7">
        <f>IF(ISBLANK('Raw sheet'!D197),AVERAGE('Raw sheet'!$D$2:'Raw sheet'!$D$1500),'Raw sheet'!D197)</f>
        <v>78772</v>
      </c>
      <c r="E197" s="7" t="str">
        <f>IF(Table1[[#This Row],[Family_Income]]&gt;=100000,"Upper",IF(D197&gt;=50000,"Middle","Lower"))</f>
        <v>Middle</v>
      </c>
      <c r="F197" s="2" t="s">
        <v>4</v>
      </c>
      <c r="G197" s="3">
        <f>IF(ISBLANK('Raw sheet'!F197),AVERAGE('Raw sheet'!$F$2:'Raw sheet'!$F$1500),'Raw sheet'!F197)</f>
        <v>4.1900000000000004</v>
      </c>
      <c r="H197" s="18">
        <v>77.599999999999994</v>
      </c>
      <c r="I197" s="9" t="str">
        <f t="shared" si="6"/>
        <v>Good</v>
      </c>
      <c r="J197" s="2">
        <v>2</v>
      </c>
      <c r="K197" s="2">
        <v>30</v>
      </c>
      <c r="L197" s="2" t="s">
        <v>3</v>
      </c>
      <c r="M197" s="2" t="s">
        <v>3</v>
      </c>
      <c r="N197" s="5">
        <f>IF(ISBLANK('Raw sheet'!L197),AVERAGE('Raw sheet'!$L$2:'Raw sheet'!$L$1500),'Raw sheet'!L197)</f>
        <v>2</v>
      </c>
      <c r="O197" s="5" t="str">
        <f>IF(Table1[[#This Row],[Stress_Index]]&gt;=8,"High",IF(N197&gt;=5,"Medium","Low"))</f>
        <v>Low</v>
      </c>
      <c r="P197" s="3">
        <v>3.06</v>
      </c>
      <c r="Q197" s="2">
        <v>2.95</v>
      </c>
      <c r="R197" s="3">
        <v>2.95</v>
      </c>
      <c r="S197" s="3" t="str">
        <f>IF(Table1[[#This Row],[CGPA]]&gt;=3,"High",IF(R196&gt;=2,"Medium","Low"))</f>
        <v>Medium</v>
      </c>
      <c r="T197" s="2" t="s">
        <v>2</v>
      </c>
      <c r="U197" s="2" t="s">
        <v>1</v>
      </c>
      <c r="V197" s="2" t="s">
        <v>15</v>
      </c>
      <c r="W197" s="7">
        <v>0</v>
      </c>
      <c r="X197" t="str">
        <f t="shared" si="7"/>
        <v>Active</v>
      </c>
    </row>
    <row r="198" spans="1:24" x14ac:dyDescent="0.3">
      <c r="A198" s="2">
        <v>197</v>
      </c>
      <c r="B198" s="7">
        <v>19.100000000000001</v>
      </c>
      <c r="C198" s="2" t="s">
        <v>11</v>
      </c>
      <c r="D198" s="7">
        <f>IF(ISBLANK('Raw sheet'!D198),AVERAGE('Raw sheet'!$D$2:'Raw sheet'!$D$1500),'Raw sheet'!D198)</f>
        <v>80192</v>
      </c>
      <c r="E198" s="7" t="str">
        <f>IF(Table1[[#This Row],[Family_Income]]&gt;=100000,"Upper",IF(D198&gt;=50000,"Middle","Lower"))</f>
        <v>Middle</v>
      </c>
      <c r="F198" s="2" t="s">
        <v>4</v>
      </c>
      <c r="G198" s="3">
        <f>IF(ISBLANK('Raw sheet'!F198),AVERAGE('Raw sheet'!$F$2:'Raw sheet'!$F$1500),'Raw sheet'!F198)</f>
        <v>1.92</v>
      </c>
      <c r="H198" s="18">
        <v>72.099999999999994</v>
      </c>
      <c r="I198" s="9" t="str">
        <f t="shared" si="6"/>
        <v>Low</v>
      </c>
      <c r="J198" s="2">
        <v>4</v>
      </c>
      <c r="K198" s="2">
        <v>22.3</v>
      </c>
      <c r="L198" s="2" t="s">
        <v>4</v>
      </c>
      <c r="M198" s="2" t="s">
        <v>4</v>
      </c>
      <c r="N198" s="5">
        <f>IF(ISBLANK('Raw sheet'!L198),AVERAGE('Raw sheet'!$L$2:'Raw sheet'!$L$1500),'Raw sheet'!L198)</f>
        <v>3.8</v>
      </c>
      <c r="O198" s="5" t="str">
        <f>IF(Table1[[#This Row],[Stress_Index]]&gt;=8,"High",IF(N198&gt;=5,"Medium","Low"))</f>
        <v>Low</v>
      </c>
      <c r="P198" s="3">
        <v>3.19</v>
      </c>
      <c r="Q198" s="2">
        <v>3.29</v>
      </c>
      <c r="R198" s="3">
        <v>3.22</v>
      </c>
      <c r="S198" s="3" t="str">
        <f>IF(Table1[[#This Row],[CGPA]]&gt;=3,"High",IF(R197&gt;=2,"Medium","Low"))</f>
        <v>High</v>
      </c>
      <c r="T198" s="2" t="s">
        <v>7</v>
      </c>
      <c r="U198" s="2" t="s">
        <v>1</v>
      </c>
      <c r="V198" s="2" t="s">
        <v>9</v>
      </c>
      <c r="W198" s="7">
        <v>0</v>
      </c>
      <c r="X198" t="str">
        <f t="shared" si="7"/>
        <v>Active</v>
      </c>
    </row>
    <row r="199" spans="1:24" x14ac:dyDescent="0.3">
      <c r="A199" s="2">
        <v>198</v>
      </c>
      <c r="B199" s="7">
        <v>21.3</v>
      </c>
      <c r="C199" s="2" t="s">
        <v>11</v>
      </c>
      <c r="D199" s="7">
        <f>IF(ISBLANK('Raw sheet'!D199),AVERAGE('Raw sheet'!$D$2:'Raw sheet'!$D$1500),'Raw sheet'!D199)</f>
        <v>25000</v>
      </c>
      <c r="E199" s="7" t="str">
        <f>IF(Table1[[#This Row],[Family_Income]]&gt;=100000,"Upper",IF(D199&gt;=50000,"Middle","Lower"))</f>
        <v>Lower</v>
      </c>
      <c r="F199" s="2" t="s">
        <v>4</v>
      </c>
      <c r="G199" s="3">
        <f>IF(ISBLANK('Raw sheet'!F199),AVERAGE('Raw sheet'!$F$2:'Raw sheet'!$F$1500),'Raw sheet'!F199)</f>
        <v>4.5</v>
      </c>
      <c r="H199" s="18">
        <v>78.2</v>
      </c>
      <c r="I199" s="9" t="str">
        <f t="shared" si="6"/>
        <v>Good</v>
      </c>
      <c r="J199" s="2">
        <v>3</v>
      </c>
      <c r="K199" s="2">
        <v>50.8</v>
      </c>
      <c r="L199" s="2" t="s">
        <v>4</v>
      </c>
      <c r="M199" s="2" t="s">
        <v>4</v>
      </c>
      <c r="N199" s="5">
        <f>IF(ISBLANK('Raw sheet'!L199),AVERAGE('Raw sheet'!$L$2:'Raw sheet'!$L$1500),'Raw sheet'!L199)</f>
        <v>6.7</v>
      </c>
      <c r="O199" s="5" t="str">
        <f>IF(Table1[[#This Row],[Stress_Index]]&gt;=8,"High",IF(N199&gt;=5,"Medium","Low"))</f>
        <v>Medium</v>
      </c>
      <c r="P199" s="3">
        <v>0.51</v>
      </c>
      <c r="Q199" s="2">
        <v>0.22</v>
      </c>
      <c r="R199" s="3">
        <v>0.19</v>
      </c>
      <c r="S199" s="3" t="str">
        <f>IF(Table1[[#This Row],[CGPA]]&gt;=3,"High",IF(R198&gt;=2,"Medium","Low"))</f>
        <v>Medium</v>
      </c>
      <c r="T199" s="2" t="s">
        <v>7</v>
      </c>
      <c r="U199" s="2" t="s">
        <v>8</v>
      </c>
      <c r="V199" s="2" t="s">
        <v>15</v>
      </c>
      <c r="W199" s="7">
        <v>1</v>
      </c>
      <c r="X199" t="str">
        <f t="shared" si="7"/>
        <v>Dropped Out</v>
      </c>
    </row>
    <row r="200" spans="1:24" x14ac:dyDescent="0.3">
      <c r="A200" s="2">
        <v>199</v>
      </c>
      <c r="B200" s="7">
        <v>21.1</v>
      </c>
      <c r="C200" s="2" t="s">
        <v>5</v>
      </c>
      <c r="D200" s="7">
        <f>IF(ISBLANK('Raw sheet'!D200),AVERAGE('Raw sheet'!$D$2:'Raw sheet'!$D$1500),'Raw sheet'!D200)</f>
        <v>26553</v>
      </c>
      <c r="E200" s="7" t="str">
        <f>IF(Table1[[#This Row],[Family_Income]]&gt;=100000,"Upper",IF(D200&gt;=50000,"Middle","Lower"))</f>
        <v>Lower</v>
      </c>
      <c r="F200" s="2" t="s">
        <v>3</v>
      </c>
      <c r="G200" s="3">
        <f>IF(ISBLANK('Raw sheet'!F200),AVERAGE('Raw sheet'!$F$2:'Raw sheet'!$F$1500),'Raw sheet'!F200)</f>
        <v>2.78</v>
      </c>
      <c r="H200" s="18">
        <v>89.4</v>
      </c>
      <c r="I200" s="9" t="str">
        <f t="shared" si="6"/>
        <v>Good</v>
      </c>
      <c r="J200" s="2">
        <v>0</v>
      </c>
      <c r="K200" s="2">
        <v>34.799999999999997</v>
      </c>
      <c r="L200" s="2" t="s">
        <v>3</v>
      </c>
      <c r="M200" s="2" t="s">
        <v>3</v>
      </c>
      <c r="N200" s="5">
        <f>IF(ISBLANK('Raw sheet'!L200),AVERAGE('Raw sheet'!$L$2:'Raw sheet'!$L$1500),'Raw sheet'!L200)</f>
        <v>5</v>
      </c>
      <c r="O200" s="5" t="str">
        <f>IF(Table1[[#This Row],[Stress_Index]]&gt;=8,"High",IF(N200&gt;=5,"Medium","Low"))</f>
        <v>Medium</v>
      </c>
      <c r="P200" s="3">
        <v>2.63</v>
      </c>
      <c r="Q200" s="2">
        <v>3.2</v>
      </c>
      <c r="R200" s="3">
        <v>3.24</v>
      </c>
      <c r="S200" s="3" t="str">
        <f>IF(Table1[[#This Row],[CGPA]]&gt;=3,"High",IF(R199&gt;=2,"Medium","Low"))</f>
        <v>High</v>
      </c>
      <c r="T200" s="2" t="s">
        <v>10</v>
      </c>
      <c r="U200" s="2" t="s">
        <v>1</v>
      </c>
      <c r="V200" s="2" t="s">
        <v>15</v>
      </c>
      <c r="W200" s="7">
        <v>0</v>
      </c>
      <c r="X200" t="str">
        <f t="shared" si="7"/>
        <v>Active</v>
      </c>
    </row>
    <row r="201" spans="1:24" x14ac:dyDescent="0.3">
      <c r="A201" s="2">
        <v>200</v>
      </c>
      <c r="B201" s="7">
        <v>18.5</v>
      </c>
      <c r="C201" s="2" t="s">
        <v>5</v>
      </c>
      <c r="D201" s="7">
        <f>IF(ISBLANK('Raw sheet'!D201),AVERAGE('Raw sheet'!$D$2:'Raw sheet'!$D$1500),'Raw sheet'!D201)</f>
        <v>25000</v>
      </c>
      <c r="E201" s="7" t="str">
        <f>IF(Table1[[#This Row],[Family_Income]]&gt;=100000,"Upper",IF(D201&gt;=50000,"Middle","Lower"))</f>
        <v>Lower</v>
      </c>
      <c r="F201" s="2" t="s">
        <v>4</v>
      </c>
      <c r="G201" s="3">
        <f>IF(ISBLANK('Raw sheet'!F201),AVERAGE('Raw sheet'!$F$2:'Raw sheet'!$F$1500),'Raw sheet'!F201)</f>
        <v>2.88</v>
      </c>
      <c r="H201" s="18">
        <v>89.2</v>
      </c>
      <c r="I201" s="9" t="str">
        <f t="shared" si="6"/>
        <v>Good</v>
      </c>
      <c r="J201" s="2">
        <v>0</v>
      </c>
      <c r="K201" s="2">
        <v>23.8</v>
      </c>
      <c r="L201" s="2" t="s">
        <v>4</v>
      </c>
      <c r="M201" s="2" t="s">
        <v>3</v>
      </c>
      <c r="N201" s="5">
        <f>IF(ISBLANK('Raw sheet'!L201),AVERAGE('Raw sheet'!$L$2:'Raw sheet'!$L$1500),'Raw sheet'!L201)</f>
        <v>7.1</v>
      </c>
      <c r="O201" s="5" t="str">
        <f>IF(Table1[[#This Row],[Stress_Index]]&gt;=8,"High",IF(N201&gt;=5,"Medium","Low"))</f>
        <v>Medium</v>
      </c>
      <c r="P201" s="3">
        <v>1.1000000000000001</v>
      </c>
      <c r="Q201" s="2">
        <v>1.4</v>
      </c>
      <c r="R201" s="3">
        <v>1.4</v>
      </c>
      <c r="S201" s="3" t="str">
        <f>IF(Table1[[#This Row],[CGPA]]&gt;=3,"High",IF(R200&gt;=2,"Medium","Low"))</f>
        <v>Medium</v>
      </c>
      <c r="T201" s="2" t="s">
        <v>2</v>
      </c>
      <c r="U201" s="2" t="s">
        <v>1</v>
      </c>
      <c r="V201" s="2" t="s">
        <v>15</v>
      </c>
      <c r="W201" s="7">
        <v>0</v>
      </c>
      <c r="X201" t="str">
        <f t="shared" si="7"/>
        <v>Active</v>
      </c>
    </row>
    <row r="202" spans="1:24" x14ac:dyDescent="0.3">
      <c r="A202" s="2">
        <v>201</v>
      </c>
      <c r="B202" s="7">
        <v>21.8</v>
      </c>
      <c r="C202" s="2" t="s">
        <v>11</v>
      </c>
      <c r="D202" s="7">
        <f>IF(ISBLANK('Raw sheet'!D202),AVERAGE('Raw sheet'!$D$2:'Raw sheet'!$D$1500),'Raw sheet'!D202)</f>
        <v>25000</v>
      </c>
      <c r="E202" s="7" t="str">
        <f>IF(Table1[[#This Row],[Family_Income]]&gt;=100000,"Upper",IF(D202&gt;=50000,"Middle","Lower"))</f>
        <v>Lower</v>
      </c>
      <c r="F202" s="2" t="s">
        <v>4</v>
      </c>
      <c r="G202" s="3">
        <f>IF(ISBLANK('Raw sheet'!F202),AVERAGE('Raw sheet'!$F$2:'Raw sheet'!$F$1500),'Raw sheet'!F202)</f>
        <v>4.68</v>
      </c>
      <c r="H202" s="18">
        <v>80.599999999999994</v>
      </c>
      <c r="I202" s="9" t="str">
        <f t="shared" si="6"/>
        <v>Good</v>
      </c>
      <c r="J202" s="2">
        <v>2</v>
      </c>
      <c r="K202" s="2">
        <v>34</v>
      </c>
      <c r="L202" s="2" t="s">
        <v>3</v>
      </c>
      <c r="M202" s="2" t="s">
        <v>3</v>
      </c>
      <c r="N202" s="5">
        <f>IF(ISBLANK('Raw sheet'!L202),AVERAGE('Raw sheet'!$L$2:'Raw sheet'!$L$1500),'Raw sheet'!L202)</f>
        <v>7.8</v>
      </c>
      <c r="O202" s="5" t="str">
        <f>IF(Table1[[#This Row],[Stress_Index]]&gt;=8,"High",IF(N202&gt;=5,"Medium","Low"))</f>
        <v>Medium</v>
      </c>
      <c r="P202" s="3">
        <v>1.81</v>
      </c>
      <c r="Q202" s="2">
        <v>2.04</v>
      </c>
      <c r="R202" s="3">
        <v>2.15</v>
      </c>
      <c r="S202" s="3" t="str">
        <f>IF(Table1[[#This Row],[CGPA]]&gt;=3,"High",IF(R201&gt;=2,"Medium","Low"))</f>
        <v>Low</v>
      </c>
      <c r="T202" s="2" t="s">
        <v>12</v>
      </c>
      <c r="U202" s="2" t="s">
        <v>6</v>
      </c>
      <c r="V202" s="2" t="s">
        <v>0</v>
      </c>
      <c r="W202" s="7">
        <v>0</v>
      </c>
      <c r="X202" t="str">
        <f t="shared" si="7"/>
        <v>Active</v>
      </c>
    </row>
    <row r="203" spans="1:24" x14ac:dyDescent="0.3">
      <c r="A203" s="2">
        <v>202</v>
      </c>
      <c r="B203" s="7">
        <v>22.2</v>
      </c>
      <c r="C203" s="2" t="s">
        <v>11</v>
      </c>
      <c r="D203" s="7">
        <f>IF(ISBLANK('Raw sheet'!D203),AVERAGE('Raw sheet'!$D$2:'Raw sheet'!$D$1500),'Raw sheet'!D203)</f>
        <v>25000</v>
      </c>
      <c r="E203" s="7" t="str">
        <f>IF(Table1[[#This Row],[Family_Income]]&gt;=100000,"Upper",IF(D203&gt;=50000,"Middle","Lower"))</f>
        <v>Lower</v>
      </c>
      <c r="F203" s="2" t="s">
        <v>4</v>
      </c>
      <c r="G203" s="3">
        <f>IF(ISBLANK('Raw sheet'!F203),AVERAGE('Raw sheet'!$F$2:'Raw sheet'!$F$1500),'Raw sheet'!F203)</f>
        <v>5.68</v>
      </c>
      <c r="H203" s="18">
        <v>80.7</v>
      </c>
      <c r="I203" s="9" t="str">
        <f t="shared" si="6"/>
        <v>Good</v>
      </c>
      <c r="J203" s="2">
        <v>3</v>
      </c>
      <c r="K203" s="2">
        <v>52</v>
      </c>
      <c r="L203" s="2" t="s">
        <v>4</v>
      </c>
      <c r="M203" s="2" t="s">
        <v>3</v>
      </c>
      <c r="N203" s="5">
        <f>IF(ISBLANK('Raw sheet'!L203),AVERAGE('Raw sheet'!$L$2:'Raw sheet'!$L$1500),'Raw sheet'!L203)</f>
        <v>3.8</v>
      </c>
      <c r="O203" s="5" t="str">
        <f>IF(Table1[[#This Row],[Stress_Index]]&gt;=8,"High",IF(N203&gt;=5,"Medium","Low"))</f>
        <v>Low</v>
      </c>
      <c r="P203" s="3">
        <v>2</v>
      </c>
      <c r="Q203" s="2">
        <v>2.0699999999999998</v>
      </c>
      <c r="R203" s="3">
        <v>2.0699999999999998</v>
      </c>
      <c r="S203" s="3" t="str">
        <f>IF(Table1[[#This Row],[CGPA]]&gt;=3,"High",IF(R202&gt;=2,"Medium","Low"))</f>
        <v>Medium</v>
      </c>
      <c r="T203" s="2" t="s">
        <v>2</v>
      </c>
      <c r="U203" s="2" t="s">
        <v>13</v>
      </c>
      <c r="V203" s="2" t="s">
        <v>0</v>
      </c>
      <c r="W203" s="7">
        <v>1</v>
      </c>
      <c r="X203" t="str">
        <f t="shared" si="7"/>
        <v>Dropped Out</v>
      </c>
    </row>
    <row r="204" spans="1:24" x14ac:dyDescent="0.3">
      <c r="A204" s="2">
        <v>203</v>
      </c>
      <c r="B204" s="7">
        <v>23.4</v>
      </c>
      <c r="C204" s="2" t="s">
        <v>11</v>
      </c>
      <c r="D204" s="7">
        <f>IF(ISBLANK('Raw sheet'!D204),AVERAGE('Raw sheet'!$D$2:'Raw sheet'!$D$1500),'Raw sheet'!D204)</f>
        <v>29471</v>
      </c>
      <c r="E204" s="7" t="str">
        <f>IF(Table1[[#This Row],[Family_Income]]&gt;=100000,"Upper",IF(D204&gt;=50000,"Middle","Lower"))</f>
        <v>Lower</v>
      </c>
      <c r="F204" s="2" t="s">
        <v>4</v>
      </c>
      <c r="G204" s="3">
        <f>IF(ISBLANK('Raw sheet'!F204),AVERAGE('Raw sheet'!$F$2:'Raw sheet'!$F$1500),'Raw sheet'!F204)</f>
        <v>5.0199999999999996</v>
      </c>
      <c r="H204" s="18">
        <v>73.7</v>
      </c>
      <c r="I204" s="9" t="str">
        <f t="shared" si="6"/>
        <v>Low</v>
      </c>
      <c r="J204" s="2">
        <v>1</v>
      </c>
      <c r="K204" s="2">
        <v>31.1</v>
      </c>
      <c r="L204" s="2" t="s">
        <v>3</v>
      </c>
      <c r="M204" s="2" t="s">
        <v>3</v>
      </c>
      <c r="N204" s="5">
        <f>IF(ISBLANK('Raw sheet'!L204),AVERAGE('Raw sheet'!$L$2:'Raw sheet'!$L$1500),'Raw sheet'!L204)</f>
        <v>7</v>
      </c>
      <c r="O204" s="5" t="str">
        <f>IF(Table1[[#This Row],[Stress_Index]]&gt;=8,"High",IF(N204&gt;=5,"Medium","Low"))</f>
        <v>Medium</v>
      </c>
      <c r="P204" s="3">
        <v>2.12</v>
      </c>
      <c r="Q204" s="2">
        <v>2.0699999999999998</v>
      </c>
      <c r="R204" s="3">
        <v>2.0699999999999998</v>
      </c>
      <c r="S204" s="3" t="str">
        <f>IF(Table1[[#This Row],[CGPA]]&gt;=3,"High",IF(R203&gt;=2,"Medium","Low"))</f>
        <v>Medium</v>
      </c>
      <c r="T204" s="2" t="s">
        <v>2</v>
      </c>
      <c r="U204" s="2" t="s">
        <v>13</v>
      </c>
      <c r="V204" s="2" t="s">
        <v>17</v>
      </c>
      <c r="W204" s="7">
        <v>0</v>
      </c>
      <c r="X204" t="str">
        <f t="shared" si="7"/>
        <v>Active</v>
      </c>
    </row>
    <row r="205" spans="1:24" x14ac:dyDescent="0.3">
      <c r="A205" s="2">
        <v>204</v>
      </c>
      <c r="B205" s="7">
        <v>23.3</v>
      </c>
      <c r="C205" s="2" t="s">
        <v>11</v>
      </c>
      <c r="D205" s="7">
        <f>IF(ISBLANK('Raw sheet'!D205),AVERAGE('Raw sheet'!$D$2:'Raw sheet'!$D$1500),'Raw sheet'!D205)</f>
        <v>25000</v>
      </c>
      <c r="E205" s="7" t="str">
        <f>IF(Table1[[#This Row],[Family_Income]]&gt;=100000,"Upper",IF(D205&gt;=50000,"Middle","Lower"))</f>
        <v>Lower</v>
      </c>
      <c r="F205" s="2" t="s">
        <v>4</v>
      </c>
      <c r="G205" s="3">
        <f>IF(ISBLANK('Raw sheet'!F205),AVERAGE('Raw sheet'!$F$2:'Raw sheet'!$F$1500),'Raw sheet'!F205)</f>
        <v>4.76</v>
      </c>
      <c r="H205" s="18">
        <v>85.2</v>
      </c>
      <c r="I205" s="9" t="str">
        <f t="shared" si="6"/>
        <v>Good</v>
      </c>
      <c r="J205" s="2">
        <v>1</v>
      </c>
      <c r="K205" s="2">
        <v>48.4</v>
      </c>
      <c r="L205" s="2" t="s">
        <v>4</v>
      </c>
      <c r="M205" s="2" t="s">
        <v>4</v>
      </c>
      <c r="N205" s="5">
        <f>IF(ISBLANK('Raw sheet'!L205),AVERAGE('Raw sheet'!$L$2:'Raw sheet'!$L$1500),'Raw sheet'!L205)</f>
        <v>8</v>
      </c>
      <c r="O205" s="5" t="str">
        <f>IF(Table1[[#This Row],[Stress_Index]]&gt;=8,"High",IF(N205&gt;=5,"Medium","Low"))</f>
        <v>High</v>
      </c>
      <c r="P205" s="3">
        <v>3.14</v>
      </c>
      <c r="Q205" s="2">
        <v>2.85</v>
      </c>
      <c r="R205" s="3">
        <v>2.97</v>
      </c>
      <c r="S205" s="3" t="str">
        <f>IF(Table1[[#This Row],[CGPA]]&gt;=3,"High",IF(R204&gt;=2,"Medium","Low"))</f>
        <v>Medium</v>
      </c>
      <c r="T205" s="2" t="s">
        <v>10</v>
      </c>
      <c r="U205" s="2" t="s">
        <v>1</v>
      </c>
      <c r="V205" s="2" t="s">
        <v>9</v>
      </c>
      <c r="W205" s="7">
        <v>0</v>
      </c>
      <c r="X205" t="str">
        <f t="shared" si="7"/>
        <v>Active</v>
      </c>
    </row>
    <row r="206" spans="1:24" x14ac:dyDescent="0.3">
      <c r="A206" s="2">
        <v>205</v>
      </c>
      <c r="B206" s="7">
        <v>18</v>
      </c>
      <c r="C206" s="2" t="s">
        <v>5</v>
      </c>
      <c r="D206" s="7">
        <f>IF(ISBLANK('Raw sheet'!D206),AVERAGE('Raw sheet'!$D$2:'Raw sheet'!$D$1500),'Raw sheet'!D206)</f>
        <v>29129</v>
      </c>
      <c r="E206" s="7" t="str">
        <f>IF(Table1[[#This Row],[Family_Income]]&gt;=100000,"Upper",IF(D206&gt;=50000,"Middle","Lower"))</f>
        <v>Lower</v>
      </c>
      <c r="F206" s="2" t="s">
        <v>3</v>
      </c>
      <c r="G206" s="3">
        <f>IF(ISBLANK('Raw sheet'!F206),AVERAGE('Raw sheet'!$F$2:'Raw sheet'!$F$1500),'Raw sheet'!F206)</f>
        <v>4.4400000000000004</v>
      </c>
      <c r="H206" s="18">
        <v>70.900000000000006</v>
      </c>
      <c r="I206" s="9" t="str">
        <f t="shared" si="6"/>
        <v>Low</v>
      </c>
      <c r="J206" s="2">
        <v>4</v>
      </c>
      <c r="K206" s="2">
        <v>16.2</v>
      </c>
      <c r="L206" s="2" t="s">
        <v>3</v>
      </c>
      <c r="M206" s="2" t="s">
        <v>3</v>
      </c>
      <c r="N206" s="5">
        <f>IF(ISBLANK('Raw sheet'!L206),AVERAGE('Raw sheet'!$L$2:'Raw sheet'!$L$1500),'Raw sheet'!L206)</f>
        <v>7.4</v>
      </c>
      <c r="O206" s="5" t="str">
        <f>IF(Table1[[#This Row],[Stress_Index]]&gt;=8,"High",IF(N206&gt;=5,"Medium","Low"))</f>
        <v>Medium</v>
      </c>
      <c r="P206" s="3">
        <v>2.38</v>
      </c>
      <c r="Q206" s="2">
        <v>2.25</v>
      </c>
      <c r="R206" s="3">
        <v>2.25</v>
      </c>
      <c r="S206" s="3" t="str">
        <f>IF(Table1[[#This Row],[CGPA]]&gt;=3,"High",IF(R205&gt;=2,"Medium","Low"))</f>
        <v>Medium</v>
      </c>
      <c r="T206" s="2" t="s">
        <v>2</v>
      </c>
      <c r="U206" s="2" t="s">
        <v>14</v>
      </c>
      <c r="V206" s="2" t="s">
        <v>15</v>
      </c>
      <c r="W206" s="7">
        <v>0</v>
      </c>
      <c r="X206" t="str">
        <f t="shared" si="7"/>
        <v>Active</v>
      </c>
    </row>
    <row r="207" spans="1:24" x14ac:dyDescent="0.3">
      <c r="A207" s="2">
        <v>206</v>
      </c>
      <c r="B207" s="7">
        <v>18.899999999999999</v>
      </c>
      <c r="C207" s="2" t="s">
        <v>5</v>
      </c>
      <c r="D207" s="7">
        <f>IF(ISBLANK('Raw sheet'!D207),AVERAGE('Raw sheet'!$D$2:'Raw sheet'!$D$1500),'Raw sheet'!D207)</f>
        <v>105817</v>
      </c>
      <c r="E207" s="7" t="str">
        <f>IF(Table1[[#This Row],[Family_Income]]&gt;=100000,"Upper",IF(D207&gt;=50000,"Middle","Lower"))</f>
        <v>Upper</v>
      </c>
      <c r="F207" s="2" t="s">
        <v>3</v>
      </c>
      <c r="G207" s="3">
        <f>IF(ISBLANK('Raw sheet'!F207),AVERAGE('Raw sheet'!$F$2:'Raw sheet'!$F$1500),'Raw sheet'!F207)</f>
        <v>5.13</v>
      </c>
      <c r="H207" s="18">
        <v>88.7</v>
      </c>
      <c r="I207" s="9" t="str">
        <f t="shared" si="6"/>
        <v>Good</v>
      </c>
      <c r="J207" s="2">
        <v>5</v>
      </c>
      <c r="K207" s="2">
        <v>19.8</v>
      </c>
      <c r="L207" s="2" t="s">
        <v>3</v>
      </c>
      <c r="M207" s="2" t="s">
        <v>3</v>
      </c>
      <c r="N207" s="5">
        <f>IF(ISBLANK('Raw sheet'!L207),AVERAGE('Raw sheet'!$L$2:'Raw sheet'!$L$1500),'Raw sheet'!L207)</f>
        <v>2.6</v>
      </c>
      <c r="O207" s="5" t="str">
        <f>IF(Table1[[#This Row],[Stress_Index]]&gt;=8,"High",IF(N207&gt;=5,"Medium","Low"))</f>
        <v>Low</v>
      </c>
      <c r="P207" s="3">
        <v>2.2000000000000002</v>
      </c>
      <c r="Q207" s="2">
        <v>2.06</v>
      </c>
      <c r="R207" s="3">
        <v>2.11</v>
      </c>
      <c r="S207" s="3" t="str">
        <f>IF(Table1[[#This Row],[CGPA]]&gt;=3,"High",IF(R206&gt;=2,"Medium","Low"))</f>
        <v>Medium</v>
      </c>
      <c r="T207" s="2" t="s">
        <v>7</v>
      </c>
      <c r="U207" s="2" t="s">
        <v>14</v>
      </c>
      <c r="V207" s="2" t="s">
        <v>15</v>
      </c>
      <c r="W207" s="7">
        <v>0</v>
      </c>
      <c r="X207" t="str">
        <f t="shared" si="7"/>
        <v>Active</v>
      </c>
    </row>
    <row r="208" spans="1:24" x14ac:dyDescent="0.3">
      <c r="A208" s="2">
        <v>207</v>
      </c>
      <c r="B208" s="7">
        <v>22.1</v>
      </c>
      <c r="C208" s="2" t="s">
        <v>11</v>
      </c>
      <c r="D208" s="7">
        <f>IF(ISBLANK('Raw sheet'!D208),AVERAGE('Raw sheet'!$D$2:'Raw sheet'!$D$1500),'Raw sheet'!D208)</f>
        <v>25000</v>
      </c>
      <c r="E208" s="7" t="str">
        <f>IF(Table1[[#This Row],[Family_Income]]&gt;=100000,"Upper",IF(D208&gt;=50000,"Middle","Lower"))</f>
        <v>Lower</v>
      </c>
      <c r="F208" s="2" t="s">
        <v>3</v>
      </c>
      <c r="G208" s="3">
        <f>IF(ISBLANK('Raw sheet'!F208),AVERAGE('Raw sheet'!$F$2:'Raw sheet'!$F$1500),'Raw sheet'!F208)</f>
        <v>6.19</v>
      </c>
      <c r="H208" s="18">
        <v>85.3</v>
      </c>
      <c r="I208" s="9" t="str">
        <f t="shared" si="6"/>
        <v>Good</v>
      </c>
      <c r="J208" s="2">
        <v>2</v>
      </c>
      <c r="K208" s="2">
        <v>5</v>
      </c>
      <c r="L208" s="2" t="s">
        <v>3</v>
      </c>
      <c r="M208" s="2" t="s">
        <v>4</v>
      </c>
      <c r="N208" s="5">
        <f>IF(ISBLANK('Raw sheet'!L208),AVERAGE('Raw sheet'!$L$2:'Raw sheet'!$L$1500),'Raw sheet'!L208)</f>
        <v>2.2000000000000002</v>
      </c>
      <c r="O208" s="5" t="str">
        <f>IF(Table1[[#This Row],[Stress_Index]]&gt;=8,"High",IF(N208&gt;=5,"Medium","Low"))</f>
        <v>Low</v>
      </c>
      <c r="P208" s="3">
        <v>4</v>
      </c>
      <c r="Q208" s="2">
        <v>3.81</v>
      </c>
      <c r="R208" s="3">
        <v>3.82</v>
      </c>
      <c r="S208" s="3" t="str">
        <f>IF(Table1[[#This Row],[CGPA]]&gt;=3,"High",IF(R207&gt;=2,"Medium","Low"))</f>
        <v>High</v>
      </c>
      <c r="T208" s="2" t="s">
        <v>12</v>
      </c>
      <c r="U208" s="2" t="s">
        <v>1</v>
      </c>
      <c r="V208" s="2" t="s">
        <v>15</v>
      </c>
      <c r="W208" s="7">
        <v>0</v>
      </c>
      <c r="X208" t="str">
        <f t="shared" si="7"/>
        <v>Active</v>
      </c>
    </row>
    <row r="209" spans="1:24" x14ac:dyDescent="0.3">
      <c r="A209" s="2">
        <v>208</v>
      </c>
      <c r="B209" s="7">
        <v>22.1</v>
      </c>
      <c r="C209" s="2" t="s">
        <v>5</v>
      </c>
      <c r="D209" s="7">
        <f>IF(ISBLANK('Raw sheet'!D209),AVERAGE('Raw sheet'!$D$2:'Raw sheet'!$D$1500),'Raw sheet'!D209)</f>
        <v>33418</v>
      </c>
      <c r="E209" s="7" t="str">
        <f>IF(Table1[[#This Row],[Family_Income]]&gt;=100000,"Upper",IF(D209&gt;=50000,"Middle","Lower"))</f>
        <v>Lower</v>
      </c>
      <c r="F209" s="2" t="s">
        <v>4</v>
      </c>
      <c r="G209" s="3">
        <f>IF(ISBLANK('Raw sheet'!F209),AVERAGE('Raw sheet'!$F$2:'Raw sheet'!$F$1500),'Raw sheet'!F209)</f>
        <v>3.25</v>
      </c>
      <c r="H209" s="18">
        <v>79.900000000000006</v>
      </c>
      <c r="I209" s="9" t="str">
        <f t="shared" si="6"/>
        <v>Good</v>
      </c>
      <c r="J209" s="2">
        <v>2</v>
      </c>
      <c r="K209" s="2">
        <v>53.7</v>
      </c>
      <c r="L209" s="2" t="s">
        <v>3</v>
      </c>
      <c r="M209" s="2" t="s">
        <v>3</v>
      </c>
      <c r="N209" s="5">
        <f>IF(ISBLANK('Raw sheet'!L209),AVERAGE('Raw sheet'!$L$2:'Raw sheet'!$L$1500),'Raw sheet'!L209)</f>
        <v>4.7</v>
      </c>
      <c r="O209" s="5" t="str">
        <f>IF(Table1[[#This Row],[Stress_Index]]&gt;=8,"High",IF(N209&gt;=5,"Medium","Low"))</f>
        <v>Low</v>
      </c>
      <c r="P209" s="3">
        <v>1.84</v>
      </c>
      <c r="Q209" s="2">
        <v>2.04</v>
      </c>
      <c r="R209" s="3">
        <v>2.0099999999999998</v>
      </c>
      <c r="S209" s="3" t="str">
        <f>IF(Table1[[#This Row],[CGPA]]&gt;=3,"High",IF(R208&gt;=2,"Medium","Low"))</f>
        <v>Medium</v>
      </c>
      <c r="T209" s="2" t="s">
        <v>7</v>
      </c>
      <c r="U209" s="2" t="s">
        <v>8</v>
      </c>
      <c r="V209" s="2" t="s">
        <v>0</v>
      </c>
      <c r="W209" s="7">
        <v>0</v>
      </c>
      <c r="X209" t="str">
        <f t="shared" si="7"/>
        <v>Active</v>
      </c>
    </row>
    <row r="210" spans="1:24" x14ac:dyDescent="0.3">
      <c r="A210" s="2">
        <v>209</v>
      </c>
      <c r="B210" s="7">
        <v>22.1</v>
      </c>
      <c r="C210" s="2" t="s">
        <v>11</v>
      </c>
      <c r="D210" s="7">
        <f>IF(ISBLANK('Raw sheet'!D210),AVERAGE('Raw sheet'!$D$2:'Raw sheet'!$D$1500),'Raw sheet'!D210)</f>
        <v>51225</v>
      </c>
      <c r="E210" s="7" t="str">
        <f>IF(Table1[[#This Row],[Family_Income]]&gt;=100000,"Upper",IF(D210&gt;=50000,"Middle","Lower"))</f>
        <v>Middle</v>
      </c>
      <c r="F210" s="2" t="s">
        <v>4</v>
      </c>
      <c r="G210" s="3">
        <f>IF(ISBLANK('Raw sheet'!F210),AVERAGE('Raw sheet'!$F$2:'Raw sheet'!$F$1500),'Raw sheet'!F210)</f>
        <v>3.29</v>
      </c>
      <c r="H210" s="18">
        <v>85.5</v>
      </c>
      <c r="I210" s="9" t="str">
        <f t="shared" si="6"/>
        <v>Good</v>
      </c>
      <c r="J210" s="2">
        <v>0</v>
      </c>
      <c r="K210" s="2">
        <v>9.6</v>
      </c>
      <c r="L210" s="2" t="s">
        <v>4</v>
      </c>
      <c r="M210" s="2" t="s">
        <v>3</v>
      </c>
      <c r="N210" s="5">
        <f>IF(ISBLANK('Raw sheet'!L210),AVERAGE('Raw sheet'!$L$2:'Raw sheet'!$L$1500),'Raw sheet'!L210)</f>
        <v>4.8</v>
      </c>
      <c r="O210" s="5" t="str">
        <f>IF(Table1[[#This Row],[Stress_Index]]&gt;=8,"High",IF(N210&gt;=5,"Medium","Low"))</f>
        <v>Low</v>
      </c>
      <c r="P210" s="3">
        <v>1.59</v>
      </c>
      <c r="Q210" s="2">
        <v>1.56</v>
      </c>
      <c r="R210" s="3">
        <v>1.56</v>
      </c>
      <c r="S210" s="3" t="str">
        <f>IF(Table1[[#This Row],[CGPA]]&gt;=3,"High",IF(R209&gt;=2,"Medium","Low"))</f>
        <v>Medium</v>
      </c>
      <c r="T210" s="2" t="s">
        <v>2</v>
      </c>
      <c r="U210" s="2" t="s">
        <v>1</v>
      </c>
      <c r="V210" s="2" t="s">
        <v>15</v>
      </c>
      <c r="W210" s="7">
        <v>0</v>
      </c>
      <c r="X210" t="str">
        <f t="shared" si="7"/>
        <v>Active</v>
      </c>
    </row>
    <row r="211" spans="1:24" x14ac:dyDescent="0.3">
      <c r="A211" s="2">
        <v>210</v>
      </c>
      <c r="B211" s="7">
        <v>29.5</v>
      </c>
      <c r="C211" s="2" t="s">
        <v>11</v>
      </c>
      <c r="D211" s="7">
        <f>IF(ISBLANK('Raw sheet'!D211),AVERAGE('Raw sheet'!$D$2:'Raw sheet'!$D$1500),'Raw sheet'!D211)</f>
        <v>35178</v>
      </c>
      <c r="E211" s="7" t="str">
        <f>IF(Table1[[#This Row],[Family_Income]]&gt;=100000,"Upper",IF(D211&gt;=50000,"Middle","Lower"))</f>
        <v>Lower</v>
      </c>
      <c r="F211" s="2" t="s">
        <v>4</v>
      </c>
      <c r="G211" s="3">
        <f>IF(ISBLANK('Raw sheet'!F211),AVERAGE('Raw sheet'!$F$2:'Raw sheet'!$F$1500),'Raw sheet'!F211)</f>
        <v>4.95</v>
      </c>
      <c r="H211" s="18">
        <v>79.3</v>
      </c>
      <c r="I211" s="9" t="str">
        <f t="shared" si="6"/>
        <v>Good</v>
      </c>
      <c r="J211" s="2">
        <v>2</v>
      </c>
      <c r="K211" s="2">
        <v>32.1</v>
      </c>
      <c r="L211" s="2" t="s">
        <v>4</v>
      </c>
      <c r="M211" s="2" t="s">
        <v>3</v>
      </c>
      <c r="N211" s="5">
        <f>IF(ISBLANK('Raw sheet'!L211),AVERAGE('Raw sheet'!$L$2:'Raw sheet'!$L$1500),'Raw sheet'!L211)</f>
        <v>7</v>
      </c>
      <c r="O211" s="5" t="str">
        <f>IF(Table1[[#This Row],[Stress_Index]]&gt;=8,"High",IF(N211&gt;=5,"Medium","Low"))</f>
        <v>Medium</v>
      </c>
      <c r="P211" s="3">
        <v>2.72</v>
      </c>
      <c r="Q211" s="2">
        <v>2.76</v>
      </c>
      <c r="R211" s="3">
        <v>2.65</v>
      </c>
      <c r="S211" s="3" t="str">
        <f>IF(Table1[[#This Row],[CGPA]]&gt;=3,"High",IF(R210&gt;=2,"Medium","Low"))</f>
        <v>Low</v>
      </c>
      <c r="T211" s="2" t="s">
        <v>10</v>
      </c>
      <c r="U211" s="2" t="s">
        <v>8</v>
      </c>
      <c r="V211" s="2" t="s">
        <v>9</v>
      </c>
      <c r="W211" s="7">
        <v>0</v>
      </c>
      <c r="X211" t="str">
        <f t="shared" si="7"/>
        <v>Active</v>
      </c>
    </row>
    <row r="212" spans="1:24" x14ac:dyDescent="0.3">
      <c r="A212" s="2">
        <v>211</v>
      </c>
      <c r="B212" s="7">
        <v>22.3</v>
      </c>
      <c r="C212" s="2" t="s">
        <v>11</v>
      </c>
      <c r="D212" s="7">
        <f>IF(ISBLANK('Raw sheet'!D212),AVERAGE('Raw sheet'!$D$2:'Raw sheet'!$D$1500),'Raw sheet'!D212)</f>
        <v>35436</v>
      </c>
      <c r="E212" s="7" t="str">
        <f>IF(Table1[[#This Row],[Family_Income]]&gt;=100000,"Upper",IF(D212&gt;=50000,"Middle","Lower"))</f>
        <v>Lower</v>
      </c>
      <c r="F212" s="2" t="s">
        <v>4</v>
      </c>
      <c r="G212" s="3">
        <f>IF(ISBLANK('Raw sheet'!F212),AVERAGE('Raw sheet'!$F$2:'Raw sheet'!$F$1500),'Raw sheet'!F212)</f>
        <v>1.78</v>
      </c>
      <c r="H212" s="18">
        <v>83.5</v>
      </c>
      <c r="I212" s="9" t="str">
        <f t="shared" si="6"/>
        <v>Good</v>
      </c>
      <c r="J212" s="2">
        <v>1</v>
      </c>
      <c r="K212" s="2">
        <v>50.9</v>
      </c>
      <c r="L212" s="2" t="s">
        <v>3</v>
      </c>
      <c r="M212" s="2" t="s">
        <v>3</v>
      </c>
      <c r="N212" s="5">
        <f>IF(ISBLANK('Raw sheet'!L212),AVERAGE('Raw sheet'!$L$2:'Raw sheet'!$L$1500),'Raw sheet'!L212)</f>
        <v>3.8</v>
      </c>
      <c r="O212" s="5" t="str">
        <f>IF(Table1[[#This Row],[Stress_Index]]&gt;=8,"High",IF(N212&gt;=5,"Medium","Low"))</f>
        <v>Low</v>
      </c>
      <c r="P212" s="3">
        <v>2.86</v>
      </c>
      <c r="Q212" s="2">
        <v>2.69</v>
      </c>
      <c r="R212" s="3">
        <v>2.73</v>
      </c>
      <c r="S212" s="3" t="str">
        <f>IF(Table1[[#This Row],[CGPA]]&gt;=3,"High",IF(R211&gt;=2,"Medium","Low"))</f>
        <v>Medium</v>
      </c>
      <c r="T212" s="2" t="s">
        <v>12</v>
      </c>
      <c r="U212" s="2" t="s">
        <v>6</v>
      </c>
      <c r="V212" s="2" t="s">
        <v>0</v>
      </c>
      <c r="W212" s="7">
        <v>0</v>
      </c>
      <c r="X212" t="str">
        <f t="shared" si="7"/>
        <v>Active</v>
      </c>
    </row>
    <row r="213" spans="1:24" x14ac:dyDescent="0.3">
      <c r="A213" s="2">
        <v>212</v>
      </c>
      <c r="B213" s="7">
        <v>23.5</v>
      </c>
      <c r="C213" s="2" t="s">
        <v>5</v>
      </c>
      <c r="D213" s="7">
        <f>IF(ISBLANK('Raw sheet'!D213),AVERAGE('Raw sheet'!$D$2:'Raw sheet'!$D$1500),'Raw sheet'!D213)</f>
        <v>25000</v>
      </c>
      <c r="E213" s="7" t="str">
        <f>IF(Table1[[#This Row],[Family_Income]]&gt;=100000,"Upper",IF(D213&gt;=50000,"Middle","Lower"))</f>
        <v>Lower</v>
      </c>
      <c r="F213" s="2" t="s">
        <v>4</v>
      </c>
      <c r="G213" s="3">
        <f>IF(ISBLANK('Raw sheet'!F213),AVERAGE('Raw sheet'!$F$2:'Raw sheet'!$F$1500),'Raw sheet'!F213)</f>
        <v>3.87</v>
      </c>
      <c r="H213" s="18">
        <v>83.7</v>
      </c>
      <c r="I213" s="9" t="str">
        <f t="shared" si="6"/>
        <v>Good</v>
      </c>
      <c r="J213" s="2">
        <v>1</v>
      </c>
      <c r="K213" s="2">
        <v>41.7</v>
      </c>
      <c r="L213" s="2" t="s">
        <v>3</v>
      </c>
      <c r="M213" s="2" t="s">
        <v>3</v>
      </c>
      <c r="N213" s="5">
        <f>IF(ISBLANK('Raw sheet'!L213),AVERAGE('Raw sheet'!$L$2:'Raw sheet'!$L$1500),'Raw sheet'!L213)</f>
        <v>6.2</v>
      </c>
      <c r="O213" s="5" t="str">
        <f>IF(Table1[[#This Row],[Stress_Index]]&gt;=8,"High",IF(N213&gt;=5,"Medium","Low"))</f>
        <v>Medium</v>
      </c>
      <c r="P213" s="3">
        <v>1.51</v>
      </c>
      <c r="Q213" s="2">
        <v>1.37</v>
      </c>
      <c r="R213" s="3">
        <v>1.29</v>
      </c>
      <c r="S213" s="3" t="str">
        <f>IF(Table1[[#This Row],[CGPA]]&gt;=3,"High",IF(R212&gt;=2,"Medium","Low"))</f>
        <v>Medium</v>
      </c>
      <c r="T213" s="2" t="s">
        <v>12</v>
      </c>
      <c r="U213" s="2" t="s">
        <v>6</v>
      </c>
      <c r="V213" s="2" t="s">
        <v>0</v>
      </c>
      <c r="W213" s="7">
        <v>0</v>
      </c>
      <c r="X213" t="str">
        <f t="shared" si="7"/>
        <v>Active</v>
      </c>
    </row>
    <row r="214" spans="1:24" x14ac:dyDescent="0.3">
      <c r="A214" s="2">
        <v>213</v>
      </c>
      <c r="B214" s="7">
        <v>23.1</v>
      </c>
      <c r="C214" s="2" t="s">
        <v>11</v>
      </c>
      <c r="D214" s="7">
        <f>IF(ISBLANK('Raw sheet'!D214),AVERAGE('Raw sheet'!$D$2:'Raw sheet'!$D$1500),'Raw sheet'!D214)</f>
        <v>25871</v>
      </c>
      <c r="E214" s="7" t="str">
        <f>IF(Table1[[#This Row],[Family_Income]]&gt;=100000,"Upper",IF(D214&gt;=50000,"Middle","Lower"))</f>
        <v>Lower</v>
      </c>
      <c r="F214" s="2" t="s">
        <v>4</v>
      </c>
      <c r="G214" s="3">
        <f>IF(ISBLANK('Raw sheet'!F214),AVERAGE('Raw sheet'!$F$2:'Raw sheet'!$F$1500),'Raw sheet'!F214)</f>
        <v>4.34</v>
      </c>
      <c r="H214" s="18">
        <v>91.3</v>
      </c>
      <c r="I214" s="9" t="str">
        <f t="shared" si="6"/>
        <v>Good</v>
      </c>
      <c r="J214" s="2">
        <v>2</v>
      </c>
      <c r="K214" s="2">
        <v>34.5</v>
      </c>
      <c r="L214" s="2" t="s">
        <v>3</v>
      </c>
      <c r="M214" s="2" t="s">
        <v>4</v>
      </c>
      <c r="N214" s="5">
        <f>IF(ISBLANK('Raw sheet'!L214),AVERAGE('Raw sheet'!$L$2:'Raw sheet'!$L$1500),'Raw sheet'!L214)</f>
        <v>3.6</v>
      </c>
      <c r="O214" s="5" t="str">
        <f>IF(Table1[[#This Row],[Stress_Index]]&gt;=8,"High",IF(N214&gt;=5,"Medium","Low"))</f>
        <v>Low</v>
      </c>
      <c r="P214" s="3">
        <v>3.78</v>
      </c>
      <c r="Q214" s="2">
        <v>3.79</v>
      </c>
      <c r="R214" s="3">
        <v>3.81</v>
      </c>
      <c r="S214" s="3" t="str">
        <f>IF(Table1[[#This Row],[CGPA]]&gt;=3,"High",IF(R213&gt;=2,"Medium","Low"))</f>
        <v>High</v>
      </c>
      <c r="T214" s="2" t="s">
        <v>7</v>
      </c>
      <c r="U214" s="2" t="s">
        <v>1</v>
      </c>
      <c r="V214" s="2" t="s">
        <v>9</v>
      </c>
      <c r="W214" s="7">
        <v>0</v>
      </c>
      <c r="X214" t="str">
        <f t="shared" si="7"/>
        <v>Active</v>
      </c>
    </row>
    <row r="215" spans="1:24" x14ac:dyDescent="0.3">
      <c r="A215" s="2">
        <v>214</v>
      </c>
      <c r="B215" s="7">
        <v>22.4</v>
      </c>
      <c r="C215" s="2" t="s">
        <v>11</v>
      </c>
      <c r="D215" s="7">
        <f>IF(ISBLANK('Raw sheet'!D215),AVERAGE('Raw sheet'!$D$2:'Raw sheet'!$D$1500),'Raw sheet'!D215)</f>
        <v>25000</v>
      </c>
      <c r="E215" s="7" t="str">
        <f>IF(Table1[[#This Row],[Family_Income]]&gt;=100000,"Upper",IF(D215&gt;=50000,"Middle","Lower"))</f>
        <v>Lower</v>
      </c>
      <c r="F215" s="2" t="s">
        <v>3</v>
      </c>
      <c r="G215" s="3">
        <f>IF(ISBLANK('Raw sheet'!F215),AVERAGE('Raw sheet'!$F$2:'Raw sheet'!$F$1500),'Raw sheet'!F215)</f>
        <v>3.29</v>
      </c>
      <c r="H215" s="18">
        <v>85.9</v>
      </c>
      <c r="I215" s="9" t="str">
        <f t="shared" si="6"/>
        <v>Good</v>
      </c>
      <c r="J215" s="2">
        <v>2</v>
      </c>
      <c r="K215" s="2">
        <v>45.4</v>
      </c>
      <c r="L215" s="2" t="s">
        <v>3</v>
      </c>
      <c r="M215" s="2" t="s">
        <v>3</v>
      </c>
      <c r="N215" s="5">
        <f>IF(ISBLANK('Raw sheet'!L215),AVERAGE('Raw sheet'!$L$2:'Raw sheet'!$L$1500),'Raw sheet'!L215)</f>
        <v>6.1</v>
      </c>
      <c r="O215" s="5" t="str">
        <f>IF(Table1[[#This Row],[Stress_Index]]&gt;=8,"High",IF(N215&gt;=5,"Medium","Low"))</f>
        <v>Medium</v>
      </c>
      <c r="P215" s="3">
        <v>1.57</v>
      </c>
      <c r="Q215" s="2">
        <v>1.48</v>
      </c>
      <c r="R215" s="3">
        <v>1.5</v>
      </c>
      <c r="S215" s="3" t="str">
        <f>IF(Table1[[#This Row],[CGPA]]&gt;=3,"High",IF(R214&gt;=2,"Medium","Low"))</f>
        <v>Medium</v>
      </c>
      <c r="T215" s="2" t="s">
        <v>12</v>
      </c>
      <c r="U215" s="2" t="s">
        <v>1</v>
      </c>
      <c r="V215" s="2" t="s">
        <v>9</v>
      </c>
      <c r="W215" s="7">
        <v>1</v>
      </c>
      <c r="X215" t="str">
        <f t="shared" si="7"/>
        <v>Dropped Out</v>
      </c>
    </row>
    <row r="216" spans="1:24" x14ac:dyDescent="0.3">
      <c r="A216" s="2">
        <v>215</v>
      </c>
      <c r="B216" s="7">
        <v>20.3</v>
      </c>
      <c r="C216" s="2" t="s">
        <v>11</v>
      </c>
      <c r="D216" s="7">
        <f>IF(ISBLANK('Raw sheet'!D216),AVERAGE('Raw sheet'!$D$2:'Raw sheet'!$D$1500),'Raw sheet'!D216)</f>
        <v>49396</v>
      </c>
      <c r="E216" s="7" t="str">
        <f>IF(Table1[[#This Row],[Family_Income]]&gt;=100000,"Upper",IF(D216&gt;=50000,"Middle","Lower"))</f>
        <v>Lower</v>
      </c>
      <c r="F216" s="2" t="s">
        <v>4</v>
      </c>
      <c r="G216" s="3">
        <f>IF(ISBLANK('Raw sheet'!F216),AVERAGE('Raw sheet'!$F$2:'Raw sheet'!$F$1500),'Raw sheet'!F216)</f>
        <v>1.51</v>
      </c>
      <c r="H216" s="18">
        <v>90.4</v>
      </c>
      <c r="I216" s="9" t="str">
        <f t="shared" si="6"/>
        <v>Good</v>
      </c>
      <c r="J216" s="2">
        <v>1</v>
      </c>
      <c r="K216" s="2">
        <v>22</v>
      </c>
      <c r="L216" s="2" t="s">
        <v>4</v>
      </c>
      <c r="M216" s="2" t="s">
        <v>4</v>
      </c>
      <c r="N216" s="5">
        <f>IF(ISBLANK('Raw sheet'!L216),AVERAGE('Raw sheet'!$L$2:'Raw sheet'!$L$1500),'Raw sheet'!L216)</f>
        <v>4.7</v>
      </c>
      <c r="O216" s="5" t="str">
        <f>IF(Table1[[#This Row],[Stress_Index]]&gt;=8,"High",IF(N216&gt;=5,"Medium","Low"))</f>
        <v>Low</v>
      </c>
      <c r="P216" s="3">
        <v>1.74</v>
      </c>
      <c r="Q216" s="2">
        <v>2.44</v>
      </c>
      <c r="R216" s="3">
        <v>2.44</v>
      </c>
      <c r="S216" s="3" t="str">
        <f>IF(Table1[[#This Row],[CGPA]]&gt;=3,"High",IF(R215&gt;=2,"Medium","Low"))</f>
        <v>Low</v>
      </c>
      <c r="T216" s="2" t="s">
        <v>2</v>
      </c>
      <c r="U216" s="2" t="s">
        <v>1</v>
      </c>
      <c r="V216" s="2" t="s">
        <v>15</v>
      </c>
      <c r="W216" s="7">
        <v>1</v>
      </c>
      <c r="X216" t="str">
        <f t="shared" si="7"/>
        <v>Dropped Out</v>
      </c>
    </row>
    <row r="217" spans="1:24" x14ac:dyDescent="0.3">
      <c r="A217" s="2">
        <v>216</v>
      </c>
      <c r="B217" s="7">
        <v>22.7</v>
      </c>
      <c r="C217" s="2" t="s">
        <v>5</v>
      </c>
      <c r="D217" s="7">
        <f>IF(ISBLANK('Raw sheet'!D217),AVERAGE('Raw sheet'!$D$2:'Raw sheet'!$D$1500),'Raw sheet'!D217)</f>
        <v>25000</v>
      </c>
      <c r="E217" s="7" t="str">
        <f>IF(Table1[[#This Row],[Family_Income]]&gt;=100000,"Upper",IF(D217&gt;=50000,"Middle","Lower"))</f>
        <v>Lower</v>
      </c>
      <c r="F217" s="2" t="s">
        <v>4</v>
      </c>
      <c r="G217" s="3">
        <f>IF(ISBLANK('Raw sheet'!F217),AVERAGE('Raw sheet'!$F$2:'Raw sheet'!$F$1500),'Raw sheet'!F217)</f>
        <v>5.8</v>
      </c>
      <c r="H217" s="18">
        <v>85.1</v>
      </c>
      <c r="I217" s="9" t="str">
        <f t="shared" si="6"/>
        <v>Good</v>
      </c>
      <c r="J217" s="2">
        <v>5</v>
      </c>
      <c r="K217" s="2">
        <v>36.200000000000003</v>
      </c>
      <c r="L217" s="2" t="s">
        <v>3</v>
      </c>
      <c r="M217" s="2" t="s">
        <v>4</v>
      </c>
      <c r="N217" s="5">
        <f>IF(ISBLANK('Raw sheet'!L217),AVERAGE('Raw sheet'!$L$2:'Raw sheet'!$L$1500),'Raw sheet'!L217)</f>
        <v>6.1</v>
      </c>
      <c r="O217" s="5" t="str">
        <f>IF(Table1[[#This Row],[Stress_Index]]&gt;=8,"High",IF(N217&gt;=5,"Medium","Low"))</f>
        <v>Medium</v>
      </c>
      <c r="P217" s="3">
        <v>4</v>
      </c>
      <c r="Q217" s="2">
        <v>4</v>
      </c>
      <c r="R217" s="3">
        <v>4</v>
      </c>
      <c r="S217" s="3" t="str">
        <f>IF(Table1[[#This Row],[CGPA]]&gt;=3,"High",IF(R216&gt;=2,"Medium","Low"))</f>
        <v>High</v>
      </c>
      <c r="T217" s="2" t="s">
        <v>7</v>
      </c>
      <c r="U217" s="2" t="s">
        <v>13</v>
      </c>
      <c r="V217" s="2" t="s">
        <v>0</v>
      </c>
      <c r="W217" s="7">
        <v>0</v>
      </c>
      <c r="X217" t="str">
        <f t="shared" si="7"/>
        <v>Active</v>
      </c>
    </row>
    <row r="218" spans="1:24" x14ac:dyDescent="0.3">
      <c r="A218" s="2">
        <v>217</v>
      </c>
      <c r="B218" s="7">
        <v>19.3</v>
      </c>
      <c r="C218" s="2" t="s">
        <v>5</v>
      </c>
      <c r="D218" s="7">
        <f>IF(ISBLANK('Raw sheet'!D218),AVERAGE('Raw sheet'!$D$2:'Raw sheet'!$D$1500),'Raw sheet'!D218)</f>
        <v>53245</v>
      </c>
      <c r="E218" s="7" t="str">
        <f>IF(Table1[[#This Row],[Family_Income]]&gt;=100000,"Upper",IF(D218&gt;=50000,"Middle","Lower"))</f>
        <v>Middle</v>
      </c>
      <c r="F218" s="2" t="s">
        <v>4</v>
      </c>
      <c r="G218" s="3">
        <f>IF(ISBLANK('Raw sheet'!F218),AVERAGE('Raw sheet'!$F$2:'Raw sheet'!$F$1500),'Raw sheet'!F218)</f>
        <v>3.22</v>
      </c>
      <c r="H218" s="18">
        <v>81.5</v>
      </c>
      <c r="I218" s="9" t="str">
        <f t="shared" si="6"/>
        <v>Good</v>
      </c>
      <c r="J218" s="2">
        <v>0</v>
      </c>
      <c r="K218" s="2">
        <v>28.6</v>
      </c>
      <c r="L218" s="2" t="s">
        <v>4</v>
      </c>
      <c r="M218" s="2" t="s">
        <v>4</v>
      </c>
      <c r="N218" s="5">
        <f>IF(ISBLANK('Raw sheet'!L218),AVERAGE('Raw sheet'!$L$2:'Raw sheet'!$L$1500),'Raw sheet'!L218)</f>
        <v>4.8</v>
      </c>
      <c r="O218" s="5" t="str">
        <f>IF(Table1[[#This Row],[Stress_Index]]&gt;=8,"High",IF(N218&gt;=5,"Medium","Low"))</f>
        <v>Low</v>
      </c>
      <c r="P218" s="3">
        <v>2.1</v>
      </c>
      <c r="Q218" s="2">
        <v>2.2200000000000002</v>
      </c>
      <c r="R218" s="3">
        <v>2.23</v>
      </c>
      <c r="S218" s="3" t="str">
        <f>IF(Table1[[#This Row],[CGPA]]&gt;=3,"High",IF(R217&gt;=2,"Medium","Low"))</f>
        <v>Medium</v>
      </c>
      <c r="T218" s="2" t="s">
        <v>10</v>
      </c>
      <c r="U218" s="2" t="s">
        <v>1</v>
      </c>
      <c r="V218" s="2" t="s">
        <v>9</v>
      </c>
      <c r="W218" s="7">
        <v>0</v>
      </c>
      <c r="X218" t="str">
        <f t="shared" si="7"/>
        <v>Active</v>
      </c>
    </row>
    <row r="219" spans="1:24" x14ac:dyDescent="0.3">
      <c r="A219" s="2">
        <v>218</v>
      </c>
      <c r="B219" s="7">
        <v>20.5</v>
      </c>
      <c r="C219" s="2" t="s">
        <v>5</v>
      </c>
      <c r="D219" s="7">
        <f>IF(ISBLANK('Raw sheet'!D219),AVERAGE('Raw sheet'!$D$2:'Raw sheet'!$D$1500),'Raw sheet'!D219)</f>
        <v>25000</v>
      </c>
      <c r="E219" s="7" t="str">
        <f>IF(Table1[[#This Row],[Family_Income]]&gt;=100000,"Upper",IF(D219&gt;=50000,"Middle","Lower"))</f>
        <v>Lower</v>
      </c>
      <c r="F219" s="2" t="s">
        <v>4</v>
      </c>
      <c r="G219" s="3">
        <f>IF(ISBLANK('Raw sheet'!F219),AVERAGE('Raw sheet'!$F$2:'Raw sheet'!$F$1500),'Raw sheet'!F219)</f>
        <v>3.28</v>
      </c>
      <c r="H219" s="18">
        <v>86.1</v>
      </c>
      <c r="I219" s="9" t="str">
        <f t="shared" si="6"/>
        <v>Good</v>
      </c>
      <c r="J219" s="2">
        <v>1</v>
      </c>
      <c r="K219" s="2">
        <v>28.4</v>
      </c>
      <c r="L219" s="2" t="s">
        <v>4</v>
      </c>
      <c r="M219" s="2" t="s">
        <v>3</v>
      </c>
      <c r="N219" s="5">
        <f>IF(ISBLANK('Raw sheet'!L219),AVERAGE('Raw sheet'!$L$2:'Raw sheet'!$L$1500),'Raw sheet'!L219)</f>
        <v>1.5</v>
      </c>
      <c r="O219" s="5" t="str">
        <f>IF(Table1[[#This Row],[Stress_Index]]&gt;=8,"High",IF(N219&gt;=5,"Medium","Low"))</f>
        <v>Low</v>
      </c>
      <c r="P219" s="3">
        <v>3.29</v>
      </c>
      <c r="Q219" s="2">
        <v>3.33</v>
      </c>
      <c r="R219" s="3">
        <v>3.33</v>
      </c>
      <c r="S219" s="3" t="str">
        <f>IF(Table1[[#This Row],[CGPA]]&gt;=3,"High",IF(R218&gt;=2,"Medium","Low"))</f>
        <v>High</v>
      </c>
      <c r="T219" s="2" t="s">
        <v>2</v>
      </c>
      <c r="U219" s="2" t="s">
        <v>6</v>
      </c>
      <c r="V219" s="2" t="s">
        <v>16</v>
      </c>
      <c r="W219" s="7">
        <v>0</v>
      </c>
      <c r="X219" t="str">
        <f t="shared" si="7"/>
        <v>Active</v>
      </c>
    </row>
    <row r="220" spans="1:24" x14ac:dyDescent="0.3">
      <c r="A220" s="2">
        <v>219</v>
      </c>
      <c r="B220" s="7">
        <v>19.899999999999999</v>
      </c>
      <c r="C220" s="2" t="s">
        <v>5</v>
      </c>
      <c r="D220" s="7">
        <f>IF(ISBLANK('Raw sheet'!D220),AVERAGE('Raw sheet'!$D$2:'Raw sheet'!$D$1500),'Raw sheet'!D220)</f>
        <v>52974</v>
      </c>
      <c r="E220" s="7" t="str">
        <f>IF(Table1[[#This Row],[Family_Income]]&gt;=100000,"Upper",IF(D220&gt;=50000,"Middle","Lower"))</f>
        <v>Middle</v>
      </c>
      <c r="F220" s="2" t="s">
        <v>4</v>
      </c>
      <c r="G220" s="3">
        <f>IF(ISBLANK('Raw sheet'!F220),AVERAGE('Raw sheet'!$F$2:'Raw sheet'!$F$1500),'Raw sheet'!F220)</f>
        <v>5.73</v>
      </c>
      <c r="H220" s="18">
        <v>84.8</v>
      </c>
      <c r="I220" s="9" t="str">
        <f t="shared" si="6"/>
        <v>Good</v>
      </c>
      <c r="J220" s="2">
        <v>2</v>
      </c>
      <c r="K220" s="2">
        <v>32.299999999999997</v>
      </c>
      <c r="L220" s="2" t="s">
        <v>4</v>
      </c>
      <c r="M220" s="2" t="s">
        <v>3</v>
      </c>
      <c r="N220" s="5">
        <f>IF(ISBLANK('Raw sheet'!L220),AVERAGE('Raw sheet'!$L$2:'Raw sheet'!$L$1500),'Raw sheet'!L220)</f>
        <v>6.4</v>
      </c>
      <c r="O220" s="5" t="str">
        <f>IF(Table1[[#This Row],[Stress_Index]]&gt;=8,"High",IF(N220&gt;=5,"Medium","Low"))</f>
        <v>Medium</v>
      </c>
      <c r="P220" s="3">
        <v>1.88</v>
      </c>
      <c r="Q220" s="2">
        <v>1.72</v>
      </c>
      <c r="R220" s="3">
        <v>1.72</v>
      </c>
      <c r="S220" s="3" t="str">
        <f>IF(Table1[[#This Row],[CGPA]]&gt;=3,"High",IF(R219&gt;=2,"Medium","Low"))</f>
        <v>Medium</v>
      </c>
      <c r="T220" s="2" t="s">
        <v>2</v>
      </c>
      <c r="U220" s="2" t="s">
        <v>6</v>
      </c>
      <c r="V220" s="2" t="s">
        <v>9</v>
      </c>
      <c r="W220" s="7">
        <v>0</v>
      </c>
      <c r="X220" t="str">
        <f t="shared" si="7"/>
        <v>Active</v>
      </c>
    </row>
    <row r="221" spans="1:24" x14ac:dyDescent="0.3">
      <c r="A221" s="2">
        <v>220</v>
      </c>
      <c r="B221" s="7">
        <v>21.2</v>
      </c>
      <c r="C221" s="2" t="s">
        <v>5</v>
      </c>
      <c r="D221" s="7">
        <f>IF(ISBLANK('Raw sheet'!D221),AVERAGE('Raw sheet'!$D$2:'Raw sheet'!$D$1500),'Raw sheet'!D221)</f>
        <v>25000</v>
      </c>
      <c r="E221" s="7" t="str">
        <f>IF(Table1[[#This Row],[Family_Income]]&gt;=100000,"Upper",IF(D221&gt;=50000,"Middle","Lower"))</f>
        <v>Lower</v>
      </c>
      <c r="F221" s="2" t="s">
        <v>4</v>
      </c>
      <c r="G221" s="3">
        <f>IF(ISBLANK('Raw sheet'!F221),AVERAGE('Raw sheet'!$F$2:'Raw sheet'!$F$1500),'Raw sheet'!F221)</f>
        <v>0.5</v>
      </c>
      <c r="H221" s="18">
        <v>79.099999999999994</v>
      </c>
      <c r="I221" s="9" t="str">
        <f t="shared" si="6"/>
        <v>Good</v>
      </c>
      <c r="J221" s="2">
        <v>0</v>
      </c>
      <c r="K221" s="2">
        <v>44.1</v>
      </c>
      <c r="L221" s="2" t="s">
        <v>3</v>
      </c>
      <c r="M221" s="2" t="s">
        <v>3</v>
      </c>
      <c r="N221" s="5">
        <f>IF(ISBLANK('Raw sheet'!L221),AVERAGE('Raw sheet'!$L$2:'Raw sheet'!$L$1500),'Raw sheet'!L221)</f>
        <v>7.6</v>
      </c>
      <c r="O221" s="5" t="str">
        <f>IF(Table1[[#This Row],[Stress_Index]]&gt;=8,"High",IF(N221&gt;=5,"Medium","Low"))</f>
        <v>Medium</v>
      </c>
      <c r="P221" s="3">
        <v>1.87</v>
      </c>
      <c r="Q221" s="2">
        <v>1.27</v>
      </c>
      <c r="R221" s="3">
        <v>1.27</v>
      </c>
      <c r="S221" s="3" t="str">
        <f>IF(Table1[[#This Row],[CGPA]]&gt;=3,"High",IF(R220&gt;=2,"Medium","Low"))</f>
        <v>Low</v>
      </c>
      <c r="T221" s="2" t="s">
        <v>2</v>
      </c>
      <c r="U221" s="2" t="s">
        <v>8</v>
      </c>
      <c r="V221" s="2" t="s">
        <v>15</v>
      </c>
      <c r="W221" s="7">
        <v>0</v>
      </c>
      <c r="X221" t="str">
        <f t="shared" si="7"/>
        <v>Active</v>
      </c>
    </row>
    <row r="222" spans="1:24" x14ac:dyDescent="0.3">
      <c r="A222" s="2">
        <v>221</v>
      </c>
      <c r="B222" s="7">
        <v>26.1</v>
      </c>
      <c r="C222" s="2" t="s">
        <v>11</v>
      </c>
      <c r="D222" s="7">
        <f>IF(ISBLANK('Raw sheet'!D222),AVERAGE('Raw sheet'!$D$2:'Raw sheet'!$D$1500),'Raw sheet'!D222)</f>
        <v>25000</v>
      </c>
      <c r="E222" s="7" t="str">
        <f>IF(Table1[[#This Row],[Family_Income]]&gt;=100000,"Upper",IF(D222&gt;=50000,"Middle","Lower"))</f>
        <v>Lower</v>
      </c>
      <c r="F222" s="2" t="s">
        <v>4</v>
      </c>
      <c r="G222" s="3">
        <f>IF(ISBLANK('Raw sheet'!F222),AVERAGE('Raw sheet'!$F$2:'Raw sheet'!$F$1500),'Raw sheet'!F222)</f>
        <v>5.96</v>
      </c>
      <c r="H222" s="18">
        <v>70.7</v>
      </c>
      <c r="I222" s="9" t="str">
        <f t="shared" si="6"/>
        <v>Low</v>
      </c>
      <c r="J222" s="2">
        <v>3</v>
      </c>
      <c r="K222" s="2">
        <v>48.8</v>
      </c>
      <c r="L222" s="2" t="s">
        <v>4</v>
      </c>
      <c r="M222" s="2" t="s">
        <v>3</v>
      </c>
      <c r="N222" s="5">
        <f>IF(ISBLANK('Raw sheet'!L222),AVERAGE('Raw sheet'!$L$2:'Raw sheet'!$L$1500),'Raw sheet'!L222)</f>
        <v>4</v>
      </c>
      <c r="O222" s="5" t="str">
        <f>IF(Table1[[#This Row],[Stress_Index]]&gt;=8,"High",IF(N222&gt;=5,"Medium","Low"))</f>
        <v>Low</v>
      </c>
      <c r="P222" s="3">
        <v>2.38</v>
      </c>
      <c r="Q222" s="2">
        <v>1.77</v>
      </c>
      <c r="R222" s="3">
        <v>1.77</v>
      </c>
      <c r="S222" s="3" t="str">
        <f>IF(Table1[[#This Row],[CGPA]]&gt;=3,"High",IF(R221&gt;=2,"Medium","Low"))</f>
        <v>Low</v>
      </c>
      <c r="T222" s="2" t="s">
        <v>2</v>
      </c>
      <c r="U222" s="2" t="s">
        <v>1</v>
      </c>
      <c r="V222" s="2" t="s">
        <v>9</v>
      </c>
      <c r="W222" s="7">
        <v>0</v>
      </c>
      <c r="X222" t="str">
        <f t="shared" si="7"/>
        <v>Active</v>
      </c>
    </row>
    <row r="223" spans="1:24" x14ac:dyDescent="0.3">
      <c r="A223" s="2">
        <v>222</v>
      </c>
      <c r="B223" s="7">
        <v>17</v>
      </c>
      <c r="C223" s="2" t="s">
        <v>11</v>
      </c>
      <c r="D223" s="7">
        <f>IF(ISBLANK('Raw sheet'!D223),AVERAGE('Raw sheet'!$D$2:'Raw sheet'!$D$1500),'Raw sheet'!D223)</f>
        <v>42091</v>
      </c>
      <c r="E223" s="7" t="str">
        <f>IF(Table1[[#This Row],[Family_Income]]&gt;=100000,"Upper",IF(D223&gt;=50000,"Middle","Lower"))</f>
        <v>Lower</v>
      </c>
      <c r="F223" s="2" t="s">
        <v>3</v>
      </c>
      <c r="G223" s="3">
        <f>IF(ISBLANK('Raw sheet'!F223),AVERAGE('Raw sheet'!$F$2:'Raw sheet'!$F$1500),'Raw sheet'!F223)</f>
        <v>6.89</v>
      </c>
      <c r="H223" s="18">
        <v>77.8</v>
      </c>
      <c r="I223" s="9" t="str">
        <f t="shared" si="6"/>
        <v>Good</v>
      </c>
      <c r="J223" s="2">
        <v>3</v>
      </c>
      <c r="K223" s="2">
        <v>26.8</v>
      </c>
      <c r="L223" s="2" t="s">
        <v>4</v>
      </c>
      <c r="M223" s="2" t="s">
        <v>3</v>
      </c>
      <c r="N223" s="5">
        <f>IF(ISBLANK('Raw sheet'!L223),AVERAGE('Raw sheet'!$L$2:'Raw sheet'!$L$1500),'Raw sheet'!L223)</f>
        <v>7</v>
      </c>
      <c r="O223" s="5" t="str">
        <f>IF(Table1[[#This Row],[Stress_Index]]&gt;=8,"High",IF(N223&gt;=5,"Medium","Low"))</f>
        <v>Medium</v>
      </c>
      <c r="P223" s="3">
        <v>3.04</v>
      </c>
      <c r="Q223" s="2">
        <v>3.42</v>
      </c>
      <c r="R223" s="3">
        <v>3.46</v>
      </c>
      <c r="S223" s="3" t="str">
        <f>IF(Table1[[#This Row],[CGPA]]&gt;=3,"High",IF(R222&gt;=2,"Medium","Low"))</f>
        <v>High</v>
      </c>
      <c r="T223" s="2" t="s">
        <v>10</v>
      </c>
      <c r="U223" s="2" t="s">
        <v>6</v>
      </c>
      <c r="V223" s="2" t="s">
        <v>15</v>
      </c>
      <c r="W223" s="7">
        <v>0</v>
      </c>
      <c r="X223" t="str">
        <f t="shared" si="7"/>
        <v>Active</v>
      </c>
    </row>
    <row r="224" spans="1:24" x14ac:dyDescent="0.3">
      <c r="A224" s="2">
        <v>223</v>
      </c>
      <c r="B224" s="7">
        <v>22.5</v>
      </c>
      <c r="C224" s="2" t="s">
        <v>11</v>
      </c>
      <c r="D224" s="7">
        <f>IF(ISBLANK('Raw sheet'!D224),AVERAGE('Raw sheet'!$D$2:'Raw sheet'!$D$1500),'Raw sheet'!D224)</f>
        <v>51910</v>
      </c>
      <c r="E224" s="7" t="str">
        <f>IF(Table1[[#This Row],[Family_Income]]&gt;=100000,"Upper",IF(D224&gt;=50000,"Middle","Lower"))</f>
        <v>Middle</v>
      </c>
      <c r="F224" s="2" t="s">
        <v>4</v>
      </c>
      <c r="G224" s="3">
        <f>IF(ISBLANK('Raw sheet'!F224),AVERAGE('Raw sheet'!$F$2:'Raw sheet'!$F$1500),'Raw sheet'!F224)</f>
        <v>2.84</v>
      </c>
      <c r="H224" s="18">
        <v>77.8</v>
      </c>
      <c r="I224" s="9" t="str">
        <f t="shared" si="6"/>
        <v>Good</v>
      </c>
      <c r="J224" s="2">
        <v>0</v>
      </c>
      <c r="K224" s="2">
        <v>16.899999999999999</v>
      </c>
      <c r="L224" s="2" t="s">
        <v>4</v>
      </c>
      <c r="M224" s="2" t="s">
        <v>3</v>
      </c>
      <c r="N224" s="5">
        <f>IF(ISBLANK('Raw sheet'!L224),AVERAGE('Raw sheet'!$L$2:'Raw sheet'!$L$1500),'Raw sheet'!L224)</f>
        <v>4.4000000000000004</v>
      </c>
      <c r="O224" s="5" t="str">
        <f>IF(Table1[[#This Row],[Stress_Index]]&gt;=8,"High",IF(N224&gt;=5,"Medium","Low"))</f>
        <v>Low</v>
      </c>
      <c r="P224" s="3">
        <v>2.2999999999999998</v>
      </c>
      <c r="Q224" s="2">
        <v>2.39</v>
      </c>
      <c r="R224" s="3">
        <v>2.4300000000000002</v>
      </c>
      <c r="S224" s="3" t="str">
        <f>IF(Table1[[#This Row],[CGPA]]&gt;=3,"High",IF(R223&gt;=2,"Medium","Low"))</f>
        <v>Medium</v>
      </c>
      <c r="T224" s="2" t="s">
        <v>7</v>
      </c>
      <c r="U224" s="2" t="s">
        <v>14</v>
      </c>
      <c r="V224" s="2" t="s">
        <v>9</v>
      </c>
      <c r="W224" s="7">
        <v>0</v>
      </c>
      <c r="X224" t="str">
        <f t="shared" si="7"/>
        <v>Active</v>
      </c>
    </row>
    <row r="225" spans="1:24" x14ac:dyDescent="0.3">
      <c r="A225" s="2">
        <v>224</v>
      </c>
      <c r="B225" s="7">
        <v>17.5</v>
      </c>
      <c r="C225" s="2" t="s">
        <v>11</v>
      </c>
      <c r="D225" s="7">
        <f>IF(ISBLANK('Raw sheet'!D225),AVERAGE('Raw sheet'!$D$2:'Raw sheet'!$D$1500),'Raw sheet'!D225)</f>
        <v>25000</v>
      </c>
      <c r="E225" s="7" t="str">
        <f>IF(Table1[[#This Row],[Family_Income]]&gt;=100000,"Upper",IF(D225&gt;=50000,"Middle","Lower"))</f>
        <v>Lower</v>
      </c>
      <c r="F225" s="2" t="s">
        <v>4</v>
      </c>
      <c r="G225" s="3">
        <f>IF(ISBLANK('Raw sheet'!F225),AVERAGE('Raw sheet'!$F$2:'Raw sheet'!$F$1500),'Raw sheet'!F225)</f>
        <v>3.36</v>
      </c>
      <c r="H225" s="18">
        <v>86.4</v>
      </c>
      <c r="I225" s="9" t="str">
        <f t="shared" si="6"/>
        <v>Good</v>
      </c>
      <c r="J225" s="2">
        <v>1</v>
      </c>
      <c r="K225" s="2">
        <v>20.2</v>
      </c>
      <c r="L225" s="2" t="s">
        <v>4</v>
      </c>
      <c r="M225" s="2" t="s">
        <v>4</v>
      </c>
      <c r="N225" s="5">
        <f>IF(ISBLANK('Raw sheet'!L225),AVERAGE('Raw sheet'!$L$2:'Raw sheet'!$L$1500),'Raw sheet'!L225)</f>
        <v>3.1</v>
      </c>
      <c r="O225" s="5" t="str">
        <f>IF(Table1[[#This Row],[Stress_Index]]&gt;=8,"High",IF(N225&gt;=5,"Medium","Low"))</f>
        <v>Low</v>
      </c>
      <c r="P225" s="3">
        <v>2.88</v>
      </c>
      <c r="Q225" s="2">
        <v>2.8</v>
      </c>
      <c r="R225" s="3">
        <v>2.8</v>
      </c>
      <c r="S225" s="3" t="str">
        <f>IF(Table1[[#This Row],[CGPA]]&gt;=3,"High",IF(R224&gt;=2,"Medium","Low"))</f>
        <v>Medium</v>
      </c>
      <c r="T225" s="2" t="s">
        <v>2</v>
      </c>
      <c r="U225" s="2" t="s">
        <v>14</v>
      </c>
      <c r="V225" s="2" t="s">
        <v>15</v>
      </c>
      <c r="W225" s="7">
        <v>0</v>
      </c>
      <c r="X225" t="str">
        <f t="shared" si="7"/>
        <v>Active</v>
      </c>
    </row>
    <row r="226" spans="1:24" x14ac:dyDescent="0.3">
      <c r="A226" s="2">
        <v>225</v>
      </c>
      <c r="B226" s="7">
        <v>20</v>
      </c>
      <c r="C226" s="2" t="s">
        <v>5</v>
      </c>
      <c r="D226" s="7">
        <f>IF(ISBLANK('Raw sheet'!D226),AVERAGE('Raw sheet'!$D$2:'Raw sheet'!$D$1500),'Raw sheet'!D226)</f>
        <v>45815</v>
      </c>
      <c r="E226" s="7" t="str">
        <f>IF(Table1[[#This Row],[Family_Income]]&gt;=100000,"Upper",IF(D226&gt;=50000,"Middle","Lower"))</f>
        <v>Lower</v>
      </c>
      <c r="F226" s="2" t="s">
        <v>4</v>
      </c>
      <c r="G226" s="3">
        <f>IF(ISBLANK('Raw sheet'!F226),AVERAGE('Raw sheet'!$F$2:'Raw sheet'!$F$1500),'Raw sheet'!F226)</f>
        <v>4.63</v>
      </c>
      <c r="H226" s="18">
        <v>81.5</v>
      </c>
      <c r="I226" s="9" t="str">
        <f t="shared" si="6"/>
        <v>Good</v>
      </c>
      <c r="J226" s="2">
        <v>2</v>
      </c>
      <c r="K226" s="2">
        <v>53.4</v>
      </c>
      <c r="L226" s="2" t="s">
        <v>3</v>
      </c>
      <c r="M226" s="2" t="s">
        <v>4</v>
      </c>
      <c r="N226" s="5">
        <f>IF(ISBLANK('Raw sheet'!L226),AVERAGE('Raw sheet'!$L$2:'Raw sheet'!$L$1500),'Raw sheet'!L226)</f>
        <v>4.4000000000000004</v>
      </c>
      <c r="O226" s="5" t="str">
        <f>IF(Table1[[#This Row],[Stress_Index]]&gt;=8,"High",IF(N226&gt;=5,"Medium","Low"))</f>
        <v>Low</v>
      </c>
      <c r="P226" s="3">
        <v>3.35</v>
      </c>
      <c r="Q226" s="2">
        <v>4</v>
      </c>
      <c r="R226" s="3">
        <v>4</v>
      </c>
      <c r="S226" s="3" t="str">
        <f>IF(Table1[[#This Row],[CGPA]]&gt;=3,"High",IF(R225&gt;=2,"Medium","Low"))</f>
        <v>High</v>
      </c>
      <c r="T226" s="2" t="s">
        <v>2</v>
      </c>
      <c r="U226" s="2" t="s">
        <v>1</v>
      </c>
      <c r="V226" s="2" t="s">
        <v>9</v>
      </c>
      <c r="W226" s="7">
        <v>0</v>
      </c>
      <c r="X226" t="str">
        <f t="shared" si="7"/>
        <v>Active</v>
      </c>
    </row>
    <row r="227" spans="1:24" x14ac:dyDescent="0.3">
      <c r="A227" s="2">
        <v>226</v>
      </c>
      <c r="B227" s="7">
        <v>23.4</v>
      </c>
      <c r="C227" s="2" t="s">
        <v>11</v>
      </c>
      <c r="D227" s="7">
        <f>IF(ISBLANK('Raw sheet'!D227),AVERAGE('Raw sheet'!$D$2:'Raw sheet'!$D$1500),'Raw sheet'!D227)</f>
        <v>25000</v>
      </c>
      <c r="E227" s="7" t="str">
        <f>IF(Table1[[#This Row],[Family_Income]]&gt;=100000,"Upper",IF(D227&gt;=50000,"Middle","Lower"))</f>
        <v>Lower</v>
      </c>
      <c r="F227" s="2" t="s">
        <v>4</v>
      </c>
      <c r="G227" s="3">
        <f>IF(ISBLANK('Raw sheet'!F227),AVERAGE('Raw sheet'!$F$2:'Raw sheet'!$F$1500),'Raw sheet'!F227)</f>
        <v>4.33</v>
      </c>
      <c r="H227" s="18">
        <v>75.5</v>
      </c>
      <c r="I227" s="9" t="str">
        <f t="shared" si="6"/>
        <v>Good</v>
      </c>
      <c r="J227" s="2">
        <v>2</v>
      </c>
      <c r="K227" s="2">
        <v>47.8</v>
      </c>
      <c r="L227" s="2" t="s">
        <v>3</v>
      </c>
      <c r="M227" s="2" t="s">
        <v>4</v>
      </c>
      <c r="N227" s="5">
        <f>IF(ISBLANK('Raw sheet'!L227),AVERAGE('Raw sheet'!$L$2:'Raw sheet'!$L$1500),'Raw sheet'!L227)</f>
        <v>5.2</v>
      </c>
      <c r="O227" s="5" t="str">
        <f>IF(Table1[[#This Row],[Stress_Index]]&gt;=8,"High",IF(N227&gt;=5,"Medium","Low"))</f>
        <v>Medium</v>
      </c>
      <c r="P227" s="3">
        <v>2.13</v>
      </c>
      <c r="Q227" s="2">
        <v>2.61</v>
      </c>
      <c r="R227" s="3">
        <v>2.5499999999999998</v>
      </c>
      <c r="S227" s="3" t="str">
        <f>IF(Table1[[#This Row],[CGPA]]&gt;=3,"High",IF(R226&gt;=2,"Medium","Low"))</f>
        <v>Medium</v>
      </c>
      <c r="T227" s="2" t="s">
        <v>10</v>
      </c>
      <c r="U227" s="2" t="s">
        <v>14</v>
      </c>
      <c r="V227" s="2" t="s">
        <v>0</v>
      </c>
      <c r="W227" s="7">
        <v>1</v>
      </c>
      <c r="X227" t="str">
        <f t="shared" si="7"/>
        <v>Dropped Out</v>
      </c>
    </row>
    <row r="228" spans="1:24" x14ac:dyDescent="0.3">
      <c r="A228" s="2">
        <v>227</v>
      </c>
      <c r="B228" s="7">
        <v>21.1</v>
      </c>
      <c r="C228" s="2" t="s">
        <v>5</v>
      </c>
      <c r="D228" s="7">
        <f>IF(ISBLANK('Raw sheet'!D228),AVERAGE('Raw sheet'!$D$2:'Raw sheet'!$D$1500),'Raw sheet'!D228)</f>
        <v>25000</v>
      </c>
      <c r="E228" s="7" t="str">
        <f>IF(Table1[[#This Row],[Family_Income]]&gt;=100000,"Upper",IF(D228&gt;=50000,"Middle","Lower"))</f>
        <v>Lower</v>
      </c>
      <c r="F228" s="2" t="s">
        <v>4</v>
      </c>
      <c r="G228" s="3">
        <f>IF(ISBLANK('Raw sheet'!F228),AVERAGE('Raw sheet'!$F$2:'Raw sheet'!$F$1500),'Raw sheet'!F228)</f>
        <v>5.28</v>
      </c>
      <c r="H228" s="18">
        <v>80.7</v>
      </c>
      <c r="I228" s="9" t="str">
        <f t="shared" si="6"/>
        <v>Good</v>
      </c>
      <c r="J228" s="2">
        <v>1</v>
      </c>
      <c r="K228" s="2">
        <v>16.899999999999999</v>
      </c>
      <c r="L228" s="2" t="s">
        <v>3</v>
      </c>
      <c r="M228" s="2" t="s">
        <v>4</v>
      </c>
      <c r="N228" s="5">
        <f>IF(ISBLANK('Raw sheet'!L228),AVERAGE('Raw sheet'!$L$2:'Raw sheet'!$L$1500),'Raw sheet'!L228)</f>
        <v>3.1</v>
      </c>
      <c r="O228" s="5" t="str">
        <f>IF(Table1[[#This Row],[Stress_Index]]&gt;=8,"High",IF(N228&gt;=5,"Medium","Low"))</f>
        <v>Low</v>
      </c>
      <c r="P228" s="3">
        <v>4</v>
      </c>
      <c r="Q228" s="2">
        <v>3.6</v>
      </c>
      <c r="R228" s="3">
        <v>3.7</v>
      </c>
      <c r="S228" s="3" t="str">
        <f>IF(Table1[[#This Row],[CGPA]]&gt;=3,"High",IF(R227&gt;=2,"Medium","Low"))</f>
        <v>High</v>
      </c>
      <c r="T228" s="2" t="s">
        <v>7</v>
      </c>
      <c r="U228" s="2" t="s">
        <v>8</v>
      </c>
      <c r="V228" s="2" t="s">
        <v>9</v>
      </c>
      <c r="W228" s="7">
        <v>0</v>
      </c>
      <c r="X228" t="str">
        <f t="shared" si="7"/>
        <v>Active</v>
      </c>
    </row>
    <row r="229" spans="1:24" x14ac:dyDescent="0.3">
      <c r="A229" s="2">
        <v>228</v>
      </c>
      <c r="B229" s="7">
        <v>18.600000000000001</v>
      </c>
      <c r="C229" s="2" t="s">
        <v>5</v>
      </c>
      <c r="D229" s="7">
        <f>IF(ISBLANK('Raw sheet'!D229),AVERAGE('Raw sheet'!$D$2:'Raw sheet'!$D$1500),'Raw sheet'!D229)</f>
        <v>64566</v>
      </c>
      <c r="E229" s="7" t="str">
        <f>IF(Table1[[#This Row],[Family_Income]]&gt;=100000,"Upper",IF(D229&gt;=50000,"Middle","Lower"))</f>
        <v>Middle</v>
      </c>
      <c r="F229" s="2" t="s">
        <v>4</v>
      </c>
      <c r="G229" s="3">
        <f>IF(ISBLANK('Raw sheet'!F229),AVERAGE('Raw sheet'!$F$2:'Raw sheet'!$F$1500),'Raw sheet'!F229)</f>
        <v>4.6500000000000004</v>
      </c>
      <c r="H229" s="18">
        <v>79.400000000000006</v>
      </c>
      <c r="I229" s="9" t="str">
        <f t="shared" si="6"/>
        <v>Good</v>
      </c>
      <c r="J229" s="2">
        <v>1</v>
      </c>
      <c r="K229" s="2">
        <v>49.9</v>
      </c>
      <c r="L229" s="2" t="s">
        <v>3</v>
      </c>
      <c r="M229" s="2" t="s">
        <v>4</v>
      </c>
      <c r="N229" s="5">
        <f>IF(ISBLANK('Raw sheet'!L229),AVERAGE('Raw sheet'!$L$2:'Raw sheet'!$L$1500),'Raw sheet'!L229)</f>
        <v>7.9</v>
      </c>
      <c r="O229" s="5" t="str">
        <f>IF(Table1[[#This Row],[Stress_Index]]&gt;=8,"High",IF(N229&gt;=5,"Medium","Low"))</f>
        <v>Medium</v>
      </c>
      <c r="P229" s="3">
        <v>3.76</v>
      </c>
      <c r="Q229" s="2">
        <v>3.78</v>
      </c>
      <c r="R229" s="3">
        <v>3.86</v>
      </c>
      <c r="S229" s="3" t="str">
        <f>IF(Table1[[#This Row],[CGPA]]&gt;=3,"High",IF(R228&gt;=2,"Medium","Low"))</f>
        <v>High</v>
      </c>
      <c r="T229" s="2" t="s">
        <v>7</v>
      </c>
      <c r="U229" s="2" t="s">
        <v>13</v>
      </c>
      <c r="V229" s="2" t="s">
        <v>9</v>
      </c>
      <c r="W229" s="7">
        <v>0</v>
      </c>
      <c r="X229" t="str">
        <f t="shared" si="7"/>
        <v>Active</v>
      </c>
    </row>
    <row r="230" spans="1:24" x14ac:dyDescent="0.3">
      <c r="A230" s="2">
        <v>229</v>
      </c>
      <c r="B230" s="7">
        <v>19.399999999999999</v>
      </c>
      <c r="C230" s="2" t="s">
        <v>5</v>
      </c>
      <c r="D230" s="7">
        <f>IF(ISBLANK('Raw sheet'!D230),AVERAGE('Raw sheet'!$D$2:'Raw sheet'!$D$1500),'Raw sheet'!D230)</f>
        <v>25999</v>
      </c>
      <c r="E230" s="7" t="str">
        <f>IF(Table1[[#This Row],[Family_Income]]&gt;=100000,"Upper",IF(D230&gt;=50000,"Middle","Lower"))</f>
        <v>Lower</v>
      </c>
      <c r="F230" s="2" t="s">
        <v>4</v>
      </c>
      <c r="G230" s="3">
        <f>IF(ISBLANK('Raw sheet'!F230),AVERAGE('Raw sheet'!$F$2:'Raw sheet'!$F$1500),'Raw sheet'!F230)</f>
        <v>5.08</v>
      </c>
      <c r="H230" s="18">
        <v>74.599999999999994</v>
      </c>
      <c r="I230" s="9" t="str">
        <f t="shared" si="6"/>
        <v>Low</v>
      </c>
      <c r="J230" s="2">
        <v>0</v>
      </c>
      <c r="K230" s="2">
        <v>21.5</v>
      </c>
      <c r="L230" s="2" t="s">
        <v>3</v>
      </c>
      <c r="M230" s="2" t="s">
        <v>3</v>
      </c>
      <c r="N230" s="5">
        <f>IF(ISBLANK('Raw sheet'!L230),AVERAGE('Raw sheet'!$L$2:'Raw sheet'!$L$1500),'Raw sheet'!L230)</f>
        <v>2.7</v>
      </c>
      <c r="O230" s="5" t="str">
        <f>IF(Table1[[#This Row],[Stress_Index]]&gt;=8,"High",IF(N230&gt;=5,"Medium","Low"))</f>
        <v>Low</v>
      </c>
      <c r="P230" s="3">
        <v>4</v>
      </c>
      <c r="Q230" s="2">
        <v>3.81</v>
      </c>
      <c r="R230" s="3">
        <v>3.86</v>
      </c>
      <c r="S230" s="3" t="str">
        <f>IF(Table1[[#This Row],[CGPA]]&gt;=3,"High",IF(R229&gt;=2,"Medium","Low"))</f>
        <v>High</v>
      </c>
      <c r="T230" s="2" t="s">
        <v>12</v>
      </c>
      <c r="U230" s="2" t="s">
        <v>8</v>
      </c>
      <c r="V230" s="2" t="s">
        <v>15</v>
      </c>
      <c r="W230" s="7">
        <v>0</v>
      </c>
      <c r="X230" t="str">
        <f t="shared" si="7"/>
        <v>Active</v>
      </c>
    </row>
    <row r="231" spans="1:24" x14ac:dyDescent="0.3">
      <c r="A231" s="2">
        <v>230</v>
      </c>
      <c r="B231" s="7">
        <v>22.5</v>
      </c>
      <c r="C231" s="2" t="s">
        <v>11</v>
      </c>
      <c r="D231" s="7">
        <f>IF(ISBLANK('Raw sheet'!D231),AVERAGE('Raw sheet'!$D$2:'Raw sheet'!$D$1500),'Raw sheet'!D231)</f>
        <v>25000</v>
      </c>
      <c r="E231" s="7" t="str">
        <f>IF(Table1[[#This Row],[Family_Income]]&gt;=100000,"Upper",IF(D231&gt;=50000,"Middle","Lower"))</f>
        <v>Lower</v>
      </c>
      <c r="F231" s="2" t="s">
        <v>4</v>
      </c>
      <c r="G231" s="3">
        <f>IF(ISBLANK('Raw sheet'!F231),AVERAGE('Raw sheet'!$F$2:'Raw sheet'!$F$1500),'Raw sheet'!F231)</f>
        <v>8.4700000000000006</v>
      </c>
      <c r="H231" s="18">
        <v>93.7</v>
      </c>
      <c r="I231" s="9" t="str">
        <f t="shared" si="6"/>
        <v>Good</v>
      </c>
      <c r="J231" s="2">
        <v>1</v>
      </c>
      <c r="K231" s="2">
        <v>38</v>
      </c>
      <c r="L231" s="2" t="s">
        <v>4</v>
      </c>
      <c r="M231" s="2" t="s">
        <v>4</v>
      </c>
      <c r="N231" s="5">
        <f>IF(ISBLANK('Raw sheet'!L231),AVERAGE('Raw sheet'!$L$2:'Raw sheet'!$L$1500),'Raw sheet'!L231)</f>
        <v>4.5</v>
      </c>
      <c r="O231" s="5" t="str">
        <f>IF(Table1[[#This Row],[Stress_Index]]&gt;=8,"High",IF(N231&gt;=5,"Medium","Low"))</f>
        <v>Low</v>
      </c>
      <c r="P231" s="3">
        <v>3.63</v>
      </c>
      <c r="Q231" s="2">
        <v>4</v>
      </c>
      <c r="R231" s="3">
        <v>3.94</v>
      </c>
      <c r="S231" s="3" t="str">
        <f>IF(Table1[[#This Row],[CGPA]]&gt;=3,"High",IF(R230&gt;=2,"Medium","Low"))</f>
        <v>High</v>
      </c>
      <c r="T231" s="2" t="s">
        <v>7</v>
      </c>
      <c r="U231" s="2" t="s">
        <v>14</v>
      </c>
      <c r="V231" s="2" t="s">
        <v>0</v>
      </c>
      <c r="W231" s="7">
        <v>0</v>
      </c>
      <c r="X231" t="str">
        <f t="shared" si="7"/>
        <v>Active</v>
      </c>
    </row>
    <row r="232" spans="1:24" x14ac:dyDescent="0.3">
      <c r="A232" s="2">
        <v>231</v>
      </c>
      <c r="B232" s="7">
        <v>19.399999999999999</v>
      </c>
      <c r="C232" s="2" t="s">
        <v>11</v>
      </c>
      <c r="D232" s="7">
        <f>IF(ISBLANK('Raw sheet'!D232),AVERAGE('Raw sheet'!$D$2:'Raw sheet'!$D$1500),'Raw sheet'!D232)</f>
        <v>25000</v>
      </c>
      <c r="E232" s="7" t="str">
        <f>IF(Table1[[#This Row],[Family_Income]]&gt;=100000,"Upper",IF(D232&gt;=50000,"Middle","Lower"))</f>
        <v>Lower</v>
      </c>
      <c r="F232" s="2" t="s">
        <v>4</v>
      </c>
      <c r="G232" s="3">
        <f>IF(ISBLANK('Raw sheet'!F232),AVERAGE('Raw sheet'!$F$2:'Raw sheet'!$F$1500),'Raw sheet'!F232)</f>
        <v>1.93</v>
      </c>
      <c r="H232" s="18">
        <v>80.5</v>
      </c>
      <c r="I232" s="9" t="str">
        <f t="shared" si="6"/>
        <v>Good</v>
      </c>
      <c r="J232" s="2">
        <v>2</v>
      </c>
      <c r="K232" s="2">
        <v>21.5</v>
      </c>
      <c r="L232" s="2" t="s">
        <v>4</v>
      </c>
      <c r="M232" s="2" t="s">
        <v>3</v>
      </c>
      <c r="N232" s="5">
        <f>IF(ISBLANK('Raw sheet'!L232),AVERAGE('Raw sheet'!$L$2:'Raw sheet'!$L$1500),'Raw sheet'!L232)</f>
        <v>3.8</v>
      </c>
      <c r="O232" s="5" t="str">
        <f>IF(Table1[[#This Row],[Stress_Index]]&gt;=8,"High",IF(N232&gt;=5,"Medium","Low"))</f>
        <v>Low</v>
      </c>
      <c r="P232" s="3">
        <v>2.63</v>
      </c>
      <c r="Q232" s="2">
        <v>2.81</v>
      </c>
      <c r="R232" s="3">
        <v>2.81</v>
      </c>
      <c r="S232" s="3" t="str">
        <f>IF(Table1[[#This Row],[CGPA]]&gt;=3,"High",IF(R231&gt;=2,"Medium","Low"))</f>
        <v>Medium</v>
      </c>
      <c r="T232" s="2" t="s">
        <v>2</v>
      </c>
      <c r="U232" s="2" t="s">
        <v>1</v>
      </c>
      <c r="V232" s="2" t="s">
        <v>15</v>
      </c>
      <c r="W232" s="7">
        <v>0</v>
      </c>
      <c r="X232" t="str">
        <f t="shared" si="7"/>
        <v>Active</v>
      </c>
    </row>
    <row r="233" spans="1:24" x14ac:dyDescent="0.3">
      <c r="A233" s="2">
        <v>232</v>
      </c>
      <c r="B233" s="7">
        <v>21.5</v>
      </c>
      <c r="C233" s="2" t="s">
        <v>5</v>
      </c>
      <c r="D233" s="7">
        <f>IF(ISBLANK('Raw sheet'!D233),AVERAGE('Raw sheet'!$D$2:'Raw sheet'!$D$1500),'Raw sheet'!D233)</f>
        <v>25000</v>
      </c>
      <c r="E233" s="7" t="str">
        <f>IF(Table1[[#This Row],[Family_Income]]&gt;=100000,"Upper",IF(D233&gt;=50000,"Middle","Lower"))</f>
        <v>Lower</v>
      </c>
      <c r="F233" s="2" t="s">
        <v>4</v>
      </c>
      <c r="G233" s="3">
        <f>IF(ISBLANK('Raw sheet'!F233),AVERAGE('Raw sheet'!$F$2:'Raw sheet'!$F$1500),'Raw sheet'!F233)</f>
        <v>5.75</v>
      </c>
      <c r="H233" s="18">
        <v>75.7</v>
      </c>
      <c r="I233" s="9" t="str">
        <f t="shared" si="6"/>
        <v>Good</v>
      </c>
      <c r="J233" s="2">
        <v>3</v>
      </c>
      <c r="K233" s="2">
        <v>56</v>
      </c>
      <c r="L233" s="2" t="s">
        <v>3</v>
      </c>
      <c r="M233" s="2" t="s">
        <v>3</v>
      </c>
      <c r="N233" s="5">
        <f>IF(ISBLANK('Raw sheet'!L233),AVERAGE('Raw sheet'!$L$2:'Raw sheet'!$L$1500),'Raw sheet'!L233)</f>
        <v>7.9</v>
      </c>
      <c r="O233" s="5" t="str">
        <f>IF(Table1[[#This Row],[Stress_Index]]&gt;=8,"High",IF(N233&gt;=5,"Medium","Low"))</f>
        <v>Medium</v>
      </c>
      <c r="P233" s="3">
        <v>2.5</v>
      </c>
      <c r="Q233" s="2">
        <v>2.64</v>
      </c>
      <c r="R233" s="3">
        <v>2.68</v>
      </c>
      <c r="S233" s="3" t="str">
        <f>IF(Table1[[#This Row],[CGPA]]&gt;=3,"High",IF(R232&gt;=2,"Medium","Low"))</f>
        <v>Medium</v>
      </c>
      <c r="T233" s="2" t="s">
        <v>12</v>
      </c>
      <c r="U233" s="2" t="s">
        <v>8</v>
      </c>
      <c r="V233" s="2" t="s">
        <v>15</v>
      </c>
      <c r="W233" s="7">
        <v>0</v>
      </c>
      <c r="X233" t="str">
        <f t="shared" si="7"/>
        <v>Active</v>
      </c>
    </row>
    <row r="234" spans="1:24" x14ac:dyDescent="0.3">
      <c r="A234" s="2">
        <v>233</v>
      </c>
      <c r="B234" s="7">
        <v>21.1</v>
      </c>
      <c r="C234" s="2" t="s">
        <v>11</v>
      </c>
      <c r="D234" s="7">
        <f>IF(ISBLANK('Raw sheet'!D234),AVERAGE('Raw sheet'!$D$2:'Raw sheet'!$D$1500),'Raw sheet'!D234)</f>
        <v>26915</v>
      </c>
      <c r="E234" s="7" t="str">
        <f>IF(Table1[[#This Row],[Family_Income]]&gt;=100000,"Upper",IF(D234&gt;=50000,"Middle","Lower"))</f>
        <v>Lower</v>
      </c>
      <c r="F234" s="2" t="s">
        <v>4</v>
      </c>
      <c r="G234" s="3">
        <f>IF(ISBLANK('Raw sheet'!F234),AVERAGE('Raw sheet'!$F$2:'Raw sheet'!$F$1500),'Raw sheet'!F234)</f>
        <v>5.92</v>
      </c>
      <c r="H234" s="18">
        <v>68.7</v>
      </c>
      <c r="I234" s="9" t="str">
        <f t="shared" si="6"/>
        <v>Low</v>
      </c>
      <c r="J234" s="2">
        <v>0</v>
      </c>
      <c r="K234" s="2">
        <v>23.2</v>
      </c>
      <c r="L234" s="2" t="s">
        <v>3</v>
      </c>
      <c r="M234" s="2" t="s">
        <v>3</v>
      </c>
      <c r="N234" s="5">
        <f>IF(ISBLANK('Raw sheet'!L234),AVERAGE('Raw sheet'!$L$2:'Raw sheet'!$L$1500),'Raw sheet'!L234)</f>
        <v>2.8</v>
      </c>
      <c r="O234" s="5" t="str">
        <f>IF(Table1[[#This Row],[Stress_Index]]&gt;=8,"High",IF(N234&gt;=5,"Medium","Low"))</f>
        <v>Low</v>
      </c>
      <c r="P234" s="3">
        <v>2.88</v>
      </c>
      <c r="Q234" s="2">
        <v>3.07</v>
      </c>
      <c r="R234" s="3">
        <v>3.07</v>
      </c>
      <c r="S234" s="3" t="str">
        <f>IF(Table1[[#This Row],[CGPA]]&gt;=3,"High",IF(R233&gt;=2,"Medium","Low"))</f>
        <v>High</v>
      </c>
      <c r="T234" s="2" t="s">
        <v>7</v>
      </c>
      <c r="U234" s="2" t="s">
        <v>6</v>
      </c>
      <c r="V234" s="2" t="s">
        <v>0</v>
      </c>
      <c r="W234" s="7">
        <v>0</v>
      </c>
      <c r="X234" t="str">
        <f t="shared" si="7"/>
        <v>Active</v>
      </c>
    </row>
    <row r="235" spans="1:24" x14ac:dyDescent="0.3">
      <c r="A235" s="2">
        <v>234</v>
      </c>
      <c r="B235" s="7">
        <v>19.600000000000001</v>
      </c>
      <c r="C235" s="2" t="s">
        <v>5</v>
      </c>
      <c r="D235" s="7">
        <f>IF(ISBLANK('Raw sheet'!D235),AVERAGE('Raw sheet'!$D$2:'Raw sheet'!$D$1500),'Raw sheet'!D235)</f>
        <v>25000</v>
      </c>
      <c r="E235" s="7" t="str">
        <f>IF(Table1[[#This Row],[Family_Income]]&gt;=100000,"Upper",IF(D235&gt;=50000,"Middle","Lower"))</f>
        <v>Lower</v>
      </c>
      <c r="F235" s="2" t="s">
        <v>4</v>
      </c>
      <c r="G235" s="3">
        <f>IF(ISBLANK('Raw sheet'!F235),AVERAGE('Raw sheet'!$F$2:'Raw sheet'!$F$1500),'Raw sheet'!F235)</f>
        <v>2.57</v>
      </c>
      <c r="H235" s="18">
        <v>82.7</v>
      </c>
      <c r="I235" s="9" t="str">
        <f t="shared" si="6"/>
        <v>Good</v>
      </c>
      <c r="J235" s="2">
        <v>0</v>
      </c>
      <c r="K235" s="2">
        <v>17.399999999999999</v>
      </c>
      <c r="L235" s="2" t="s">
        <v>3</v>
      </c>
      <c r="M235" s="2" t="s">
        <v>3</v>
      </c>
      <c r="N235" s="5">
        <f>IF(ISBLANK('Raw sheet'!L235),AVERAGE('Raw sheet'!$L$2:'Raw sheet'!$L$1500),'Raw sheet'!L235)</f>
        <v>7</v>
      </c>
      <c r="O235" s="5" t="str">
        <f>IF(Table1[[#This Row],[Stress_Index]]&gt;=8,"High",IF(N235&gt;=5,"Medium","Low"))</f>
        <v>Medium</v>
      </c>
      <c r="P235" s="3">
        <v>0.86</v>
      </c>
      <c r="Q235" s="2">
        <v>0.8</v>
      </c>
      <c r="R235" s="3">
        <v>0.78</v>
      </c>
      <c r="S235" s="3" t="str">
        <f>IF(Table1[[#This Row],[CGPA]]&gt;=3,"High",IF(R234&gt;=2,"Medium","Low"))</f>
        <v>Medium</v>
      </c>
      <c r="T235" s="2" t="s">
        <v>12</v>
      </c>
      <c r="U235" s="2" t="s">
        <v>6</v>
      </c>
      <c r="V235" s="2" t="s">
        <v>0</v>
      </c>
      <c r="W235" s="7">
        <v>0</v>
      </c>
      <c r="X235" t="str">
        <f t="shared" si="7"/>
        <v>Active</v>
      </c>
    </row>
    <row r="236" spans="1:24" x14ac:dyDescent="0.3">
      <c r="A236" s="2">
        <v>235</v>
      </c>
      <c r="B236" s="7">
        <v>25.7</v>
      </c>
      <c r="C236" s="2" t="s">
        <v>5</v>
      </c>
      <c r="D236" s="7">
        <f>IF(ISBLANK('Raw sheet'!D236),AVERAGE('Raw sheet'!$D$2:'Raw sheet'!$D$1500),'Raw sheet'!D236)</f>
        <v>33102</v>
      </c>
      <c r="E236" s="7" t="str">
        <f>IF(Table1[[#This Row],[Family_Income]]&gt;=100000,"Upper",IF(D236&gt;=50000,"Middle","Lower"))</f>
        <v>Lower</v>
      </c>
      <c r="F236" s="2" t="s">
        <v>4</v>
      </c>
      <c r="G236" s="3">
        <f>IF(ISBLANK('Raw sheet'!F236),AVERAGE('Raw sheet'!$F$2:'Raw sheet'!$F$1500),'Raw sheet'!F236)</f>
        <v>2.96</v>
      </c>
      <c r="H236" s="18">
        <v>86.1</v>
      </c>
      <c r="I236" s="9" t="str">
        <f t="shared" si="6"/>
        <v>Good</v>
      </c>
      <c r="J236" s="2">
        <v>4</v>
      </c>
      <c r="K236" s="2">
        <v>24.5</v>
      </c>
      <c r="L236" s="2" t="s">
        <v>4</v>
      </c>
      <c r="M236" s="2" t="s">
        <v>3</v>
      </c>
      <c r="N236" s="5">
        <f>IF(ISBLANK('Raw sheet'!L236),AVERAGE('Raw sheet'!$L$2:'Raw sheet'!$L$1500),'Raw sheet'!L236)</f>
        <v>5.9</v>
      </c>
      <c r="O236" s="5" t="str">
        <f>IF(Table1[[#This Row],[Stress_Index]]&gt;=8,"High",IF(N236&gt;=5,"Medium","Low"))</f>
        <v>Medium</v>
      </c>
      <c r="P236" s="3">
        <v>2.4</v>
      </c>
      <c r="Q236" s="2">
        <v>2.0099999999999998</v>
      </c>
      <c r="R236" s="3">
        <v>1.98</v>
      </c>
      <c r="S236" s="3" t="str">
        <f>IF(Table1[[#This Row],[CGPA]]&gt;=3,"High",IF(R235&gt;=2,"Medium","Low"))</f>
        <v>Low</v>
      </c>
      <c r="T236" s="2" t="s">
        <v>10</v>
      </c>
      <c r="U236" s="2" t="s">
        <v>6</v>
      </c>
      <c r="V236" s="2" t="s">
        <v>9</v>
      </c>
      <c r="W236" s="7">
        <v>0</v>
      </c>
      <c r="X236" t="str">
        <f t="shared" si="7"/>
        <v>Active</v>
      </c>
    </row>
    <row r="237" spans="1:24" x14ac:dyDescent="0.3">
      <c r="A237" s="2">
        <v>236</v>
      </c>
      <c r="B237" s="7">
        <v>22.4</v>
      </c>
      <c r="C237" s="2" t="s">
        <v>11</v>
      </c>
      <c r="D237" s="7">
        <f>IF(ISBLANK('Raw sheet'!D237),AVERAGE('Raw sheet'!$D$2:'Raw sheet'!$D$1500),'Raw sheet'!D237)</f>
        <v>28519</v>
      </c>
      <c r="E237" s="7" t="str">
        <f>IF(Table1[[#This Row],[Family_Income]]&gt;=100000,"Upper",IF(D237&gt;=50000,"Middle","Lower"))</f>
        <v>Lower</v>
      </c>
      <c r="F237" s="2" t="s">
        <v>4</v>
      </c>
      <c r="G237" s="3">
        <f>IF(ISBLANK('Raw sheet'!F237),AVERAGE('Raw sheet'!$F$2:'Raw sheet'!$F$1500),'Raw sheet'!F237)</f>
        <v>4.6500000000000004</v>
      </c>
      <c r="H237" s="18">
        <v>76.8</v>
      </c>
      <c r="I237" s="9" t="str">
        <f t="shared" si="6"/>
        <v>Good</v>
      </c>
      <c r="J237" s="2">
        <v>2</v>
      </c>
      <c r="K237" s="2">
        <v>61.5</v>
      </c>
      <c r="L237" s="2" t="s">
        <v>3</v>
      </c>
      <c r="M237" s="2" t="s">
        <v>3</v>
      </c>
      <c r="N237" s="5">
        <f>IF(ISBLANK('Raw sheet'!L237),AVERAGE('Raw sheet'!$L$2:'Raw sheet'!$L$1500),'Raw sheet'!L237)</f>
        <v>3.3</v>
      </c>
      <c r="O237" s="5" t="str">
        <f>IF(Table1[[#This Row],[Stress_Index]]&gt;=8,"High",IF(N237&gt;=5,"Medium","Low"))</f>
        <v>Low</v>
      </c>
      <c r="P237" s="3">
        <v>4</v>
      </c>
      <c r="Q237" s="2">
        <v>4</v>
      </c>
      <c r="R237" s="3">
        <v>4</v>
      </c>
      <c r="S237" s="3" t="str">
        <f>IF(Table1[[#This Row],[CGPA]]&gt;=3,"High",IF(R236&gt;=2,"Medium","Low"))</f>
        <v>High</v>
      </c>
      <c r="T237" s="2" t="s">
        <v>2</v>
      </c>
      <c r="U237" s="2" t="s">
        <v>14</v>
      </c>
      <c r="V237" s="2" t="s">
        <v>0</v>
      </c>
      <c r="W237" s="7">
        <v>0</v>
      </c>
      <c r="X237" t="str">
        <f t="shared" si="7"/>
        <v>Active</v>
      </c>
    </row>
    <row r="238" spans="1:24" x14ac:dyDescent="0.3">
      <c r="A238" s="2">
        <v>237</v>
      </c>
      <c r="B238" s="7">
        <v>17</v>
      </c>
      <c r="C238" s="2" t="s">
        <v>11</v>
      </c>
      <c r="D238" s="7">
        <f>IF(ISBLANK('Raw sheet'!D238),AVERAGE('Raw sheet'!$D$2:'Raw sheet'!$D$1500),'Raw sheet'!D238)</f>
        <v>67228</v>
      </c>
      <c r="E238" s="7" t="str">
        <f>IF(Table1[[#This Row],[Family_Income]]&gt;=100000,"Upper",IF(D238&gt;=50000,"Middle","Lower"))</f>
        <v>Middle</v>
      </c>
      <c r="F238" s="2" t="s">
        <v>4</v>
      </c>
      <c r="G238" s="3">
        <f>IF(ISBLANK('Raw sheet'!F238),AVERAGE('Raw sheet'!$F$2:'Raw sheet'!$F$1500),'Raw sheet'!F238)</f>
        <v>2.38</v>
      </c>
      <c r="H238" s="18">
        <v>83.1</v>
      </c>
      <c r="I238" s="9" t="str">
        <f t="shared" si="6"/>
        <v>Good</v>
      </c>
      <c r="J238" s="2">
        <v>0</v>
      </c>
      <c r="K238" s="2">
        <v>33.1</v>
      </c>
      <c r="L238" s="2" t="s">
        <v>4</v>
      </c>
      <c r="M238" s="2" t="s">
        <v>3</v>
      </c>
      <c r="N238" s="5">
        <f>IF(ISBLANK('Raw sheet'!L238),AVERAGE('Raw sheet'!$L$2:'Raw sheet'!$L$1500),'Raw sheet'!L238)</f>
        <v>4.9000000000000004</v>
      </c>
      <c r="O238" s="5" t="str">
        <f>IF(Table1[[#This Row],[Stress_Index]]&gt;=8,"High",IF(N238&gt;=5,"Medium","Low"))</f>
        <v>Low</v>
      </c>
      <c r="P238" s="3">
        <v>1.84</v>
      </c>
      <c r="Q238" s="2">
        <v>2.04</v>
      </c>
      <c r="R238" s="3">
        <v>2.09</v>
      </c>
      <c r="S238" s="3" t="str">
        <f>IF(Table1[[#This Row],[CGPA]]&gt;=3,"High",IF(R237&gt;=2,"Medium","Low"))</f>
        <v>Medium</v>
      </c>
      <c r="T238" s="2" t="s">
        <v>10</v>
      </c>
      <c r="U238" s="2" t="s">
        <v>8</v>
      </c>
      <c r="V238" s="2" t="s">
        <v>0</v>
      </c>
      <c r="W238" s="7">
        <v>1</v>
      </c>
      <c r="X238" t="str">
        <f t="shared" si="7"/>
        <v>Dropped Out</v>
      </c>
    </row>
    <row r="239" spans="1:24" x14ac:dyDescent="0.3">
      <c r="A239" s="2">
        <v>238</v>
      </c>
      <c r="B239" s="7">
        <v>21.4</v>
      </c>
      <c r="C239" s="2" t="s">
        <v>11</v>
      </c>
      <c r="D239" s="7">
        <f>IF(ISBLANK('Raw sheet'!D239),AVERAGE('Raw sheet'!$D$2:'Raw sheet'!$D$1500),'Raw sheet'!D239)</f>
        <v>38358</v>
      </c>
      <c r="E239" s="7" t="str">
        <f>IF(Table1[[#This Row],[Family_Income]]&gt;=100000,"Upper",IF(D239&gt;=50000,"Middle","Lower"))</f>
        <v>Lower</v>
      </c>
      <c r="F239" s="2" t="s">
        <v>4</v>
      </c>
      <c r="G239" s="3">
        <f>IF(ISBLANK('Raw sheet'!F239),AVERAGE('Raw sheet'!$F$2:'Raw sheet'!$F$1500),'Raw sheet'!F239)</f>
        <v>3.2</v>
      </c>
      <c r="H239" s="18">
        <v>73.3</v>
      </c>
      <c r="I239" s="9" t="str">
        <f t="shared" si="6"/>
        <v>Low</v>
      </c>
      <c r="J239" s="2">
        <v>2</v>
      </c>
      <c r="K239" s="2">
        <v>17.7</v>
      </c>
      <c r="L239" s="2" t="s">
        <v>4</v>
      </c>
      <c r="M239" s="2" t="s">
        <v>3</v>
      </c>
      <c r="N239" s="5">
        <f>IF(ISBLANK('Raw sheet'!L239),AVERAGE('Raw sheet'!$L$2:'Raw sheet'!$L$1500),'Raw sheet'!L239)</f>
        <v>5.2</v>
      </c>
      <c r="O239" s="5" t="str">
        <f>IF(Table1[[#This Row],[Stress_Index]]&gt;=8,"High",IF(N239&gt;=5,"Medium","Low"))</f>
        <v>Medium</v>
      </c>
      <c r="P239" s="3">
        <v>1.77</v>
      </c>
      <c r="Q239" s="2">
        <v>1.79</v>
      </c>
      <c r="R239" s="3">
        <v>1.83</v>
      </c>
      <c r="S239" s="3" t="str">
        <f>IF(Table1[[#This Row],[CGPA]]&gt;=3,"High",IF(R238&gt;=2,"Medium","Low"))</f>
        <v>Medium</v>
      </c>
      <c r="T239" s="2" t="s">
        <v>12</v>
      </c>
      <c r="U239" s="2" t="s">
        <v>8</v>
      </c>
      <c r="V239" s="2" t="s">
        <v>9</v>
      </c>
      <c r="W239" s="7">
        <v>1</v>
      </c>
      <c r="X239" t="str">
        <f t="shared" si="7"/>
        <v>Dropped Out</v>
      </c>
    </row>
    <row r="240" spans="1:24" x14ac:dyDescent="0.3">
      <c r="A240" s="2">
        <v>239</v>
      </c>
      <c r="B240" s="7">
        <v>19.5</v>
      </c>
      <c r="C240" s="2" t="s">
        <v>11</v>
      </c>
      <c r="D240" s="7">
        <f>IF(ISBLANK('Raw sheet'!D240),AVERAGE('Raw sheet'!$D$2:'Raw sheet'!$D$1500),'Raw sheet'!D240)</f>
        <v>39128</v>
      </c>
      <c r="E240" s="7" t="str">
        <f>IF(Table1[[#This Row],[Family_Income]]&gt;=100000,"Upper",IF(D240&gt;=50000,"Middle","Lower"))</f>
        <v>Lower</v>
      </c>
      <c r="F240" s="2" t="s">
        <v>3</v>
      </c>
      <c r="G240" s="3">
        <f>IF(ISBLANK('Raw sheet'!F240),AVERAGE('Raw sheet'!$F$2:'Raw sheet'!$F$1500),'Raw sheet'!F240)</f>
        <v>4.3099999999999996</v>
      </c>
      <c r="H240" s="18">
        <v>80.2</v>
      </c>
      <c r="I240" s="9" t="str">
        <f t="shared" si="6"/>
        <v>Good</v>
      </c>
      <c r="J240" s="2">
        <v>0</v>
      </c>
      <c r="K240" s="2">
        <v>20.5</v>
      </c>
      <c r="L240" s="2" t="s">
        <v>3</v>
      </c>
      <c r="M240" s="2" t="s">
        <v>3</v>
      </c>
      <c r="N240" s="5">
        <f>IF(ISBLANK('Raw sheet'!L240),AVERAGE('Raw sheet'!$L$2:'Raw sheet'!$L$1500),'Raw sheet'!L240)</f>
        <v>6.6</v>
      </c>
      <c r="O240" s="5" t="str">
        <f>IF(Table1[[#This Row],[Stress_Index]]&gt;=8,"High",IF(N240&gt;=5,"Medium","Low"))</f>
        <v>Medium</v>
      </c>
      <c r="P240" s="3">
        <v>2.82</v>
      </c>
      <c r="Q240" s="2">
        <v>2.65</v>
      </c>
      <c r="R240" s="3">
        <v>2.65</v>
      </c>
      <c r="S240" s="3" t="str">
        <f>IF(Table1[[#This Row],[CGPA]]&gt;=3,"High",IF(R239&gt;=2,"Medium","Low"))</f>
        <v>Low</v>
      </c>
      <c r="T240" s="2" t="s">
        <v>10</v>
      </c>
      <c r="U240" s="2" t="s">
        <v>8</v>
      </c>
      <c r="V240" s="2" t="s">
        <v>9</v>
      </c>
      <c r="W240" s="7">
        <v>0</v>
      </c>
      <c r="X240" t="str">
        <f t="shared" si="7"/>
        <v>Active</v>
      </c>
    </row>
    <row r="241" spans="1:24" x14ac:dyDescent="0.3">
      <c r="A241" s="2">
        <v>240</v>
      </c>
      <c r="B241" s="7">
        <v>22.9</v>
      </c>
      <c r="C241" s="2" t="s">
        <v>11</v>
      </c>
      <c r="D241" s="7">
        <f>IF(ISBLANK('Raw sheet'!D241),AVERAGE('Raw sheet'!$D$2:'Raw sheet'!$D$1500),'Raw sheet'!D241)</f>
        <v>59820</v>
      </c>
      <c r="E241" s="7" t="str">
        <f>IF(Table1[[#This Row],[Family_Income]]&gt;=100000,"Upper",IF(D241&gt;=50000,"Middle","Lower"))</f>
        <v>Middle</v>
      </c>
      <c r="F241" s="2" t="s">
        <v>4</v>
      </c>
      <c r="G241" s="3">
        <f>IF(ISBLANK('Raw sheet'!F241),AVERAGE('Raw sheet'!$F$2:'Raw sheet'!$F$1500),'Raw sheet'!F241)</f>
        <v>3.11</v>
      </c>
      <c r="H241" s="18">
        <v>90.7</v>
      </c>
      <c r="I241" s="9" t="str">
        <f t="shared" si="6"/>
        <v>Good</v>
      </c>
      <c r="J241" s="2">
        <v>1</v>
      </c>
      <c r="K241" s="2">
        <v>9</v>
      </c>
      <c r="L241" s="2" t="s">
        <v>4</v>
      </c>
      <c r="M241" s="2" t="s">
        <v>3</v>
      </c>
      <c r="N241" s="5">
        <f>IF(ISBLANK('Raw sheet'!L241),AVERAGE('Raw sheet'!$L$2:'Raw sheet'!$L$1500),'Raw sheet'!L241)</f>
        <v>4.3</v>
      </c>
      <c r="O241" s="5" t="str">
        <f>IF(Table1[[#This Row],[Stress_Index]]&gt;=8,"High",IF(N241&gt;=5,"Medium","Low"))</f>
        <v>Low</v>
      </c>
      <c r="P241" s="3">
        <v>3.78</v>
      </c>
      <c r="Q241" s="2">
        <v>3.77</v>
      </c>
      <c r="R241" s="3">
        <v>3.71</v>
      </c>
      <c r="S241" s="3" t="str">
        <f>IF(Table1[[#This Row],[CGPA]]&gt;=3,"High",IF(R240&gt;=2,"Medium","Low"))</f>
        <v>High</v>
      </c>
      <c r="T241" s="2" t="s">
        <v>12</v>
      </c>
      <c r="U241" s="2" t="s">
        <v>14</v>
      </c>
      <c r="V241" s="2" t="s">
        <v>9</v>
      </c>
      <c r="W241" s="7">
        <v>0</v>
      </c>
      <c r="X241" t="str">
        <f t="shared" si="7"/>
        <v>Active</v>
      </c>
    </row>
    <row r="242" spans="1:24" x14ac:dyDescent="0.3">
      <c r="A242" s="2">
        <v>241</v>
      </c>
      <c r="B242" s="7">
        <v>19.3</v>
      </c>
      <c r="C242" s="2" t="s">
        <v>11</v>
      </c>
      <c r="D242" s="7">
        <f>IF(ISBLANK('Raw sheet'!D242),AVERAGE('Raw sheet'!$D$2:'Raw sheet'!$D$1500),'Raw sheet'!D242)</f>
        <v>25000</v>
      </c>
      <c r="E242" s="7" t="str">
        <f>IF(Table1[[#This Row],[Family_Income]]&gt;=100000,"Upper",IF(D242&gt;=50000,"Middle","Lower"))</f>
        <v>Lower</v>
      </c>
      <c r="F242" s="2" t="s">
        <v>4</v>
      </c>
      <c r="G242" s="3">
        <f>IF(ISBLANK('Raw sheet'!F242),AVERAGE('Raw sheet'!$F$2:'Raw sheet'!$F$1500),'Raw sheet'!F242)</f>
        <v>3.7</v>
      </c>
      <c r="H242" s="18">
        <v>80.099999999999994</v>
      </c>
      <c r="I242" s="9" t="str">
        <f t="shared" si="6"/>
        <v>Good</v>
      </c>
      <c r="J242" s="2">
        <v>4</v>
      </c>
      <c r="K242" s="2">
        <v>36.5</v>
      </c>
      <c r="L242" s="2" t="s">
        <v>4</v>
      </c>
      <c r="M242" s="2" t="s">
        <v>3</v>
      </c>
      <c r="N242" s="5">
        <f>IF(ISBLANK('Raw sheet'!L242),AVERAGE('Raw sheet'!$L$2:'Raw sheet'!$L$1500),'Raw sheet'!L242)</f>
        <v>6.6</v>
      </c>
      <c r="O242" s="5" t="str">
        <f>IF(Table1[[#This Row],[Stress_Index]]&gt;=8,"High",IF(N242&gt;=5,"Medium","Low"))</f>
        <v>Medium</v>
      </c>
      <c r="P242" s="3">
        <v>1.5</v>
      </c>
      <c r="Q242" s="2">
        <v>0.93</v>
      </c>
      <c r="R242" s="3">
        <v>0.91</v>
      </c>
      <c r="S242" s="3" t="str">
        <f>IF(Table1[[#This Row],[CGPA]]&gt;=3,"High",IF(R241&gt;=2,"Medium","Low"))</f>
        <v>Medium</v>
      </c>
      <c r="T242" s="2" t="s">
        <v>10</v>
      </c>
      <c r="U242" s="2" t="s">
        <v>13</v>
      </c>
      <c r="V242" s="2" t="s">
        <v>16</v>
      </c>
      <c r="W242" s="7">
        <v>1</v>
      </c>
      <c r="X242" t="str">
        <f t="shared" si="7"/>
        <v>Dropped Out</v>
      </c>
    </row>
    <row r="243" spans="1:24" x14ac:dyDescent="0.3">
      <c r="A243" s="2">
        <v>242</v>
      </c>
      <c r="B243" s="7">
        <v>20.7</v>
      </c>
      <c r="C243" s="2" t="s">
        <v>11</v>
      </c>
      <c r="D243" s="7">
        <f>IF(ISBLANK('Raw sheet'!D243),AVERAGE('Raw sheet'!$D$2:'Raw sheet'!$D$1500),'Raw sheet'!D243)</f>
        <v>25000</v>
      </c>
      <c r="E243" s="7" t="str">
        <f>IF(Table1[[#This Row],[Family_Income]]&gt;=100000,"Upper",IF(D243&gt;=50000,"Middle","Lower"))</f>
        <v>Lower</v>
      </c>
      <c r="F243" s="2" t="s">
        <v>4</v>
      </c>
      <c r="G243" s="3">
        <f>IF(ISBLANK('Raw sheet'!F243),AVERAGE('Raw sheet'!$F$2:'Raw sheet'!$F$1500),'Raw sheet'!F243)</f>
        <v>2.87</v>
      </c>
      <c r="H243" s="18">
        <v>76.8</v>
      </c>
      <c r="I243" s="9" t="str">
        <f t="shared" si="6"/>
        <v>Good</v>
      </c>
      <c r="J243" s="2">
        <v>1</v>
      </c>
      <c r="K243" s="2">
        <v>15</v>
      </c>
      <c r="L243" s="2" t="s">
        <v>4</v>
      </c>
      <c r="M243" s="2" t="s">
        <v>3</v>
      </c>
      <c r="N243" s="5">
        <f>IF(ISBLANK('Raw sheet'!L243),AVERAGE('Raw sheet'!$L$2:'Raw sheet'!$L$1500),'Raw sheet'!L243)</f>
        <v>5.6</v>
      </c>
      <c r="O243" s="5" t="str">
        <f>IF(Table1[[#This Row],[Stress_Index]]&gt;=8,"High",IF(N243&gt;=5,"Medium","Low"))</f>
        <v>Medium</v>
      </c>
      <c r="P243" s="3">
        <v>0.85</v>
      </c>
      <c r="Q243" s="2">
        <v>0.94</v>
      </c>
      <c r="R243" s="3">
        <v>0.88</v>
      </c>
      <c r="S243" s="3" t="str">
        <f>IF(Table1[[#This Row],[CGPA]]&gt;=3,"High",IF(R242&gt;=2,"Medium","Low"))</f>
        <v>Low</v>
      </c>
      <c r="T243" s="2" t="s">
        <v>10</v>
      </c>
      <c r="U243" s="2" t="s">
        <v>6</v>
      </c>
      <c r="V243" s="2" t="s">
        <v>9</v>
      </c>
      <c r="W243" s="7">
        <v>0</v>
      </c>
      <c r="X243" t="str">
        <f t="shared" si="7"/>
        <v>Active</v>
      </c>
    </row>
    <row r="244" spans="1:24" x14ac:dyDescent="0.3">
      <c r="A244" s="2">
        <v>243</v>
      </c>
      <c r="B244" s="7">
        <v>22.1</v>
      </c>
      <c r="C244" s="2" t="s">
        <v>11</v>
      </c>
      <c r="D244" s="7">
        <f>IF(ISBLANK('Raw sheet'!D244),AVERAGE('Raw sheet'!$D$2:'Raw sheet'!$D$1500),'Raw sheet'!D244)</f>
        <v>61340</v>
      </c>
      <c r="E244" s="7" t="str">
        <f>IF(Table1[[#This Row],[Family_Income]]&gt;=100000,"Upper",IF(D244&gt;=50000,"Middle","Lower"))</f>
        <v>Middle</v>
      </c>
      <c r="F244" s="2" t="s">
        <v>4</v>
      </c>
      <c r="G244" s="3">
        <f>IF(ISBLANK('Raw sheet'!F244),AVERAGE('Raw sheet'!$F$2:'Raw sheet'!$F$1500),'Raw sheet'!F244)</f>
        <v>2.77</v>
      </c>
      <c r="H244" s="18">
        <v>92.7</v>
      </c>
      <c r="I244" s="9" t="str">
        <f t="shared" si="6"/>
        <v>Good</v>
      </c>
      <c r="J244" s="2">
        <v>1</v>
      </c>
      <c r="K244" s="2">
        <v>43.3</v>
      </c>
      <c r="L244" s="2" t="s">
        <v>4</v>
      </c>
      <c r="M244" s="2" t="s">
        <v>3</v>
      </c>
      <c r="N244" s="5">
        <f>IF(ISBLANK('Raw sheet'!L244),AVERAGE('Raw sheet'!$L$2:'Raw sheet'!$L$1500),'Raw sheet'!L244)</f>
        <v>6.3</v>
      </c>
      <c r="O244" s="5" t="str">
        <f>IF(Table1[[#This Row],[Stress_Index]]&gt;=8,"High",IF(N244&gt;=5,"Medium","Low"))</f>
        <v>Medium</v>
      </c>
      <c r="P244" s="3">
        <v>0</v>
      </c>
      <c r="Q244" s="2">
        <v>0.23</v>
      </c>
      <c r="R244" s="3">
        <v>0.27</v>
      </c>
      <c r="S244" s="3" t="str">
        <f>IF(Table1[[#This Row],[CGPA]]&gt;=3,"High",IF(R243&gt;=2,"Medium","Low"))</f>
        <v>Low</v>
      </c>
      <c r="T244" s="2" t="s">
        <v>12</v>
      </c>
      <c r="U244" s="2" t="s">
        <v>1</v>
      </c>
      <c r="V244" s="2" t="s">
        <v>15</v>
      </c>
      <c r="W244" s="7">
        <v>1</v>
      </c>
      <c r="X244" t="str">
        <f t="shared" si="7"/>
        <v>Dropped Out</v>
      </c>
    </row>
    <row r="245" spans="1:24" x14ac:dyDescent="0.3">
      <c r="A245" s="2">
        <v>244</v>
      </c>
      <c r="B245" s="7">
        <v>22.9</v>
      </c>
      <c r="C245" s="2" t="s">
        <v>11</v>
      </c>
      <c r="D245" s="7">
        <f>IF(ISBLANK('Raw sheet'!D245),AVERAGE('Raw sheet'!$D$2:'Raw sheet'!$D$1500),'Raw sheet'!D245)</f>
        <v>32257</v>
      </c>
      <c r="E245" s="7" t="str">
        <f>IF(Table1[[#This Row],[Family_Income]]&gt;=100000,"Upper",IF(D245&gt;=50000,"Middle","Lower"))</f>
        <v>Lower</v>
      </c>
      <c r="F245" s="2" t="s">
        <v>4</v>
      </c>
      <c r="G245" s="3">
        <f>IF(ISBLANK('Raw sheet'!F245),AVERAGE('Raw sheet'!$F$2:'Raw sheet'!$F$1500),'Raw sheet'!F245)</f>
        <v>4.6100000000000003</v>
      </c>
      <c r="H245" s="18">
        <v>83.6</v>
      </c>
      <c r="I245" s="9" t="str">
        <f t="shared" si="6"/>
        <v>Good</v>
      </c>
      <c r="J245" s="2">
        <v>0</v>
      </c>
      <c r="K245" s="2">
        <v>39.5</v>
      </c>
      <c r="L245" s="2" t="s">
        <v>4</v>
      </c>
      <c r="M245" s="2" t="s">
        <v>4</v>
      </c>
      <c r="N245" s="5">
        <f>IF(ISBLANK('Raw sheet'!L245),AVERAGE('Raw sheet'!$L$2:'Raw sheet'!$L$1500),'Raw sheet'!L245)</f>
        <v>3.9</v>
      </c>
      <c r="O245" s="5" t="str">
        <f>IF(Table1[[#This Row],[Stress_Index]]&gt;=8,"High",IF(N245&gt;=5,"Medium","Low"))</f>
        <v>Low</v>
      </c>
      <c r="P245" s="3">
        <v>3.18</v>
      </c>
      <c r="Q245" s="2">
        <v>3.11</v>
      </c>
      <c r="R245" s="3">
        <v>3.07</v>
      </c>
      <c r="S245" s="3" t="str">
        <f>IF(Table1[[#This Row],[CGPA]]&gt;=3,"High",IF(R244&gt;=2,"Medium","Low"))</f>
        <v>High</v>
      </c>
      <c r="T245" s="2" t="s">
        <v>10</v>
      </c>
      <c r="U245" s="2" t="s">
        <v>6</v>
      </c>
      <c r="V245" s="2" t="s">
        <v>0</v>
      </c>
      <c r="W245" s="7">
        <v>0</v>
      </c>
      <c r="X245" t="str">
        <f t="shared" si="7"/>
        <v>Active</v>
      </c>
    </row>
    <row r="246" spans="1:24" x14ac:dyDescent="0.3">
      <c r="A246" s="2">
        <v>245</v>
      </c>
      <c r="B246" s="7">
        <v>18.399999999999999</v>
      </c>
      <c r="C246" s="2" t="s">
        <v>11</v>
      </c>
      <c r="D246" s="7">
        <f>IF(ISBLANK('Raw sheet'!D246),AVERAGE('Raw sheet'!$D$2:'Raw sheet'!$D$1500),'Raw sheet'!D246)</f>
        <v>32325</v>
      </c>
      <c r="E246" s="7" t="str">
        <f>IF(Table1[[#This Row],[Family_Income]]&gt;=100000,"Upper",IF(D246&gt;=50000,"Middle","Lower"))</f>
        <v>Lower</v>
      </c>
      <c r="F246" s="2" t="s">
        <v>3</v>
      </c>
      <c r="G246" s="3">
        <f>IF(ISBLANK('Raw sheet'!F246),AVERAGE('Raw sheet'!$F$2:'Raw sheet'!$F$1500),'Raw sheet'!F246)</f>
        <v>3.87</v>
      </c>
      <c r="H246" s="18">
        <v>78</v>
      </c>
      <c r="I246" s="9" t="str">
        <f t="shared" si="6"/>
        <v>Good</v>
      </c>
      <c r="J246" s="2">
        <v>0</v>
      </c>
      <c r="K246" s="2">
        <v>28.8</v>
      </c>
      <c r="L246" s="2" t="s">
        <v>4</v>
      </c>
      <c r="M246" s="2" t="s">
        <v>3</v>
      </c>
      <c r="N246" s="5">
        <f>IF(ISBLANK('Raw sheet'!L246),AVERAGE('Raw sheet'!$L$2:'Raw sheet'!$L$1500),'Raw sheet'!L246)</f>
        <v>5.0999999999999996</v>
      </c>
      <c r="O246" s="5" t="str">
        <f>IF(Table1[[#This Row],[Stress_Index]]&gt;=8,"High",IF(N246&gt;=5,"Medium","Low"))</f>
        <v>Medium</v>
      </c>
      <c r="P246" s="3">
        <v>1.96</v>
      </c>
      <c r="Q246" s="2">
        <v>1.62</v>
      </c>
      <c r="R246" s="3">
        <v>1.62</v>
      </c>
      <c r="S246" s="3" t="str">
        <f>IF(Table1[[#This Row],[CGPA]]&gt;=3,"High",IF(R245&gt;=2,"Medium","Low"))</f>
        <v>Medium</v>
      </c>
      <c r="T246" s="2" t="s">
        <v>7</v>
      </c>
      <c r="U246" s="2" t="s">
        <v>6</v>
      </c>
      <c r="V246" s="2" t="s">
        <v>16</v>
      </c>
      <c r="W246" s="7">
        <v>0</v>
      </c>
      <c r="X246" t="str">
        <f t="shared" si="7"/>
        <v>Active</v>
      </c>
    </row>
    <row r="247" spans="1:24" x14ac:dyDescent="0.3">
      <c r="A247" s="2">
        <v>246</v>
      </c>
      <c r="B247" s="7">
        <v>20.3</v>
      </c>
      <c r="C247" s="2" t="s">
        <v>5</v>
      </c>
      <c r="D247" s="7">
        <f>IF(ISBLANK('Raw sheet'!D247),AVERAGE('Raw sheet'!$D$2:'Raw sheet'!$D$1500),'Raw sheet'!D247)</f>
        <v>25000</v>
      </c>
      <c r="E247" s="7" t="str">
        <f>IF(Table1[[#This Row],[Family_Income]]&gt;=100000,"Upper",IF(D247&gt;=50000,"Middle","Lower"))</f>
        <v>Lower</v>
      </c>
      <c r="F247" s="2" t="s">
        <v>4</v>
      </c>
      <c r="G247" s="3">
        <f>IF(ISBLANK('Raw sheet'!F247),AVERAGE('Raw sheet'!$F$2:'Raw sheet'!$F$1500),'Raw sheet'!F247)</f>
        <v>4.16</v>
      </c>
      <c r="H247" s="18">
        <v>75.099999999999994</v>
      </c>
      <c r="I247" s="9" t="str">
        <f t="shared" si="6"/>
        <v>Good</v>
      </c>
      <c r="J247" s="2">
        <v>1</v>
      </c>
      <c r="K247" s="2">
        <v>44.8</v>
      </c>
      <c r="L247" s="2" t="s">
        <v>3</v>
      </c>
      <c r="M247" s="2" t="s">
        <v>3</v>
      </c>
      <c r="N247" s="5">
        <f>IF(ISBLANK('Raw sheet'!L247),AVERAGE('Raw sheet'!$L$2:'Raw sheet'!$L$1500),'Raw sheet'!L247)</f>
        <v>5.7</v>
      </c>
      <c r="O247" s="5" t="str">
        <f>IF(Table1[[#This Row],[Stress_Index]]&gt;=8,"High",IF(N247&gt;=5,"Medium","Low"))</f>
        <v>Medium</v>
      </c>
      <c r="P247" s="3">
        <v>0</v>
      </c>
      <c r="Q247" s="2">
        <v>0.15</v>
      </c>
      <c r="R247" s="3">
        <v>0.08</v>
      </c>
      <c r="S247" s="3" t="str">
        <f>IF(Table1[[#This Row],[CGPA]]&gt;=3,"High",IF(R246&gt;=2,"Medium","Low"))</f>
        <v>Low</v>
      </c>
      <c r="T247" s="2" t="s">
        <v>7</v>
      </c>
      <c r="U247" s="2" t="s">
        <v>6</v>
      </c>
      <c r="V247" s="2" t="s">
        <v>16</v>
      </c>
      <c r="W247" s="7">
        <v>0</v>
      </c>
      <c r="X247" t="str">
        <f t="shared" si="7"/>
        <v>Active</v>
      </c>
    </row>
    <row r="248" spans="1:24" x14ac:dyDescent="0.3">
      <c r="A248" s="2">
        <v>247</v>
      </c>
      <c r="B248" s="7">
        <v>20</v>
      </c>
      <c r="C248" s="2" t="s">
        <v>11</v>
      </c>
      <c r="D248" s="7">
        <f>IF(ISBLANK('Raw sheet'!D248),AVERAGE('Raw sheet'!$D$2:'Raw sheet'!$D$1500),'Raw sheet'!D248)</f>
        <v>25000</v>
      </c>
      <c r="E248" s="7" t="str">
        <f>IF(Table1[[#This Row],[Family_Income]]&gt;=100000,"Upper",IF(D248&gt;=50000,"Middle","Lower"))</f>
        <v>Lower</v>
      </c>
      <c r="F248" s="2" t="s">
        <v>3</v>
      </c>
      <c r="G248" s="3">
        <f>IF(ISBLANK('Raw sheet'!F248),AVERAGE('Raw sheet'!$F$2:'Raw sheet'!$F$1500),'Raw sheet'!F248)</f>
        <v>4.92</v>
      </c>
      <c r="H248" s="18">
        <v>72.8</v>
      </c>
      <c r="I248" s="9" t="str">
        <f t="shared" si="6"/>
        <v>Low</v>
      </c>
      <c r="J248" s="2">
        <v>1</v>
      </c>
      <c r="K248" s="2">
        <v>41.1</v>
      </c>
      <c r="L248" s="2" t="s">
        <v>3</v>
      </c>
      <c r="M248" s="2" t="s">
        <v>3</v>
      </c>
      <c r="N248" s="5">
        <f>IF(ISBLANK('Raw sheet'!L248),AVERAGE('Raw sheet'!$L$2:'Raw sheet'!$L$1500),'Raw sheet'!L248)</f>
        <v>5.6</v>
      </c>
      <c r="O248" s="5" t="str">
        <f>IF(Table1[[#This Row],[Stress_Index]]&gt;=8,"High",IF(N248&gt;=5,"Medium","Low"))</f>
        <v>Medium</v>
      </c>
      <c r="P248" s="3">
        <v>1.41</v>
      </c>
      <c r="Q248" s="2">
        <v>1.35</v>
      </c>
      <c r="R248" s="3">
        <v>1.36</v>
      </c>
      <c r="S248" s="3" t="str">
        <f>IF(Table1[[#This Row],[CGPA]]&gt;=3,"High",IF(R247&gt;=2,"Medium","Low"))</f>
        <v>Low</v>
      </c>
      <c r="T248" s="2" t="s">
        <v>10</v>
      </c>
      <c r="U248" s="2" t="s">
        <v>1</v>
      </c>
      <c r="V248" s="2" t="s">
        <v>0</v>
      </c>
      <c r="W248" s="7">
        <v>1</v>
      </c>
      <c r="X248" t="str">
        <f t="shared" si="7"/>
        <v>Dropped Out</v>
      </c>
    </row>
    <row r="249" spans="1:24" x14ac:dyDescent="0.3">
      <c r="A249" s="2">
        <v>248</v>
      </c>
      <c r="B249" s="7">
        <v>19.600000000000001</v>
      </c>
      <c r="C249" s="2" t="s">
        <v>5</v>
      </c>
      <c r="D249" s="7">
        <f>IF(ISBLANK('Raw sheet'!D249),AVERAGE('Raw sheet'!$D$2:'Raw sheet'!$D$1500),'Raw sheet'!D249)</f>
        <v>49416</v>
      </c>
      <c r="E249" s="7" t="str">
        <f>IF(Table1[[#This Row],[Family_Income]]&gt;=100000,"Upper",IF(D249&gt;=50000,"Middle","Lower"))</f>
        <v>Lower</v>
      </c>
      <c r="F249" s="2" t="s">
        <v>4</v>
      </c>
      <c r="G249" s="3">
        <f>IF(ISBLANK('Raw sheet'!F249),AVERAGE('Raw sheet'!$F$2:'Raw sheet'!$F$1500),'Raw sheet'!F249)</f>
        <v>4.24</v>
      </c>
      <c r="H249" s="18">
        <v>85.4</v>
      </c>
      <c r="I249" s="9" t="str">
        <f t="shared" si="6"/>
        <v>Good</v>
      </c>
      <c r="J249" s="2">
        <v>4</v>
      </c>
      <c r="K249" s="2">
        <v>31.9</v>
      </c>
      <c r="L249" s="2" t="s">
        <v>3</v>
      </c>
      <c r="M249" s="2" t="s">
        <v>4</v>
      </c>
      <c r="N249" s="5">
        <f>IF(ISBLANK('Raw sheet'!L249),AVERAGE('Raw sheet'!$L$2:'Raw sheet'!$L$1500),'Raw sheet'!L249)</f>
        <v>5.4</v>
      </c>
      <c r="O249" s="5" t="str">
        <f>IF(Table1[[#This Row],[Stress_Index]]&gt;=8,"High",IF(N249&gt;=5,"Medium","Low"))</f>
        <v>Medium</v>
      </c>
      <c r="P249" s="3">
        <v>2.17</v>
      </c>
      <c r="Q249" s="2">
        <v>2</v>
      </c>
      <c r="R249" s="3">
        <v>2</v>
      </c>
      <c r="S249" s="3" t="str">
        <f>IF(Table1[[#This Row],[CGPA]]&gt;=3,"High",IF(R248&gt;=2,"Medium","Low"))</f>
        <v>Low</v>
      </c>
      <c r="T249" s="2" t="s">
        <v>12</v>
      </c>
      <c r="U249" s="2" t="s">
        <v>14</v>
      </c>
      <c r="V249" s="2" t="s">
        <v>15</v>
      </c>
      <c r="W249" s="7">
        <v>1</v>
      </c>
      <c r="X249" t="str">
        <f t="shared" si="7"/>
        <v>Dropped Out</v>
      </c>
    </row>
    <row r="250" spans="1:24" x14ac:dyDescent="0.3">
      <c r="A250" s="2">
        <v>249</v>
      </c>
      <c r="B250" s="7">
        <v>24.9</v>
      </c>
      <c r="C250" s="2" t="s">
        <v>5</v>
      </c>
      <c r="D250" s="7">
        <f>IF(ISBLANK('Raw sheet'!D250),AVERAGE('Raw sheet'!$D$2:'Raw sheet'!$D$1500),'Raw sheet'!D250)</f>
        <v>53680</v>
      </c>
      <c r="E250" s="7" t="str">
        <f>IF(Table1[[#This Row],[Family_Income]]&gt;=100000,"Upper",IF(D250&gt;=50000,"Middle","Lower"))</f>
        <v>Middle</v>
      </c>
      <c r="F250" s="2" t="s">
        <v>4</v>
      </c>
      <c r="G250" s="3">
        <f>IF(ISBLANK('Raw sheet'!F250),AVERAGE('Raw sheet'!$F$2:'Raw sheet'!$F$1500),'Raw sheet'!F250)</f>
        <v>3.56</v>
      </c>
      <c r="H250" s="18">
        <v>88.1</v>
      </c>
      <c r="I250" s="9" t="str">
        <f t="shared" si="6"/>
        <v>Good</v>
      </c>
      <c r="J250" s="2">
        <v>3</v>
      </c>
      <c r="K250" s="2">
        <v>20.8</v>
      </c>
      <c r="L250" s="2" t="s">
        <v>3</v>
      </c>
      <c r="M250" s="2" t="s">
        <v>3</v>
      </c>
      <c r="N250" s="5">
        <f>IF(ISBLANK('Raw sheet'!L250),AVERAGE('Raw sheet'!$L$2:'Raw sheet'!$L$1500),'Raw sheet'!L250)</f>
        <v>9.3000000000000007</v>
      </c>
      <c r="O250" s="5" t="str">
        <f>IF(Table1[[#This Row],[Stress_Index]]&gt;=8,"High",IF(N250&gt;=5,"Medium","Low"))</f>
        <v>High</v>
      </c>
      <c r="P250" s="3">
        <v>1.51</v>
      </c>
      <c r="Q250" s="2">
        <v>1.54</v>
      </c>
      <c r="R250" s="3">
        <v>1.54</v>
      </c>
      <c r="S250" s="3" t="str">
        <f>IF(Table1[[#This Row],[CGPA]]&gt;=3,"High",IF(R249&gt;=2,"Medium","Low"))</f>
        <v>Medium</v>
      </c>
      <c r="T250" s="2" t="s">
        <v>2</v>
      </c>
      <c r="U250" s="2" t="s">
        <v>1</v>
      </c>
      <c r="V250" s="2" t="s">
        <v>17</v>
      </c>
      <c r="W250" s="7">
        <v>1</v>
      </c>
      <c r="X250" t="str">
        <f t="shared" si="7"/>
        <v>Dropped Out</v>
      </c>
    </row>
    <row r="251" spans="1:24" x14ac:dyDescent="0.3">
      <c r="A251" s="2">
        <v>250</v>
      </c>
      <c r="B251" s="7">
        <v>21.9</v>
      </c>
      <c r="C251" s="2" t="s">
        <v>11</v>
      </c>
      <c r="D251" s="7">
        <f>IF(ISBLANK('Raw sheet'!D251),AVERAGE('Raw sheet'!$D$2:'Raw sheet'!$D$1500),'Raw sheet'!D251)</f>
        <v>47586</v>
      </c>
      <c r="E251" s="7" t="str">
        <f>IF(Table1[[#This Row],[Family_Income]]&gt;=100000,"Upper",IF(D251&gt;=50000,"Middle","Lower"))</f>
        <v>Lower</v>
      </c>
      <c r="F251" s="2" t="s">
        <v>3</v>
      </c>
      <c r="G251" s="3">
        <f>IF(ISBLANK('Raw sheet'!F251),AVERAGE('Raw sheet'!$F$2:'Raw sheet'!$F$1500),'Raw sheet'!F251)</f>
        <v>2.86</v>
      </c>
      <c r="H251" s="18">
        <v>82</v>
      </c>
      <c r="I251" s="9" t="str">
        <f t="shared" si="6"/>
        <v>Good</v>
      </c>
      <c r="J251" s="2">
        <v>0</v>
      </c>
      <c r="K251" s="2">
        <v>35</v>
      </c>
      <c r="L251" s="2" t="s">
        <v>4</v>
      </c>
      <c r="M251" s="2" t="s">
        <v>3</v>
      </c>
      <c r="N251" s="5">
        <f>IF(ISBLANK('Raw sheet'!L251),AVERAGE('Raw sheet'!$L$2:'Raw sheet'!$L$1500),'Raw sheet'!L251)</f>
        <v>6.5</v>
      </c>
      <c r="O251" s="5" t="str">
        <f>IF(Table1[[#This Row],[Stress_Index]]&gt;=8,"High",IF(N251&gt;=5,"Medium","Low"))</f>
        <v>Medium</v>
      </c>
      <c r="P251" s="3">
        <v>3.45</v>
      </c>
      <c r="Q251" s="2">
        <v>3.48</v>
      </c>
      <c r="R251" s="3">
        <v>3.48</v>
      </c>
      <c r="S251" s="3" t="str">
        <f>IF(Table1[[#This Row],[CGPA]]&gt;=3,"High",IF(R250&gt;=2,"Medium","Low"))</f>
        <v>High</v>
      </c>
      <c r="T251" s="2" t="s">
        <v>2</v>
      </c>
      <c r="U251" s="2" t="s">
        <v>1</v>
      </c>
      <c r="V251" s="2" t="s">
        <v>0</v>
      </c>
      <c r="W251" s="7">
        <v>0</v>
      </c>
      <c r="X251" t="str">
        <f t="shared" si="7"/>
        <v>Active</v>
      </c>
    </row>
    <row r="252" spans="1:24" x14ac:dyDescent="0.3">
      <c r="A252" s="2">
        <v>251</v>
      </c>
      <c r="B252" s="7">
        <v>18.2</v>
      </c>
      <c r="C252" s="2" t="s">
        <v>5</v>
      </c>
      <c r="D252" s="7">
        <f>IF(ISBLANK('Raw sheet'!D252),AVERAGE('Raw sheet'!$D$2:'Raw sheet'!$D$1500),'Raw sheet'!D252)</f>
        <v>47848</v>
      </c>
      <c r="E252" s="7" t="str">
        <f>IF(Table1[[#This Row],[Family_Income]]&gt;=100000,"Upper",IF(D252&gt;=50000,"Middle","Lower"))</f>
        <v>Lower</v>
      </c>
      <c r="F252" s="2" t="s">
        <v>4</v>
      </c>
      <c r="G252" s="3">
        <f>IF(ISBLANK('Raw sheet'!F252),AVERAGE('Raw sheet'!$F$2:'Raw sheet'!$F$1500),'Raw sheet'!F252)</f>
        <v>4.58</v>
      </c>
      <c r="H252" s="18">
        <v>80.400000000000006</v>
      </c>
      <c r="I252" s="9" t="str">
        <f t="shared" si="6"/>
        <v>Good</v>
      </c>
      <c r="J252" s="2">
        <v>2</v>
      </c>
      <c r="K252" s="2">
        <v>34.9</v>
      </c>
      <c r="L252" s="2" t="s">
        <v>4</v>
      </c>
      <c r="M252" s="2" t="s">
        <v>3</v>
      </c>
      <c r="N252" s="5">
        <f>IF(ISBLANK('Raw sheet'!L252),AVERAGE('Raw sheet'!$L$2:'Raw sheet'!$L$1500),'Raw sheet'!L252)</f>
        <v>6.8</v>
      </c>
      <c r="O252" s="5" t="str">
        <f>IF(Table1[[#This Row],[Stress_Index]]&gt;=8,"High",IF(N252&gt;=5,"Medium","Low"))</f>
        <v>Medium</v>
      </c>
      <c r="P252" s="3">
        <v>2.7</v>
      </c>
      <c r="Q252" s="2">
        <v>2.88</v>
      </c>
      <c r="R252" s="3">
        <v>2.82</v>
      </c>
      <c r="S252" s="3" t="str">
        <f>IF(Table1[[#This Row],[CGPA]]&gt;=3,"High",IF(R251&gt;=2,"Medium","Low"))</f>
        <v>Medium</v>
      </c>
      <c r="T252" s="2" t="s">
        <v>7</v>
      </c>
      <c r="U252" s="2" t="s">
        <v>1</v>
      </c>
      <c r="V252" s="2" t="s">
        <v>15</v>
      </c>
      <c r="W252" s="7">
        <v>0</v>
      </c>
      <c r="X252" t="str">
        <f t="shared" si="7"/>
        <v>Active</v>
      </c>
    </row>
    <row r="253" spans="1:24" x14ac:dyDescent="0.3">
      <c r="A253" s="2">
        <v>252</v>
      </c>
      <c r="B253" s="7">
        <v>23</v>
      </c>
      <c r="C253" s="2" t="s">
        <v>5</v>
      </c>
      <c r="D253" s="7">
        <f>IF(ISBLANK('Raw sheet'!D253),AVERAGE('Raw sheet'!$D$2:'Raw sheet'!$D$1500),'Raw sheet'!D253)</f>
        <v>38587.00282087447</v>
      </c>
      <c r="E253" s="7" t="str">
        <f>IF(Table1[[#This Row],[Family_Income]]&gt;=100000,"Upper",IF(D253&gt;=50000,"Middle","Lower"))</f>
        <v>Lower</v>
      </c>
      <c r="F253" s="2" t="s">
        <v>4</v>
      </c>
      <c r="G253" s="3">
        <f>IF(ISBLANK('Raw sheet'!F253),AVERAGE('Raw sheet'!$F$2:'Raw sheet'!$F$1500),'Raw sheet'!F253)</f>
        <v>4.0178702397743278</v>
      </c>
      <c r="H253" s="18">
        <v>71.7</v>
      </c>
      <c r="I253" s="9" t="str">
        <f t="shared" si="6"/>
        <v>Low</v>
      </c>
      <c r="J253" s="2">
        <v>1</v>
      </c>
      <c r="K253" s="2">
        <v>35.9</v>
      </c>
      <c r="L253" s="2" t="s">
        <v>3</v>
      </c>
      <c r="M253" s="2" t="s">
        <v>3</v>
      </c>
      <c r="N253" s="5">
        <f>IF(ISBLANK('Raw sheet'!L253),AVERAGE('Raw sheet'!$L$2:'Raw sheet'!$L$1500),'Raw sheet'!L253)</f>
        <v>5.5242595204513369</v>
      </c>
      <c r="O253" s="5" t="str">
        <f>IF(Table1[[#This Row],[Stress_Index]]&gt;=8,"High",IF(N253&gt;=5,"Medium","Low"))</f>
        <v>Medium</v>
      </c>
      <c r="P253" s="3">
        <v>3.04</v>
      </c>
      <c r="Q253" s="2">
        <v>2.99</v>
      </c>
      <c r="R253" s="3">
        <v>3.07</v>
      </c>
      <c r="S253" s="3" t="str">
        <f>IF(Table1[[#This Row],[CGPA]]&gt;=3,"High",IF(R252&gt;=2,"Medium","Low"))</f>
        <v>High</v>
      </c>
      <c r="T253" s="2" t="s">
        <v>10</v>
      </c>
      <c r="U253" s="2" t="s">
        <v>14</v>
      </c>
      <c r="V253" s="2" t="s">
        <v>15</v>
      </c>
      <c r="W253" s="7">
        <v>0</v>
      </c>
      <c r="X253" t="str">
        <f t="shared" si="7"/>
        <v>Active</v>
      </c>
    </row>
    <row r="254" spans="1:24" x14ac:dyDescent="0.3">
      <c r="A254" s="2">
        <v>253</v>
      </c>
      <c r="B254" s="7">
        <v>25.7</v>
      </c>
      <c r="C254" s="2" t="s">
        <v>11</v>
      </c>
      <c r="D254" s="7">
        <f>IF(ISBLANK('Raw sheet'!D254),AVERAGE('Raw sheet'!$D$2:'Raw sheet'!$D$1500),'Raw sheet'!D254)</f>
        <v>32174</v>
      </c>
      <c r="E254" s="7" t="str">
        <f>IF(Table1[[#This Row],[Family_Income]]&gt;=100000,"Upper",IF(D254&gt;=50000,"Middle","Lower"))</f>
        <v>Lower</v>
      </c>
      <c r="F254" s="2" t="s">
        <v>3</v>
      </c>
      <c r="G254" s="3">
        <f>IF(ISBLANK('Raw sheet'!F254),AVERAGE('Raw sheet'!$F$2:'Raw sheet'!$F$1500),'Raw sheet'!F254)</f>
        <v>5.14</v>
      </c>
      <c r="H254" s="18">
        <v>70.7</v>
      </c>
      <c r="I254" s="9" t="str">
        <f t="shared" si="6"/>
        <v>Low</v>
      </c>
      <c r="J254" s="2">
        <v>1</v>
      </c>
      <c r="K254" s="2">
        <v>30.9</v>
      </c>
      <c r="L254" s="2" t="s">
        <v>3</v>
      </c>
      <c r="M254" s="2" t="s">
        <v>3</v>
      </c>
      <c r="N254" s="5">
        <f>IF(ISBLANK('Raw sheet'!L254),AVERAGE('Raw sheet'!$L$2:'Raw sheet'!$L$1500),'Raw sheet'!L254)</f>
        <v>6.5</v>
      </c>
      <c r="O254" s="5" t="str">
        <f>IF(Table1[[#This Row],[Stress_Index]]&gt;=8,"High",IF(N254&gt;=5,"Medium","Low"))</f>
        <v>Medium</v>
      </c>
      <c r="P254" s="3">
        <v>2.1</v>
      </c>
      <c r="Q254" s="2">
        <v>2.0699999999999998</v>
      </c>
      <c r="R254" s="3">
        <v>2.17</v>
      </c>
      <c r="S254" s="3" t="str">
        <f>IF(Table1[[#This Row],[CGPA]]&gt;=3,"High",IF(R253&gt;=2,"Medium","Low"))</f>
        <v>Medium</v>
      </c>
      <c r="T254" s="2" t="s">
        <v>7</v>
      </c>
      <c r="U254" s="2" t="s">
        <v>8</v>
      </c>
      <c r="V254" s="2" t="s">
        <v>9</v>
      </c>
      <c r="W254" s="7">
        <v>1</v>
      </c>
      <c r="X254" t="str">
        <f t="shared" si="7"/>
        <v>Dropped Out</v>
      </c>
    </row>
    <row r="255" spans="1:24" x14ac:dyDescent="0.3">
      <c r="A255" s="2">
        <v>254</v>
      </c>
      <c r="B255" s="7">
        <v>23.3</v>
      </c>
      <c r="C255" s="2" t="s">
        <v>5</v>
      </c>
      <c r="D255" s="7">
        <f>IF(ISBLANK('Raw sheet'!D255),AVERAGE('Raw sheet'!$D$2:'Raw sheet'!$D$1500),'Raw sheet'!D255)</f>
        <v>26763</v>
      </c>
      <c r="E255" s="7" t="str">
        <f>IF(Table1[[#This Row],[Family_Income]]&gt;=100000,"Upper",IF(D255&gt;=50000,"Middle","Lower"))</f>
        <v>Lower</v>
      </c>
      <c r="F255" s="2" t="s">
        <v>3</v>
      </c>
      <c r="G255" s="3">
        <f>IF(ISBLANK('Raw sheet'!F255),AVERAGE('Raw sheet'!$F$2:'Raw sheet'!$F$1500),'Raw sheet'!F255)</f>
        <v>2.04</v>
      </c>
      <c r="H255" s="18">
        <v>82.6</v>
      </c>
      <c r="I255" s="9" t="str">
        <f t="shared" si="6"/>
        <v>Good</v>
      </c>
      <c r="J255" s="2">
        <v>1</v>
      </c>
      <c r="K255" s="2">
        <v>33.9</v>
      </c>
      <c r="L255" s="2" t="s">
        <v>4</v>
      </c>
      <c r="M255" s="2" t="s">
        <v>3</v>
      </c>
      <c r="N255" s="5">
        <f>IF(ISBLANK('Raw sheet'!L255),AVERAGE('Raw sheet'!$L$2:'Raw sheet'!$L$1500),'Raw sheet'!L255)</f>
        <v>5.9</v>
      </c>
      <c r="O255" s="5" t="str">
        <f>IF(Table1[[#This Row],[Stress_Index]]&gt;=8,"High",IF(N255&gt;=5,"Medium","Low"))</f>
        <v>Medium</v>
      </c>
      <c r="P255" s="3">
        <v>0</v>
      </c>
      <c r="Q255" s="2">
        <v>0.34</v>
      </c>
      <c r="R255" s="3">
        <v>0.44</v>
      </c>
      <c r="S255" s="3" t="str">
        <f>IF(Table1[[#This Row],[CGPA]]&gt;=3,"High",IF(R254&gt;=2,"Medium","Low"))</f>
        <v>Medium</v>
      </c>
      <c r="T255" s="2" t="s">
        <v>12</v>
      </c>
      <c r="U255" s="2" t="s">
        <v>13</v>
      </c>
      <c r="V255" s="2" t="s">
        <v>17</v>
      </c>
      <c r="W255" s="7">
        <v>1</v>
      </c>
      <c r="X255" t="str">
        <f t="shared" si="7"/>
        <v>Dropped Out</v>
      </c>
    </row>
    <row r="256" spans="1:24" x14ac:dyDescent="0.3">
      <c r="A256" s="2">
        <v>255</v>
      </c>
      <c r="B256" s="7">
        <v>17.7</v>
      </c>
      <c r="C256" s="2" t="s">
        <v>5</v>
      </c>
      <c r="D256" s="7">
        <f>IF(ISBLANK('Raw sheet'!D256),AVERAGE('Raw sheet'!$D$2:'Raw sheet'!$D$1500),'Raw sheet'!D256)</f>
        <v>61463</v>
      </c>
      <c r="E256" s="7" t="str">
        <f>IF(Table1[[#This Row],[Family_Income]]&gt;=100000,"Upper",IF(D256&gt;=50000,"Middle","Lower"))</f>
        <v>Middle</v>
      </c>
      <c r="F256" s="2" t="s">
        <v>4</v>
      </c>
      <c r="G256" s="3">
        <f>IF(ISBLANK('Raw sheet'!F256),AVERAGE('Raw sheet'!$F$2:'Raw sheet'!$F$1500),'Raw sheet'!F256)</f>
        <v>1.37</v>
      </c>
      <c r="H256" s="18">
        <v>82.1</v>
      </c>
      <c r="I256" s="9" t="str">
        <f t="shared" si="6"/>
        <v>Good</v>
      </c>
      <c r="J256" s="2">
        <v>3</v>
      </c>
      <c r="K256" s="2">
        <v>33.6</v>
      </c>
      <c r="L256" s="2" t="s">
        <v>3</v>
      </c>
      <c r="M256" s="2" t="s">
        <v>3</v>
      </c>
      <c r="N256" s="5">
        <f>IF(ISBLANK('Raw sheet'!L256),AVERAGE('Raw sheet'!$L$2:'Raw sheet'!$L$1500),'Raw sheet'!L256)</f>
        <v>8.8000000000000007</v>
      </c>
      <c r="O256" s="5" t="str">
        <f>IF(Table1[[#This Row],[Stress_Index]]&gt;=8,"High",IF(N256&gt;=5,"Medium","Low"))</f>
        <v>High</v>
      </c>
      <c r="P256" s="3">
        <v>0</v>
      </c>
      <c r="Q256" s="2">
        <v>0</v>
      </c>
      <c r="R256" s="3">
        <v>0.02</v>
      </c>
      <c r="S256" s="3" t="str">
        <f>IF(Table1[[#This Row],[CGPA]]&gt;=3,"High",IF(R255&gt;=2,"Medium","Low"))</f>
        <v>Low</v>
      </c>
      <c r="T256" s="2" t="s">
        <v>7</v>
      </c>
      <c r="U256" s="2" t="s">
        <v>1</v>
      </c>
      <c r="V256" s="2" t="s">
        <v>9</v>
      </c>
      <c r="W256" s="7">
        <v>1</v>
      </c>
      <c r="X256" t="str">
        <f t="shared" si="7"/>
        <v>Dropped Out</v>
      </c>
    </row>
    <row r="257" spans="1:24" x14ac:dyDescent="0.3">
      <c r="A257" s="2">
        <v>256</v>
      </c>
      <c r="B257" s="7">
        <v>19.899999999999999</v>
      </c>
      <c r="C257" s="2" t="s">
        <v>11</v>
      </c>
      <c r="D257" s="7">
        <f>IF(ISBLANK('Raw sheet'!D257),AVERAGE('Raw sheet'!$D$2:'Raw sheet'!$D$1500),'Raw sheet'!D257)</f>
        <v>25000</v>
      </c>
      <c r="E257" s="7" t="str">
        <f>IF(Table1[[#This Row],[Family_Income]]&gt;=100000,"Upper",IF(D257&gt;=50000,"Middle","Lower"))</f>
        <v>Lower</v>
      </c>
      <c r="F257" s="2" t="s">
        <v>4</v>
      </c>
      <c r="G257" s="3">
        <f>IF(ISBLANK('Raw sheet'!F257),AVERAGE('Raw sheet'!$F$2:'Raw sheet'!$F$1500),'Raw sheet'!F257)</f>
        <v>3.04</v>
      </c>
      <c r="H257" s="18">
        <v>85.3</v>
      </c>
      <c r="I257" s="9" t="str">
        <f t="shared" si="6"/>
        <v>Good</v>
      </c>
      <c r="J257" s="2">
        <v>2</v>
      </c>
      <c r="K257" s="2">
        <v>46.3</v>
      </c>
      <c r="L257" s="2" t="s">
        <v>3</v>
      </c>
      <c r="M257" s="2" t="s">
        <v>3</v>
      </c>
      <c r="N257" s="5">
        <f>IF(ISBLANK('Raw sheet'!L257),AVERAGE('Raw sheet'!$L$2:'Raw sheet'!$L$1500),'Raw sheet'!L257)</f>
        <v>5.4</v>
      </c>
      <c r="O257" s="5" t="str">
        <f>IF(Table1[[#This Row],[Stress_Index]]&gt;=8,"High",IF(N257&gt;=5,"Medium","Low"))</f>
        <v>Medium</v>
      </c>
      <c r="P257" s="3">
        <v>1.93</v>
      </c>
      <c r="Q257" s="2">
        <v>1.88</v>
      </c>
      <c r="R257" s="3">
        <v>1.85</v>
      </c>
      <c r="S257" s="3" t="str">
        <f>IF(Table1[[#This Row],[CGPA]]&gt;=3,"High",IF(R256&gt;=2,"Medium","Low"))</f>
        <v>Low</v>
      </c>
      <c r="T257" s="2" t="s">
        <v>10</v>
      </c>
      <c r="U257" s="2" t="s">
        <v>6</v>
      </c>
      <c r="V257" s="2" t="s">
        <v>0</v>
      </c>
      <c r="W257" s="7">
        <v>0</v>
      </c>
      <c r="X257" t="str">
        <f t="shared" si="7"/>
        <v>Active</v>
      </c>
    </row>
    <row r="258" spans="1:24" x14ac:dyDescent="0.3">
      <c r="A258" s="2">
        <v>257</v>
      </c>
      <c r="B258" s="7">
        <v>23.8</v>
      </c>
      <c r="C258" s="2" t="s">
        <v>5</v>
      </c>
      <c r="D258" s="7">
        <f>IF(ISBLANK('Raw sheet'!D258),AVERAGE('Raw sheet'!$D$2:'Raw sheet'!$D$1500),'Raw sheet'!D258)</f>
        <v>37123</v>
      </c>
      <c r="E258" s="7" t="str">
        <f>IF(Table1[[#This Row],[Family_Income]]&gt;=100000,"Upper",IF(D258&gt;=50000,"Middle","Lower"))</f>
        <v>Lower</v>
      </c>
      <c r="F258" s="2" t="s">
        <v>4</v>
      </c>
      <c r="G258" s="3">
        <f>IF(ISBLANK('Raw sheet'!F258),AVERAGE('Raw sheet'!$F$2:'Raw sheet'!$F$1500),'Raw sheet'!F258)</f>
        <v>2</v>
      </c>
      <c r="H258" s="18">
        <v>85.8</v>
      </c>
      <c r="I258" s="9" t="str">
        <f t="shared" ref="I258:I321" si="8">IF(H258&gt;=75,"Good","Low")</f>
        <v>Good</v>
      </c>
      <c r="J258" s="2">
        <v>3</v>
      </c>
      <c r="K258" s="2">
        <v>14.7</v>
      </c>
      <c r="L258" s="2" t="s">
        <v>4</v>
      </c>
      <c r="M258" s="2" t="s">
        <v>3</v>
      </c>
      <c r="N258" s="5">
        <f>IF(ISBLANK('Raw sheet'!L258),AVERAGE('Raw sheet'!$L$2:'Raw sheet'!$L$1500),'Raw sheet'!L258)</f>
        <v>7</v>
      </c>
      <c r="O258" s="5" t="str">
        <f>IF(Table1[[#This Row],[Stress_Index]]&gt;=8,"High",IF(N258&gt;=5,"Medium","Low"))</f>
        <v>Medium</v>
      </c>
      <c r="P258" s="3">
        <v>2.62</v>
      </c>
      <c r="Q258" s="2">
        <v>2.4500000000000002</v>
      </c>
      <c r="R258" s="3">
        <v>2.4300000000000002</v>
      </c>
      <c r="S258" s="3" t="str">
        <f>IF(Table1[[#This Row],[CGPA]]&gt;=3,"High",IF(R257&gt;=2,"Medium","Low"))</f>
        <v>Low</v>
      </c>
      <c r="T258" s="2" t="s">
        <v>7</v>
      </c>
      <c r="U258" s="2" t="s">
        <v>14</v>
      </c>
      <c r="V258" s="2" t="s">
        <v>0</v>
      </c>
      <c r="W258" s="7">
        <v>0</v>
      </c>
      <c r="X258" t="str">
        <f t="shared" ref="X258:X321" si="9">IF(W258=1,"Dropped Out","Active")</f>
        <v>Active</v>
      </c>
    </row>
    <row r="259" spans="1:24" x14ac:dyDescent="0.3">
      <c r="A259" s="2">
        <v>258</v>
      </c>
      <c r="B259" s="7">
        <v>19.399999999999999</v>
      </c>
      <c r="C259" s="2" t="s">
        <v>5</v>
      </c>
      <c r="D259" s="7">
        <f>IF(ISBLANK('Raw sheet'!D259),AVERAGE('Raw sheet'!$D$2:'Raw sheet'!$D$1500),'Raw sheet'!D259)</f>
        <v>25000</v>
      </c>
      <c r="E259" s="7" t="str">
        <f>IF(Table1[[#This Row],[Family_Income]]&gt;=100000,"Upper",IF(D259&gt;=50000,"Middle","Lower"))</f>
        <v>Lower</v>
      </c>
      <c r="F259" s="2" t="s">
        <v>4</v>
      </c>
      <c r="G259" s="3">
        <f>IF(ISBLANK('Raw sheet'!F259),AVERAGE('Raw sheet'!$F$2:'Raw sheet'!$F$1500),'Raw sheet'!F259)</f>
        <v>2.33</v>
      </c>
      <c r="H259" s="18">
        <v>78.7</v>
      </c>
      <c r="I259" s="9" t="str">
        <f t="shared" si="8"/>
        <v>Good</v>
      </c>
      <c r="J259" s="2">
        <v>0</v>
      </c>
      <c r="K259" s="2">
        <v>18</v>
      </c>
      <c r="L259" s="2" t="s">
        <v>3</v>
      </c>
      <c r="M259" s="2" t="s">
        <v>4</v>
      </c>
      <c r="N259" s="5">
        <f>IF(ISBLANK('Raw sheet'!L259),AVERAGE('Raw sheet'!$L$2:'Raw sheet'!$L$1500),'Raw sheet'!L259)</f>
        <v>9.3000000000000007</v>
      </c>
      <c r="O259" s="5" t="str">
        <f>IF(Table1[[#This Row],[Stress_Index]]&gt;=8,"High",IF(N259&gt;=5,"Medium","Low"))</f>
        <v>High</v>
      </c>
      <c r="P259" s="3">
        <v>0.22</v>
      </c>
      <c r="Q259" s="2">
        <v>0.38</v>
      </c>
      <c r="R259" s="3">
        <v>0.41</v>
      </c>
      <c r="S259" s="3" t="str">
        <f>IF(Table1[[#This Row],[CGPA]]&gt;=3,"High",IF(R258&gt;=2,"Medium","Low"))</f>
        <v>Medium</v>
      </c>
      <c r="T259" s="2" t="s">
        <v>12</v>
      </c>
      <c r="U259" s="2" t="s">
        <v>13</v>
      </c>
      <c r="V259" s="2" t="s">
        <v>0</v>
      </c>
      <c r="W259" s="7">
        <v>1</v>
      </c>
      <c r="X259" t="str">
        <f t="shared" si="9"/>
        <v>Dropped Out</v>
      </c>
    </row>
    <row r="260" spans="1:24" x14ac:dyDescent="0.3">
      <c r="A260" s="2">
        <v>259</v>
      </c>
      <c r="B260" s="7">
        <v>22</v>
      </c>
      <c r="C260" s="2" t="s">
        <v>5</v>
      </c>
      <c r="D260" s="7">
        <f>IF(ISBLANK('Raw sheet'!D260),AVERAGE('Raw sheet'!$D$2:'Raw sheet'!$D$1500),'Raw sheet'!D260)</f>
        <v>25000</v>
      </c>
      <c r="E260" s="7" t="str">
        <f>IF(Table1[[#This Row],[Family_Income]]&gt;=100000,"Upper",IF(D260&gt;=50000,"Middle","Lower"))</f>
        <v>Lower</v>
      </c>
      <c r="F260" s="2" t="s">
        <v>4</v>
      </c>
      <c r="G260" s="3">
        <f>IF(ISBLANK('Raw sheet'!F260),AVERAGE('Raw sheet'!$F$2:'Raw sheet'!$F$1500),'Raw sheet'!F260)</f>
        <v>0.91</v>
      </c>
      <c r="H260" s="18">
        <v>96.8</v>
      </c>
      <c r="I260" s="9" t="str">
        <f t="shared" si="8"/>
        <v>Good</v>
      </c>
      <c r="J260" s="2">
        <v>2</v>
      </c>
      <c r="K260" s="2">
        <v>30.9</v>
      </c>
      <c r="L260" s="2" t="s">
        <v>4</v>
      </c>
      <c r="M260" s="2" t="s">
        <v>3</v>
      </c>
      <c r="N260" s="5">
        <f>IF(ISBLANK('Raw sheet'!L260),AVERAGE('Raw sheet'!$L$2:'Raw sheet'!$L$1500),'Raw sheet'!L260)</f>
        <v>6.7</v>
      </c>
      <c r="O260" s="5" t="str">
        <f>IF(Table1[[#This Row],[Stress_Index]]&gt;=8,"High",IF(N260&gt;=5,"Medium","Low"))</f>
        <v>Medium</v>
      </c>
      <c r="P260" s="3">
        <v>1.38</v>
      </c>
      <c r="Q260" s="2">
        <v>1.65</v>
      </c>
      <c r="R260" s="3">
        <v>1.58</v>
      </c>
      <c r="S260" s="3" t="str">
        <f>IF(Table1[[#This Row],[CGPA]]&gt;=3,"High",IF(R259&gt;=2,"Medium","Low"))</f>
        <v>Low</v>
      </c>
      <c r="T260" s="2" t="s">
        <v>12</v>
      </c>
      <c r="U260" s="2" t="s">
        <v>1</v>
      </c>
      <c r="V260" s="2" t="s">
        <v>0</v>
      </c>
      <c r="W260" s="7">
        <v>0</v>
      </c>
      <c r="X260" t="str">
        <f t="shared" si="9"/>
        <v>Active</v>
      </c>
    </row>
    <row r="261" spans="1:24" x14ac:dyDescent="0.3">
      <c r="A261" s="2">
        <v>260</v>
      </c>
      <c r="B261" s="7">
        <v>22.7</v>
      </c>
      <c r="C261" s="2" t="s">
        <v>11</v>
      </c>
      <c r="D261" s="7">
        <f>IF(ISBLANK('Raw sheet'!D261),AVERAGE('Raw sheet'!$D$2:'Raw sheet'!$D$1500),'Raw sheet'!D261)</f>
        <v>38587.00282087447</v>
      </c>
      <c r="E261" s="7" t="str">
        <f>IF(Table1[[#This Row],[Family_Income]]&gt;=100000,"Upper",IF(D261&gt;=50000,"Middle","Lower"))</f>
        <v>Lower</v>
      </c>
      <c r="F261" s="2" t="s">
        <v>3</v>
      </c>
      <c r="G261" s="3">
        <f>IF(ISBLANK('Raw sheet'!F261),AVERAGE('Raw sheet'!$F$2:'Raw sheet'!$F$1500),'Raw sheet'!F261)</f>
        <v>4.0178702397743278</v>
      </c>
      <c r="H261" s="18">
        <v>73.3</v>
      </c>
      <c r="I261" s="9" t="str">
        <f t="shared" si="8"/>
        <v>Low</v>
      </c>
      <c r="J261" s="2">
        <v>2</v>
      </c>
      <c r="K261" s="2">
        <v>20.9</v>
      </c>
      <c r="L261" s="2" t="s">
        <v>3</v>
      </c>
      <c r="M261" s="2" t="s">
        <v>4</v>
      </c>
      <c r="N261" s="5">
        <f>IF(ISBLANK('Raw sheet'!L261),AVERAGE('Raw sheet'!$L$2:'Raw sheet'!$L$1500),'Raw sheet'!L261)</f>
        <v>5.5242595204513369</v>
      </c>
      <c r="O261" s="5" t="str">
        <f>IF(Table1[[#This Row],[Stress_Index]]&gt;=8,"High",IF(N261&gt;=5,"Medium","Low"))</f>
        <v>Medium</v>
      </c>
      <c r="P261" s="3">
        <v>1.86</v>
      </c>
      <c r="Q261" s="2">
        <v>1.74</v>
      </c>
      <c r="R261" s="3">
        <v>1.74</v>
      </c>
      <c r="S261" s="3" t="str">
        <f>IF(Table1[[#This Row],[CGPA]]&gt;=3,"High",IF(R260&gt;=2,"Medium","Low"))</f>
        <v>Low</v>
      </c>
      <c r="T261" s="2" t="s">
        <v>2</v>
      </c>
      <c r="U261" s="2" t="s">
        <v>13</v>
      </c>
      <c r="V261" s="2" t="s">
        <v>15</v>
      </c>
      <c r="W261" s="7">
        <v>0</v>
      </c>
      <c r="X261" t="str">
        <f t="shared" si="9"/>
        <v>Active</v>
      </c>
    </row>
    <row r="262" spans="1:24" x14ac:dyDescent="0.3">
      <c r="A262" s="2">
        <v>261</v>
      </c>
      <c r="B262" s="7">
        <v>19</v>
      </c>
      <c r="C262" s="2" t="s">
        <v>11</v>
      </c>
      <c r="D262" s="7">
        <f>IF(ISBLANK('Raw sheet'!D262),AVERAGE('Raw sheet'!$D$2:'Raw sheet'!$D$1500),'Raw sheet'!D262)</f>
        <v>25000</v>
      </c>
      <c r="E262" s="7" t="str">
        <f>IF(Table1[[#This Row],[Family_Income]]&gt;=100000,"Upper",IF(D262&gt;=50000,"Middle","Lower"))</f>
        <v>Lower</v>
      </c>
      <c r="F262" s="2" t="s">
        <v>4</v>
      </c>
      <c r="G262" s="3">
        <f>IF(ISBLANK('Raw sheet'!F262),AVERAGE('Raw sheet'!$F$2:'Raw sheet'!$F$1500),'Raw sheet'!F262)</f>
        <v>2.4900000000000002</v>
      </c>
      <c r="H262" s="18">
        <v>78.2</v>
      </c>
      <c r="I262" s="9" t="str">
        <f t="shared" si="8"/>
        <v>Good</v>
      </c>
      <c r="J262" s="2">
        <v>1</v>
      </c>
      <c r="K262" s="2">
        <v>32.5</v>
      </c>
      <c r="L262" s="2" t="s">
        <v>4</v>
      </c>
      <c r="M262" s="2" t="s">
        <v>3</v>
      </c>
      <c r="N262" s="5">
        <f>IF(ISBLANK('Raw sheet'!L262),AVERAGE('Raw sheet'!$L$2:'Raw sheet'!$L$1500),'Raw sheet'!L262)</f>
        <v>4.2</v>
      </c>
      <c r="O262" s="5" t="str">
        <f>IF(Table1[[#This Row],[Stress_Index]]&gt;=8,"High",IF(N262&gt;=5,"Medium","Low"))</f>
        <v>Low</v>
      </c>
      <c r="P262" s="3">
        <v>4</v>
      </c>
      <c r="Q262" s="2">
        <v>3.9</v>
      </c>
      <c r="R262" s="3">
        <v>3.9</v>
      </c>
      <c r="S262" s="3" t="str">
        <f>IF(Table1[[#This Row],[CGPA]]&gt;=3,"High",IF(R261&gt;=2,"Medium","Low"))</f>
        <v>High</v>
      </c>
      <c r="T262" s="2" t="s">
        <v>2</v>
      </c>
      <c r="U262" s="2" t="s">
        <v>8</v>
      </c>
      <c r="V262" s="2" t="s">
        <v>9</v>
      </c>
      <c r="W262" s="7">
        <v>0</v>
      </c>
      <c r="X262" t="str">
        <f t="shared" si="9"/>
        <v>Active</v>
      </c>
    </row>
    <row r="263" spans="1:24" x14ac:dyDescent="0.3">
      <c r="A263" s="2">
        <v>262</v>
      </c>
      <c r="B263" s="7">
        <v>20.9</v>
      </c>
      <c r="C263" s="2" t="s">
        <v>11</v>
      </c>
      <c r="D263" s="7">
        <f>IF(ISBLANK('Raw sheet'!D263),AVERAGE('Raw sheet'!$D$2:'Raw sheet'!$D$1500),'Raw sheet'!D263)</f>
        <v>47988</v>
      </c>
      <c r="E263" s="7" t="str">
        <f>IF(Table1[[#This Row],[Family_Income]]&gt;=100000,"Upper",IF(D263&gt;=50000,"Middle","Lower"))</f>
        <v>Lower</v>
      </c>
      <c r="F263" s="2" t="s">
        <v>4</v>
      </c>
      <c r="G263" s="3">
        <f>IF(ISBLANK('Raw sheet'!F263),AVERAGE('Raw sheet'!$F$2:'Raw sheet'!$F$1500),'Raw sheet'!F263)</f>
        <v>2.48</v>
      </c>
      <c r="H263" s="18">
        <v>88.9</v>
      </c>
      <c r="I263" s="9" t="str">
        <f t="shared" si="8"/>
        <v>Good</v>
      </c>
      <c r="J263" s="2">
        <v>2</v>
      </c>
      <c r="K263" s="2">
        <v>16.600000000000001</v>
      </c>
      <c r="L263" s="2" t="s">
        <v>4</v>
      </c>
      <c r="M263" s="2" t="s">
        <v>3</v>
      </c>
      <c r="N263" s="5">
        <f>IF(ISBLANK('Raw sheet'!L263),AVERAGE('Raw sheet'!$L$2:'Raw sheet'!$L$1500),'Raw sheet'!L263)</f>
        <v>4.5999999999999996</v>
      </c>
      <c r="O263" s="5" t="str">
        <f>IF(Table1[[#This Row],[Stress_Index]]&gt;=8,"High",IF(N263&gt;=5,"Medium","Low"))</f>
        <v>Low</v>
      </c>
      <c r="P263" s="3">
        <v>3.49</v>
      </c>
      <c r="Q263" s="2">
        <v>3.71</v>
      </c>
      <c r="R263" s="3">
        <v>3.74</v>
      </c>
      <c r="S263" s="3" t="str">
        <f>IF(Table1[[#This Row],[CGPA]]&gt;=3,"High",IF(R262&gt;=2,"Medium","Low"))</f>
        <v>High</v>
      </c>
      <c r="T263" s="2" t="s">
        <v>10</v>
      </c>
      <c r="U263" s="2" t="s">
        <v>6</v>
      </c>
      <c r="V263" s="2" t="s">
        <v>9</v>
      </c>
      <c r="W263" s="7">
        <v>0</v>
      </c>
      <c r="X263" t="str">
        <f t="shared" si="9"/>
        <v>Active</v>
      </c>
    </row>
    <row r="264" spans="1:24" x14ac:dyDescent="0.3">
      <c r="A264" s="2">
        <v>263</v>
      </c>
      <c r="B264" s="7">
        <v>17</v>
      </c>
      <c r="C264" s="2" t="s">
        <v>5</v>
      </c>
      <c r="D264" s="7">
        <f>IF(ISBLANK('Raw sheet'!D264),AVERAGE('Raw sheet'!$D$2:'Raw sheet'!$D$1500),'Raw sheet'!D264)</f>
        <v>25000</v>
      </c>
      <c r="E264" s="7" t="str">
        <f>IF(Table1[[#This Row],[Family_Income]]&gt;=100000,"Upper",IF(D264&gt;=50000,"Middle","Lower"))</f>
        <v>Lower</v>
      </c>
      <c r="F264" s="2" t="s">
        <v>4</v>
      </c>
      <c r="G264" s="3">
        <f>IF(ISBLANK('Raw sheet'!F264),AVERAGE('Raw sheet'!$F$2:'Raw sheet'!$F$1500),'Raw sheet'!F264)</f>
        <v>3.14</v>
      </c>
      <c r="H264" s="18">
        <v>76.900000000000006</v>
      </c>
      <c r="I264" s="9" t="str">
        <f t="shared" si="8"/>
        <v>Good</v>
      </c>
      <c r="J264" s="2">
        <v>3</v>
      </c>
      <c r="K264" s="2">
        <v>18.5</v>
      </c>
      <c r="L264" s="2" t="s">
        <v>3</v>
      </c>
      <c r="M264" s="2" t="s">
        <v>3</v>
      </c>
      <c r="N264" s="5">
        <f>IF(ISBLANK('Raw sheet'!L264),AVERAGE('Raw sheet'!$L$2:'Raw sheet'!$L$1500),'Raw sheet'!L264)</f>
        <v>6.2</v>
      </c>
      <c r="O264" s="5" t="str">
        <f>IF(Table1[[#This Row],[Stress_Index]]&gt;=8,"High",IF(N264&gt;=5,"Medium","Low"))</f>
        <v>Medium</v>
      </c>
      <c r="P264" s="3">
        <v>1.94</v>
      </c>
      <c r="Q264" s="2">
        <v>1.81</v>
      </c>
      <c r="R264" s="3">
        <v>1.74</v>
      </c>
      <c r="S264" s="3" t="str">
        <f>IF(Table1[[#This Row],[CGPA]]&gt;=3,"High",IF(R263&gt;=2,"Medium","Low"))</f>
        <v>Medium</v>
      </c>
      <c r="T264" s="2" t="s">
        <v>10</v>
      </c>
      <c r="U264" s="2" t="s">
        <v>1</v>
      </c>
      <c r="V264" s="2" t="s">
        <v>15</v>
      </c>
      <c r="W264" s="7">
        <v>1</v>
      </c>
      <c r="X264" t="str">
        <f t="shared" si="9"/>
        <v>Dropped Out</v>
      </c>
    </row>
    <row r="265" spans="1:24" x14ac:dyDescent="0.3">
      <c r="A265" s="2">
        <v>264</v>
      </c>
      <c r="B265" s="7">
        <v>18.7</v>
      </c>
      <c r="C265" s="2" t="s">
        <v>11</v>
      </c>
      <c r="D265" s="7">
        <f>IF(ISBLANK('Raw sheet'!D265),AVERAGE('Raw sheet'!$D$2:'Raw sheet'!$D$1500),'Raw sheet'!D265)</f>
        <v>38587.00282087447</v>
      </c>
      <c r="E265" s="7" t="str">
        <f>IF(Table1[[#This Row],[Family_Income]]&gt;=100000,"Upper",IF(D265&gt;=50000,"Middle","Lower"))</f>
        <v>Lower</v>
      </c>
      <c r="F265" s="2" t="s">
        <v>4</v>
      </c>
      <c r="G265" s="3">
        <f>IF(ISBLANK('Raw sheet'!F265),AVERAGE('Raw sheet'!$F$2:'Raw sheet'!$F$1500),'Raw sheet'!F265)</f>
        <v>4.0178702397743278</v>
      </c>
      <c r="H265" s="18">
        <v>82.9</v>
      </c>
      <c r="I265" s="9" t="str">
        <f t="shared" si="8"/>
        <v>Good</v>
      </c>
      <c r="J265" s="2">
        <v>1</v>
      </c>
      <c r="K265" s="2">
        <v>54.7</v>
      </c>
      <c r="L265" s="2" t="s">
        <v>4</v>
      </c>
      <c r="M265" s="2" t="s">
        <v>4</v>
      </c>
      <c r="N265" s="5">
        <f>IF(ISBLANK('Raw sheet'!L265),AVERAGE('Raw sheet'!$L$2:'Raw sheet'!$L$1500),'Raw sheet'!L265)</f>
        <v>5.5242595204513369</v>
      </c>
      <c r="O265" s="5" t="str">
        <f>IF(Table1[[#This Row],[Stress_Index]]&gt;=8,"High",IF(N265&gt;=5,"Medium","Low"))</f>
        <v>Medium</v>
      </c>
      <c r="P265" s="3">
        <v>2.2599999999999998</v>
      </c>
      <c r="Q265" s="2">
        <v>2.48</v>
      </c>
      <c r="R265" s="3">
        <v>2.44</v>
      </c>
      <c r="S265" s="3" t="str">
        <f>IF(Table1[[#This Row],[CGPA]]&gt;=3,"High",IF(R264&gt;=2,"Medium","Low"))</f>
        <v>Low</v>
      </c>
      <c r="T265" s="2" t="s">
        <v>12</v>
      </c>
      <c r="U265" s="2" t="s">
        <v>14</v>
      </c>
      <c r="V265" s="2" t="s">
        <v>9</v>
      </c>
      <c r="W265" s="7">
        <v>1</v>
      </c>
      <c r="X265" t="str">
        <f t="shared" si="9"/>
        <v>Dropped Out</v>
      </c>
    </row>
    <row r="266" spans="1:24" x14ac:dyDescent="0.3">
      <c r="A266" s="2">
        <v>265</v>
      </c>
      <c r="B266" s="7">
        <v>20.399999999999999</v>
      </c>
      <c r="C266" s="2" t="s">
        <v>11</v>
      </c>
      <c r="D266" s="7">
        <f>IF(ISBLANK('Raw sheet'!D266),AVERAGE('Raw sheet'!$D$2:'Raw sheet'!$D$1500),'Raw sheet'!D266)</f>
        <v>32193</v>
      </c>
      <c r="E266" s="7" t="str">
        <f>IF(Table1[[#This Row],[Family_Income]]&gt;=100000,"Upper",IF(D266&gt;=50000,"Middle","Lower"))</f>
        <v>Lower</v>
      </c>
      <c r="F266" s="2" t="s">
        <v>4</v>
      </c>
      <c r="G266" s="3">
        <f>IF(ISBLANK('Raw sheet'!F266),AVERAGE('Raw sheet'!$F$2:'Raw sheet'!$F$1500),'Raw sheet'!F266)</f>
        <v>3.66</v>
      </c>
      <c r="H266" s="18">
        <v>77.7</v>
      </c>
      <c r="I266" s="9" t="str">
        <f t="shared" si="8"/>
        <v>Good</v>
      </c>
      <c r="J266" s="2">
        <v>2</v>
      </c>
      <c r="K266" s="2">
        <v>27.2</v>
      </c>
      <c r="L266" s="2" t="s">
        <v>4</v>
      </c>
      <c r="M266" s="2" t="s">
        <v>3</v>
      </c>
      <c r="N266" s="5">
        <f>IF(ISBLANK('Raw sheet'!L266),AVERAGE('Raw sheet'!$L$2:'Raw sheet'!$L$1500),'Raw sheet'!L266)</f>
        <v>6.6</v>
      </c>
      <c r="O266" s="5" t="str">
        <f>IF(Table1[[#This Row],[Stress_Index]]&gt;=8,"High",IF(N266&gt;=5,"Medium","Low"))</f>
        <v>Medium</v>
      </c>
      <c r="P266" s="3">
        <v>2.13</v>
      </c>
      <c r="Q266" s="2">
        <v>2.29</v>
      </c>
      <c r="R266" s="3">
        <v>2.29</v>
      </c>
      <c r="S266" s="3" t="str">
        <f>IF(Table1[[#This Row],[CGPA]]&gt;=3,"High",IF(R265&gt;=2,"Medium","Low"))</f>
        <v>Medium</v>
      </c>
      <c r="T266" s="2" t="s">
        <v>2</v>
      </c>
      <c r="U266" s="2" t="s">
        <v>8</v>
      </c>
      <c r="V266" s="2" t="s">
        <v>15</v>
      </c>
      <c r="W266" s="7">
        <v>0</v>
      </c>
      <c r="X266" t="str">
        <f t="shared" si="9"/>
        <v>Active</v>
      </c>
    </row>
    <row r="267" spans="1:24" x14ac:dyDescent="0.3">
      <c r="A267" s="2">
        <v>266</v>
      </c>
      <c r="B267" s="7">
        <v>18.3</v>
      </c>
      <c r="C267" s="2" t="s">
        <v>5</v>
      </c>
      <c r="D267" s="7">
        <f>IF(ISBLANK('Raw sheet'!D267),AVERAGE('Raw sheet'!$D$2:'Raw sheet'!$D$1500),'Raw sheet'!D267)</f>
        <v>25000</v>
      </c>
      <c r="E267" s="7" t="str">
        <f>IF(Table1[[#This Row],[Family_Income]]&gt;=100000,"Upper",IF(D267&gt;=50000,"Middle","Lower"))</f>
        <v>Lower</v>
      </c>
      <c r="F267" s="2" t="s">
        <v>4</v>
      </c>
      <c r="G267" s="3">
        <f>IF(ISBLANK('Raw sheet'!F267),AVERAGE('Raw sheet'!$F$2:'Raw sheet'!$F$1500),'Raw sheet'!F267)</f>
        <v>2.1800000000000002</v>
      </c>
      <c r="H267" s="18">
        <v>78.900000000000006</v>
      </c>
      <c r="I267" s="9" t="str">
        <f t="shared" si="8"/>
        <v>Good</v>
      </c>
      <c r="J267" s="2">
        <v>1</v>
      </c>
      <c r="K267" s="2">
        <v>15.9</v>
      </c>
      <c r="L267" s="2" t="s">
        <v>3</v>
      </c>
      <c r="M267" s="2" t="s">
        <v>4</v>
      </c>
      <c r="N267" s="5">
        <f>IF(ISBLANK('Raw sheet'!L267),AVERAGE('Raw sheet'!$L$2:'Raw sheet'!$L$1500),'Raw sheet'!L267)</f>
        <v>4.8</v>
      </c>
      <c r="O267" s="5" t="str">
        <f>IF(Table1[[#This Row],[Stress_Index]]&gt;=8,"High",IF(N267&gt;=5,"Medium","Low"))</f>
        <v>Low</v>
      </c>
      <c r="P267" s="3">
        <v>3.48</v>
      </c>
      <c r="Q267" s="2">
        <v>3.93</v>
      </c>
      <c r="R267" s="3">
        <v>3.96</v>
      </c>
      <c r="S267" s="3" t="str">
        <f>IF(Table1[[#This Row],[CGPA]]&gt;=3,"High",IF(R266&gt;=2,"Medium","Low"))</f>
        <v>High</v>
      </c>
      <c r="T267" s="2" t="s">
        <v>12</v>
      </c>
      <c r="U267" s="2" t="s">
        <v>1</v>
      </c>
      <c r="V267" s="2" t="s">
        <v>16</v>
      </c>
      <c r="W267" s="7">
        <v>0</v>
      </c>
      <c r="X267" t="str">
        <f t="shared" si="9"/>
        <v>Active</v>
      </c>
    </row>
    <row r="268" spans="1:24" x14ac:dyDescent="0.3">
      <c r="A268" s="2">
        <v>267</v>
      </c>
      <c r="B268" s="7">
        <v>24.6</v>
      </c>
      <c r="C268" s="2" t="s">
        <v>11</v>
      </c>
      <c r="D268" s="7">
        <f>IF(ISBLANK('Raw sheet'!D268),AVERAGE('Raw sheet'!$D$2:'Raw sheet'!$D$1500),'Raw sheet'!D268)</f>
        <v>25000</v>
      </c>
      <c r="E268" s="7" t="str">
        <f>IF(Table1[[#This Row],[Family_Income]]&gt;=100000,"Upper",IF(D268&gt;=50000,"Middle","Lower"))</f>
        <v>Lower</v>
      </c>
      <c r="F268" s="2" t="s">
        <v>4</v>
      </c>
      <c r="G268" s="3">
        <f>IF(ISBLANK('Raw sheet'!F268),AVERAGE('Raw sheet'!$F$2:'Raw sheet'!$F$1500),'Raw sheet'!F268)</f>
        <v>5.28</v>
      </c>
      <c r="H268" s="18">
        <v>71.599999999999994</v>
      </c>
      <c r="I268" s="9" t="str">
        <f t="shared" si="8"/>
        <v>Low</v>
      </c>
      <c r="J268" s="2">
        <v>3</v>
      </c>
      <c r="K268" s="2">
        <v>28.6</v>
      </c>
      <c r="L268" s="2" t="s">
        <v>4</v>
      </c>
      <c r="M268" s="2" t="s">
        <v>3</v>
      </c>
      <c r="N268" s="5">
        <f>IF(ISBLANK('Raw sheet'!L268),AVERAGE('Raw sheet'!$L$2:'Raw sheet'!$L$1500),'Raw sheet'!L268)</f>
        <v>5</v>
      </c>
      <c r="O268" s="5" t="str">
        <f>IF(Table1[[#This Row],[Stress_Index]]&gt;=8,"High",IF(N268&gt;=5,"Medium","Low"))</f>
        <v>Medium</v>
      </c>
      <c r="P268" s="3">
        <v>1.82</v>
      </c>
      <c r="Q268" s="2">
        <v>2.46</v>
      </c>
      <c r="R268" s="3">
        <v>2.39</v>
      </c>
      <c r="S268" s="3" t="str">
        <f>IF(Table1[[#This Row],[CGPA]]&gt;=3,"High",IF(R267&gt;=2,"Medium","Low"))</f>
        <v>Medium</v>
      </c>
      <c r="T268" s="2" t="s">
        <v>10</v>
      </c>
      <c r="U268" s="2" t="s">
        <v>6</v>
      </c>
      <c r="V268" s="2" t="s">
        <v>0</v>
      </c>
      <c r="W268" s="7">
        <v>0</v>
      </c>
      <c r="X268" t="str">
        <f t="shared" si="9"/>
        <v>Active</v>
      </c>
    </row>
    <row r="269" spans="1:24" x14ac:dyDescent="0.3">
      <c r="A269" s="2">
        <v>268</v>
      </c>
      <c r="B269" s="7">
        <v>17.899999999999999</v>
      </c>
      <c r="C269" s="2" t="s">
        <v>11</v>
      </c>
      <c r="D269" s="7">
        <f>IF(ISBLANK('Raw sheet'!D269),AVERAGE('Raw sheet'!$D$2:'Raw sheet'!$D$1500),'Raw sheet'!D269)</f>
        <v>34663</v>
      </c>
      <c r="E269" s="7" t="str">
        <f>IF(Table1[[#This Row],[Family_Income]]&gt;=100000,"Upper",IF(D269&gt;=50000,"Middle","Lower"))</f>
        <v>Lower</v>
      </c>
      <c r="F269" s="2" t="s">
        <v>4</v>
      </c>
      <c r="G269" s="3">
        <f>IF(ISBLANK('Raw sheet'!F269),AVERAGE('Raw sheet'!$F$2:'Raw sheet'!$F$1500),'Raw sheet'!F269)</f>
        <v>4.3600000000000003</v>
      </c>
      <c r="H269" s="18">
        <v>88.1</v>
      </c>
      <c r="I269" s="9" t="str">
        <f t="shared" si="8"/>
        <v>Good</v>
      </c>
      <c r="J269" s="2">
        <v>3</v>
      </c>
      <c r="K269" s="2">
        <v>42.4</v>
      </c>
      <c r="L269" s="2" t="s">
        <v>3</v>
      </c>
      <c r="M269" s="2" t="s">
        <v>3</v>
      </c>
      <c r="N269" s="5">
        <f>IF(ISBLANK('Raw sheet'!L269),AVERAGE('Raw sheet'!$L$2:'Raw sheet'!$L$1500),'Raw sheet'!L269)</f>
        <v>5.2</v>
      </c>
      <c r="O269" s="5" t="str">
        <f>IF(Table1[[#This Row],[Stress_Index]]&gt;=8,"High",IF(N269&gt;=5,"Medium","Low"))</f>
        <v>Medium</v>
      </c>
      <c r="P269" s="3">
        <v>3.44</v>
      </c>
      <c r="Q269" s="2">
        <v>3.05</v>
      </c>
      <c r="R269" s="3">
        <v>3.18</v>
      </c>
      <c r="S269" s="3" t="str">
        <f>IF(Table1[[#This Row],[CGPA]]&gt;=3,"High",IF(R268&gt;=2,"Medium","Low"))</f>
        <v>High</v>
      </c>
      <c r="T269" s="2" t="s">
        <v>10</v>
      </c>
      <c r="U269" s="2" t="s">
        <v>13</v>
      </c>
      <c r="V269" s="2" t="s">
        <v>9</v>
      </c>
      <c r="W269" s="7">
        <v>0</v>
      </c>
      <c r="X269" t="str">
        <f t="shared" si="9"/>
        <v>Active</v>
      </c>
    </row>
    <row r="270" spans="1:24" x14ac:dyDescent="0.3">
      <c r="A270" s="2">
        <v>269</v>
      </c>
      <c r="B270" s="7">
        <v>20</v>
      </c>
      <c r="C270" s="2" t="s">
        <v>11</v>
      </c>
      <c r="D270" s="7">
        <f>IF(ISBLANK('Raw sheet'!D270),AVERAGE('Raw sheet'!$D$2:'Raw sheet'!$D$1500),'Raw sheet'!D270)</f>
        <v>38455</v>
      </c>
      <c r="E270" s="7" t="str">
        <f>IF(Table1[[#This Row],[Family_Income]]&gt;=100000,"Upper",IF(D270&gt;=50000,"Middle","Lower"))</f>
        <v>Lower</v>
      </c>
      <c r="F270" s="2" t="s">
        <v>4</v>
      </c>
      <c r="G270" s="3">
        <f>IF(ISBLANK('Raw sheet'!F270),AVERAGE('Raw sheet'!$F$2:'Raw sheet'!$F$1500),'Raw sheet'!F270)</f>
        <v>4.54</v>
      </c>
      <c r="H270" s="18">
        <v>88.3</v>
      </c>
      <c r="I270" s="9" t="str">
        <f t="shared" si="8"/>
        <v>Good</v>
      </c>
      <c r="J270" s="2">
        <v>0</v>
      </c>
      <c r="K270" s="2">
        <v>44.5</v>
      </c>
      <c r="L270" s="2" t="s">
        <v>3</v>
      </c>
      <c r="M270" s="2" t="s">
        <v>3</v>
      </c>
      <c r="N270" s="5">
        <f>IF(ISBLANK('Raw sheet'!L270),AVERAGE('Raw sheet'!$L$2:'Raw sheet'!$L$1500),'Raw sheet'!L270)</f>
        <v>3.1</v>
      </c>
      <c r="O270" s="5" t="str">
        <f>IF(Table1[[#This Row],[Stress_Index]]&gt;=8,"High",IF(N270&gt;=5,"Medium","Low"))</f>
        <v>Low</v>
      </c>
      <c r="P270" s="3">
        <v>3.8</v>
      </c>
      <c r="Q270" s="2">
        <v>4</v>
      </c>
      <c r="R270" s="3">
        <v>4</v>
      </c>
      <c r="S270" s="3" t="str">
        <f>IF(Table1[[#This Row],[CGPA]]&gt;=3,"High",IF(R269&gt;=2,"Medium","Low"))</f>
        <v>High</v>
      </c>
      <c r="T270" s="2" t="s">
        <v>10</v>
      </c>
      <c r="U270" s="2" t="s">
        <v>8</v>
      </c>
      <c r="V270" s="2" t="s">
        <v>15</v>
      </c>
      <c r="W270" s="7">
        <v>0</v>
      </c>
      <c r="X270" t="str">
        <f t="shared" si="9"/>
        <v>Active</v>
      </c>
    </row>
    <row r="271" spans="1:24" x14ac:dyDescent="0.3">
      <c r="A271" s="2">
        <v>270</v>
      </c>
      <c r="B271" s="7">
        <v>21.3</v>
      </c>
      <c r="C271" s="2" t="s">
        <v>5</v>
      </c>
      <c r="D271" s="7">
        <f>IF(ISBLANK('Raw sheet'!D271),AVERAGE('Raw sheet'!$D$2:'Raw sheet'!$D$1500),'Raw sheet'!D271)</f>
        <v>26302</v>
      </c>
      <c r="E271" s="7" t="str">
        <f>IF(Table1[[#This Row],[Family_Income]]&gt;=100000,"Upper",IF(D271&gt;=50000,"Middle","Lower"))</f>
        <v>Lower</v>
      </c>
      <c r="F271" s="2" t="s">
        <v>4</v>
      </c>
      <c r="G271" s="3">
        <f>IF(ISBLANK('Raw sheet'!F271),AVERAGE('Raw sheet'!$F$2:'Raw sheet'!$F$1500),'Raw sheet'!F271)</f>
        <v>3.43</v>
      </c>
      <c r="H271" s="18">
        <v>88.2</v>
      </c>
      <c r="I271" s="9" t="str">
        <f t="shared" si="8"/>
        <v>Good</v>
      </c>
      <c r="J271" s="2">
        <v>2</v>
      </c>
      <c r="K271" s="2">
        <v>12.5</v>
      </c>
      <c r="L271" s="2" t="s">
        <v>3</v>
      </c>
      <c r="M271" s="2" t="s">
        <v>3</v>
      </c>
      <c r="N271" s="5">
        <f>IF(ISBLANK('Raw sheet'!L271),AVERAGE('Raw sheet'!$L$2:'Raw sheet'!$L$1500),'Raw sheet'!L271)</f>
        <v>4.7</v>
      </c>
      <c r="O271" s="5" t="str">
        <f>IF(Table1[[#This Row],[Stress_Index]]&gt;=8,"High",IF(N271&gt;=5,"Medium","Low"))</f>
        <v>Low</v>
      </c>
      <c r="P271" s="3">
        <v>1.7</v>
      </c>
      <c r="Q271" s="2">
        <v>1.57</v>
      </c>
      <c r="R271" s="3">
        <v>1.55</v>
      </c>
      <c r="S271" s="3" t="str">
        <f>IF(Table1[[#This Row],[CGPA]]&gt;=3,"High",IF(R270&gt;=2,"Medium","Low"))</f>
        <v>Medium</v>
      </c>
      <c r="T271" s="2" t="s">
        <v>12</v>
      </c>
      <c r="U271" s="2" t="s">
        <v>6</v>
      </c>
      <c r="V271" s="2" t="s">
        <v>9</v>
      </c>
      <c r="W271" s="7">
        <v>0</v>
      </c>
      <c r="X271" t="str">
        <f t="shared" si="9"/>
        <v>Active</v>
      </c>
    </row>
    <row r="272" spans="1:24" x14ac:dyDescent="0.3">
      <c r="A272" s="2">
        <v>271</v>
      </c>
      <c r="B272" s="7">
        <v>24.2</v>
      </c>
      <c r="C272" s="2" t="s">
        <v>5</v>
      </c>
      <c r="D272" s="7">
        <f>IF(ISBLANK('Raw sheet'!D272),AVERAGE('Raw sheet'!$D$2:'Raw sheet'!$D$1500),'Raw sheet'!D272)</f>
        <v>44629</v>
      </c>
      <c r="E272" s="7" t="str">
        <f>IF(Table1[[#This Row],[Family_Income]]&gt;=100000,"Upper",IF(D272&gt;=50000,"Middle","Lower"))</f>
        <v>Lower</v>
      </c>
      <c r="F272" s="2" t="s">
        <v>4</v>
      </c>
      <c r="G272" s="3">
        <f>IF(ISBLANK('Raw sheet'!F272),AVERAGE('Raw sheet'!$F$2:'Raw sheet'!$F$1500),'Raw sheet'!F272)</f>
        <v>5.4</v>
      </c>
      <c r="H272" s="18">
        <v>78.599999999999994</v>
      </c>
      <c r="I272" s="9" t="str">
        <f t="shared" si="8"/>
        <v>Good</v>
      </c>
      <c r="J272" s="2">
        <v>2</v>
      </c>
      <c r="K272" s="2">
        <v>20.8</v>
      </c>
      <c r="L272" s="2" t="s">
        <v>3</v>
      </c>
      <c r="M272" s="2" t="s">
        <v>4</v>
      </c>
      <c r="N272" s="5">
        <f>IF(ISBLANK('Raw sheet'!L272),AVERAGE('Raw sheet'!$L$2:'Raw sheet'!$L$1500),'Raw sheet'!L272)</f>
        <v>4.5999999999999996</v>
      </c>
      <c r="O272" s="5" t="str">
        <f>IF(Table1[[#This Row],[Stress_Index]]&gt;=8,"High",IF(N272&gt;=5,"Medium","Low"))</f>
        <v>Low</v>
      </c>
      <c r="P272" s="3">
        <v>4</v>
      </c>
      <c r="Q272" s="2">
        <v>3.98</v>
      </c>
      <c r="R272" s="3">
        <v>3.93</v>
      </c>
      <c r="S272" s="3" t="str">
        <f>IF(Table1[[#This Row],[CGPA]]&gt;=3,"High",IF(R271&gt;=2,"Medium","Low"))</f>
        <v>High</v>
      </c>
      <c r="T272" s="2" t="s">
        <v>12</v>
      </c>
      <c r="U272" s="2" t="s">
        <v>1</v>
      </c>
      <c r="V272" s="2" t="s">
        <v>15</v>
      </c>
      <c r="W272" s="7">
        <v>0</v>
      </c>
      <c r="X272" t="str">
        <f t="shared" si="9"/>
        <v>Active</v>
      </c>
    </row>
    <row r="273" spans="1:24" x14ac:dyDescent="0.3">
      <c r="A273" s="2">
        <v>272</v>
      </c>
      <c r="B273" s="7">
        <v>17.8</v>
      </c>
      <c r="C273" s="2" t="s">
        <v>5</v>
      </c>
      <c r="D273" s="7">
        <f>IF(ISBLANK('Raw sheet'!D273),AVERAGE('Raw sheet'!$D$2:'Raw sheet'!$D$1500),'Raw sheet'!D273)</f>
        <v>27845</v>
      </c>
      <c r="E273" s="7" t="str">
        <f>IF(Table1[[#This Row],[Family_Income]]&gt;=100000,"Upper",IF(D273&gt;=50000,"Middle","Lower"))</f>
        <v>Lower</v>
      </c>
      <c r="F273" s="2" t="s">
        <v>4</v>
      </c>
      <c r="G273" s="3">
        <f>IF(ISBLANK('Raw sheet'!F273),AVERAGE('Raw sheet'!$F$2:'Raw sheet'!$F$1500),'Raw sheet'!F273)</f>
        <v>4.6399999999999997</v>
      </c>
      <c r="H273" s="18">
        <v>84.7</v>
      </c>
      <c r="I273" s="9" t="str">
        <f t="shared" si="8"/>
        <v>Good</v>
      </c>
      <c r="J273" s="2">
        <v>2</v>
      </c>
      <c r="K273" s="2">
        <v>32.700000000000003</v>
      </c>
      <c r="L273" s="2" t="s">
        <v>3</v>
      </c>
      <c r="M273" s="2" t="s">
        <v>3</v>
      </c>
      <c r="N273" s="5">
        <f>IF(ISBLANK('Raw sheet'!L273),AVERAGE('Raw sheet'!$L$2:'Raw sheet'!$L$1500),'Raw sheet'!L273)</f>
        <v>10</v>
      </c>
      <c r="O273" s="5" t="str">
        <f>IF(Table1[[#This Row],[Stress_Index]]&gt;=8,"High",IF(N273&gt;=5,"Medium","Low"))</f>
        <v>High</v>
      </c>
      <c r="P273" s="3">
        <v>0</v>
      </c>
      <c r="Q273" s="2">
        <v>0.09</v>
      </c>
      <c r="R273" s="3">
        <v>0.22</v>
      </c>
      <c r="S273" s="3" t="str">
        <f>IF(Table1[[#This Row],[CGPA]]&gt;=3,"High",IF(R272&gt;=2,"Medium","Low"))</f>
        <v>Medium</v>
      </c>
      <c r="T273" s="2" t="s">
        <v>12</v>
      </c>
      <c r="U273" s="2" t="s">
        <v>8</v>
      </c>
      <c r="V273" s="2" t="s">
        <v>9</v>
      </c>
      <c r="W273" s="7">
        <v>1</v>
      </c>
      <c r="X273" t="str">
        <f t="shared" si="9"/>
        <v>Dropped Out</v>
      </c>
    </row>
    <row r="274" spans="1:24" x14ac:dyDescent="0.3">
      <c r="A274" s="2">
        <v>273</v>
      </c>
      <c r="B274" s="7">
        <v>23.6</v>
      </c>
      <c r="C274" s="2" t="s">
        <v>5</v>
      </c>
      <c r="D274" s="7">
        <f>IF(ISBLANK('Raw sheet'!D274),AVERAGE('Raw sheet'!$D$2:'Raw sheet'!$D$1500),'Raw sheet'!D274)</f>
        <v>29977</v>
      </c>
      <c r="E274" s="7" t="str">
        <f>IF(Table1[[#This Row],[Family_Income]]&gt;=100000,"Upper",IF(D274&gt;=50000,"Middle","Lower"))</f>
        <v>Lower</v>
      </c>
      <c r="F274" s="2" t="s">
        <v>4</v>
      </c>
      <c r="G274" s="3">
        <f>IF(ISBLANK('Raw sheet'!F274),AVERAGE('Raw sheet'!$F$2:'Raw sheet'!$F$1500),'Raw sheet'!F274)</f>
        <v>4.25</v>
      </c>
      <c r="H274" s="18">
        <v>98</v>
      </c>
      <c r="I274" s="9" t="str">
        <f t="shared" si="8"/>
        <v>Good</v>
      </c>
      <c r="J274" s="2">
        <v>0</v>
      </c>
      <c r="K274" s="2">
        <v>29.6</v>
      </c>
      <c r="L274" s="2" t="s">
        <v>4</v>
      </c>
      <c r="M274" s="2" t="s">
        <v>3</v>
      </c>
      <c r="N274" s="5">
        <f>IF(ISBLANK('Raw sheet'!L274),AVERAGE('Raw sheet'!$L$2:'Raw sheet'!$L$1500),'Raw sheet'!L274)</f>
        <v>7.2</v>
      </c>
      <c r="O274" s="5" t="str">
        <f>IF(Table1[[#This Row],[Stress_Index]]&gt;=8,"High",IF(N274&gt;=5,"Medium","Low"))</f>
        <v>Medium</v>
      </c>
      <c r="P274" s="3">
        <v>1.02</v>
      </c>
      <c r="Q274" s="2">
        <v>1.1299999999999999</v>
      </c>
      <c r="R274" s="3">
        <v>1.19</v>
      </c>
      <c r="S274" s="3" t="str">
        <f>IF(Table1[[#This Row],[CGPA]]&gt;=3,"High",IF(R273&gt;=2,"Medium","Low"))</f>
        <v>Low</v>
      </c>
      <c r="T274" s="2" t="s">
        <v>10</v>
      </c>
      <c r="U274" s="2" t="s">
        <v>6</v>
      </c>
      <c r="V274" s="2" t="s">
        <v>15</v>
      </c>
      <c r="W274" s="7">
        <v>1</v>
      </c>
      <c r="X274" t="str">
        <f t="shared" si="9"/>
        <v>Dropped Out</v>
      </c>
    </row>
    <row r="275" spans="1:24" x14ac:dyDescent="0.3">
      <c r="A275" s="2">
        <v>274</v>
      </c>
      <c r="B275" s="7">
        <v>21</v>
      </c>
      <c r="C275" s="2" t="s">
        <v>11</v>
      </c>
      <c r="D275" s="7">
        <f>IF(ISBLANK('Raw sheet'!D275),AVERAGE('Raw sheet'!$D$2:'Raw sheet'!$D$1500),'Raw sheet'!D275)</f>
        <v>34579</v>
      </c>
      <c r="E275" s="7" t="str">
        <f>IF(Table1[[#This Row],[Family_Income]]&gt;=100000,"Upper",IF(D275&gt;=50000,"Middle","Lower"))</f>
        <v>Lower</v>
      </c>
      <c r="F275" s="2" t="s">
        <v>4</v>
      </c>
      <c r="G275" s="3">
        <f>IF(ISBLANK('Raw sheet'!F275),AVERAGE('Raw sheet'!$F$2:'Raw sheet'!$F$1500),'Raw sheet'!F275)</f>
        <v>5.3</v>
      </c>
      <c r="H275" s="18">
        <v>84.3</v>
      </c>
      <c r="I275" s="9" t="str">
        <f t="shared" si="8"/>
        <v>Good</v>
      </c>
      <c r="J275" s="2">
        <v>3</v>
      </c>
      <c r="K275" s="2">
        <v>10.8</v>
      </c>
      <c r="L275" s="2" t="s">
        <v>3</v>
      </c>
      <c r="M275" s="2" t="s">
        <v>3</v>
      </c>
      <c r="N275" s="5">
        <f>IF(ISBLANK('Raw sheet'!L275),AVERAGE('Raw sheet'!$L$2:'Raw sheet'!$L$1500),'Raw sheet'!L275)</f>
        <v>3.6</v>
      </c>
      <c r="O275" s="5" t="str">
        <f>IF(Table1[[#This Row],[Stress_Index]]&gt;=8,"High",IF(N275&gt;=5,"Medium","Low"))</f>
        <v>Low</v>
      </c>
      <c r="P275" s="3">
        <v>4</v>
      </c>
      <c r="Q275" s="2">
        <v>3.74</v>
      </c>
      <c r="R275" s="3">
        <v>3.71</v>
      </c>
      <c r="S275" s="3" t="str">
        <f>IF(Table1[[#This Row],[CGPA]]&gt;=3,"High",IF(R274&gt;=2,"Medium","Low"))</f>
        <v>High</v>
      </c>
      <c r="T275" s="2" t="s">
        <v>7</v>
      </c>
      <c r="U275" s="2" t="s">
        <v>13</v>
      </c>
      <c r="V275" s="2" t="s">
        <v>0</v>
      </c>
      <c r="W275" s="7">
        <v>0</v>
      </c>
      <c r="X275" t="str">
        <f t="shared" si="9"/>
        <v>Active</v>
      </c>
    </row>
    <row r="276" spans="1:24" x14ac:dyDescent="0.3">
      <c r="A276" s="2">
        <v>275</v>
      </c>
      <c r="B276" s="7">
        <v>18.8</v>
      </c>
      <c r="C276" s="2" t="s">
        <v>5</v>
      </c>
      <c r="D276" s="7">
        <f>IF(ISBLANK('Raw sheet'!D276),AVERAGE('Raw sheet'!$D$2:'Raw sheet'!$D$1500),'Raw sheet'!D276)</f>
        <v>51855</v>
      </c>
      <c r="E276" s="7" t="str">
        <f>IF(Table1[[#This Row],[Family_Income]]&gt;=100000,"Upper",IF(D276&gt;=50000,"Middle","Lower"))</f>
        <v>Middle</v>
      </c>
      <c r="F276" s="2" t="s">
        <v>4</v>
      </c>
      <c r="G276" s="3">
        <f>IF(ISBLANK('Raw sheet'!F276),AVERAGE('Raw sheet'!$F$2:'Raw sheet'!$F$1500),'Raw sheet'!F276)</f>
        <v>1.83</v>
      </c>
      <c r="H276" s="18">
        <v>72.8</v>
      </c>
      <c r="I276" s="9" t="str">
        <f t="shared" si="8"/>
        <v>Low</v>
      </c>
      <c r="J276" s="2">
        <v>2</v>
      </c>
      <c r="K276" s="2">
        <v>12.7</v>
      </c>
      <c r="L276" s="2" t="s">
        <v>4</v>
      </c>
      <c r="M276" s="2" t="s">
        <v>3</v>
      </c>
      <c r="N276" s="5">
        <f>IF(ISBLANK('Raw sheet'!L276),AVERAGE('Raw sheet'!$L$2:'Raw sheet'!$L$1500),'Raw sheet'!L276)</f>
        <v>2.7</v>
      </c>
      <c r="O276" s="5" t="str">
        <f>IF(Table1[[#This Row],[Stress_Index]]&gt;=8,"High",IF(N276&gt;=5,"Medium","Low"))</f>
        <v>Low</v>
      </c>
      <c r="P276" s="3">
        <v>1.06</v>
      </c>
      <c r="Q276" s="2">
        <v>1.02</v>
      </c>
      <c r="R276" s="3">
        <v>1.02</v>
      </c>
      <c r="S276" s="3" t="str">
        <f>IF(Table1[[#This Row],[CGPA]]&gt;=3,"High",IF(R275&gt;=2,"Medium","Low"))</f>
        <v>Medium</v>
      </c>
      <c r="T276" s="2" t="s">
        <v>2</v>
      </c>
      <c r="U276" s="2" t="s">
        <v>6</v>
      </c>
      <c r="V276" s="2" t="s">
        <v>9</v>
      </c>
      <c r="W276" s="7">
        <v>0</v>
      </c>
      <c r="X276" t="str">
        <f t="shared" si="9"/>
        <v>Active</v>
      </c>
    </row>
    <row r="277" spans="1:24" x14ac:dyDescent="0.3">
      <c r="A277" s="2">
        <v>276</v>
      </c>
      <c r="B277" s="7">
        <v>22</v>
      </c>
      <c r="C277" s="2" t="s">
        <v>11</v>
      </c>
      <c r="D277" s="7">
        <f>IF(ISBLANK('Raw sheet'!D277),AVERAGE('Raw sheet'!$D$2:'Raw sheet'!$D$1500),'Raw sheet'!D277)</f>
        <v>25000</v>
      </c>
      <c r="E277" s="7" t="str">
        <f>IF(Table1[[#This Row],[Family_Income]]&gt;=100000,"Upper",IF(D277&gt;=50000,"Middle","Lower"))</f>
        <v>Lower</v>
      </c>
      <c r="F277" s="2" t="s">
        <v>4</v>
      </c>
      <c r="G277" s="3">
        <f>IF(ISBLANK('Raw sheet'!F277),AVERAGE('Raw sheet'!$F$2:'Raw sheet'!$F$1500),'Raw sheet'!F277)</f>
        <v>4.25</v>
      </c>
      <c r="H277" s="18">
        <v>75.2</v>
      </c>
      <c r="I277" s="9" t="str">
        <f t="shared" si="8"/>
        <v>Good</v>
      </c>
      <c r="J277" s="2">
        <v>1</v>
      </c>
      <c r="K277" s="2">
        <v>17.2</v>
      </c>
      <c r="L277" s="2" t="s">
        <v>4</v>
      </c>
      <c r="M277" s="2" t="s">
        <v>3</v>
      </c>
      <c r="N277" s="5">
        <f>IF(ISBLANK('Raw sheet'!L277),AVERAGE('Raw sheet'!$L$2:'Raw sheet'!$L$1500),'Raw sheet'!L277)</f>
        <v>3.1</v>
      </c>
      <c r="O277" s="5" t="str">
        <f>IF(Table1[[#This Row],[Stress_Index]]&gt;=8,"High",IF(N277&gt;=5,"Medium","Low"))</f>
        <v>Low</v>
      </c>
      <c r="P277" s="3">
        <v>0.86</v>
      </c>
      <c r="Q277" s="2">
        <v>1.08</v>
      </c>
      <c r="R277" s="3">
        <v>1.1299999999999999</v>
      </c>
      <c r="S277" s="3" t="str">
        <f>IF(Table1[[#This Row],[CGPA]]&gt;=3,"High",IF(R276&gt;=2,"Medium","Low"))</f>
        <v>Low</v>
      </c>
      <c r="T277" s="2" t="s">
        <v>7</v>
      </c>
      <c r="U277" s="2" t="s">
        <v>8</v>
      </c>
      <c r="V277" s="2" t="s">
        <v>9</v>
      </c>
      <c r="W277" s="7">
        <v>1</v>
      </c>
      <c r="X277" t="str">
        <f t="shared" si="9"/>
        <v>Dropped Out</v>
      </c>
    </row>
    <row r="278" spans="1:24" x14ac:dyDescent="0.3">
      <c r="A278" s="2">
        <v>277</v>
      </c>
      <c r="B278" s="7">
        <v>21.4</v>
      </c>
      <c r="C278" s="2" t="s">
        <v>5</v>
      </c>
      <c r="D278" s="7">
        <f>IF(ISBLANK('Raw sheet'!D278),AVERAGE('Raw sheet'!$D$2:'Raw sheet'!$D$1500),'Raw sheet'!D278)</f>
        <v>25000</v>
      </c>
      <c r="E278" s="7" t="str">
        <f>IF(Table1[[#This Row],[Family_Income]]&gt;=100000,"Upper",IF(D278&gt;=50000,"Middle","Lower"))</f>
        <v>Lower</v>
      </c>
      <c r="F278" s="2" t="s">
        <v>3</v>
      </c>
      <c r="G278" s="3">
        <f>IF(ISBLANK('Raw sheet'!F278),AVERAGE('Raw sheet'!$F$2:'Raw sheet'!$F$1500),'Raw sheet'!F278)</f>
        <v>3.13</v>
      </c>
      <c r="H278" s="18">
        <v>74.8</v>
      </c>
      <c r="I278" s="9" t="str">
        <f t="shared" si="8"/>
        <v>Low</v>
      </c>
      <c r="J278" s="2">
        <v>0</v>
      </c>
      <c r="K278" s="2">
        <v>8.6999999999999993</v>
      </c>
      <c r="L278" s="2" t="s">
        <v>4</v>
      </c>
      <c r="M278" s="2" t="s">
        <v>4</v>
      </c>
      <c r="N278" s="5">
        <f>IF(ISBLANK('Raw sheet'!L278),AVERAGE('Raw sheet'!$L$2:'Raw sheet'!$L$1500),'Raw sheet'!L278)</f>
        <v>8</v>
      </c>
      <c r="O278" s="5" t="str">
        <f>IF(Table1[[#This Row],[Stress_Index]]&gt;=8,"High",IF(N278&gt;=5,"Medium","Low"))</f>
        <v>High</v>
      </c>
      <c r="P278" s="3">
        <v>2.14</v>
      </c>
      <c r="Q278" s="2">
        <v>2.67</v>
      </c>
      <c r="R278" s="3">
        <v>2.67</v>
      </c>
      <c r="S278" s="3" t="str">
        <f>IF(Table1[[#This Row],[CGPA]]&gt;=3,"High",IF(R277&gt;=2,"Medium","Low"))</f>
        <v>Low</v>
      </c>
      <c r="T278" s="2" t="s">
        <v>10</v>
      </c>
      <c r="U278" s="2" t="s">
        <v>8</v>
      </c>
      <c r="V278" s="2" t="s">
        <v>9</v>
      </c>
      <c r="W278" s="7">
        <v>0</v>
      </c>
      <c r="X278" t="str">
        <f t="shared" si="9"/>
        <v>Active</v>
      </c>
    </row>
    <row r="279" spans="1:24" x14ac:dyDescent="0.3">
      <c r="A279" s="2">
        <v>278</v>
      </c>
      <c r="B279" s="7">
        <v>19.7</v>
      </c>
      <c r="C279" s="2" t="s">
        <v>5</v>
      </c>
      <c r="D279" s="7">
        <f>IF(ISBLANK('Raw sheet'!D279),AVERAGE('Raw sheet'!$D$2:'Raw sheet'!$D$1500),'Raw sheet'!D279)</f>
        <v>25000</v>
      </c>
      <c r="E279" s="7" t="str">
        <f>IF(Table1[[#This Row],[Family_Income]]&gt;=100000,"Upper",IF(D279&gt;=50000,"Middle","Lower"))</f>
        <v>Lower</v>
      </c>
      <c r="F279" s="2" t="s">
        <v>4</v>
      </c>
      <c r="G279" s="3">
        <f>IF(ISBLANK('Raw sheet'!F279),AVERAGE('Raw sheet'!$F$2:'Raw sheet'!$F$1500),'Raw sheet'!F279)</f>
        <v>3.06</v>
      </c>
      <c r="H279" s="18">
        <v>92.6</v>
      </c>
      <c r="I279" s="9" t="str">
        <f t="shared" si="8"/>
        <v>Good</v>
      </c>
      <c r="J279" s="2">
        <v>3</v>
      </c>
      <c r="K279" s="2">
        <v>24.5</v>
      </c>
      <c r="L279" s="2" t="s">
        <v>4</v>
      </c>
      <c r="M279" s="2" t="s">
        <v>3</v>
      </c>
      <c r="N279" s="5">
        <f>IF(ISBLANK('Raw sheet'!L279),AVERAGE('Raw sheet'!$L$2:'Raw sheet'!$L$1500),'Raw sheet'!L279)</f>
        <v>3.1</v>
      </c>
      <c r="O279" s="5" t="str">
        <f>IF(Table1[[#This Row],[Stress_Index]]&gt;=8,"High",IF(N279&gt;=5,"Medium","Low"))</f>
        <v>Low</v>
      </c>
      <c r="P279" s="3">
        <v>3.03</v>
      </c>
      <c r="Q279" s="2">
        <v>3.01</v>
      </c>
      <c r="R279" s="3">
        <v>3.04</v>
      </c>
      <c r="S279" s="3" t="str">
        <f>IF(Table1[[#This Row],[CGPA]]&gt;=3,"High",IF(R278&gt;=2,"Medium","Low"))</f>
        <v>High</v>
      </c>
      <c r="T279" s="2" t="s">
        <v>10</v>
      </c>
      <c r="U279" s="2" t="s">
        <v>14</v>
      </c>
      <c r="V279" s="2" t="s">
        <v>15</v>
      </c>
      <c r="W279" s="7">
        <v>0</v>
      </c>
      <c r="X279" t="str">
        <f t="shared" si="9"/>
        <v>Active</v>
      </c>
    </row>
    <row r="280" spans="1:24" x14ac:dyDescent="0.3">
      <c r="A280" s="2">
        <v>279</v>
      </c>
      <c r="B280" s="7">
        <v>21.2</v>
      </c>
      <c r="C280" s="2" t="s">
        <v>11</v>
      </c>
      <c r="D280" s="7">
        <f>IF(ISBLANK('Raw sheet'!D280),AVERAGE('Raw sheet'!$D$2:'Raw sheet'!$D$1500),'Raw sheet'!D280)</f>
        <v>25000</v>
      </c>
      <c r="E280" s="7" t="str">
        <f>IF(Table1[[#This Row],[Family_Income]]&gt;=100000,"Upper",IF(D280&gt;=50000,"Middle","Lower"))</f>
        <v>Lower</v>
      </c>
      <c r="F280" s="2" t="s">
        <v>4</v>
      </c>
      <c r="G280" s="3">
        <f>IF(ISBLANK('Raw sheet'!F280),AVERAGE('Raw sheet'!$F$2:'Raw sheet'!$F$1500),'Raw sheet'!F280)</f>
        <v>5.04</v>
      </c>
      <c r="H280" s="18">
        <v>85.2</v>
      </c>
      <c r="I280" s="9" t="str">
        <f t="shared" si="8"/>
        <v>Good</v>
      </c>
      <c r="J280" s="2">
        <v>1</v>
      </c>
      <c r="K280" s="2">
        <v>44.3</v>
      </c>
      <c r="L280" s="2" t="s">
        <v>4</v>
      </c>
      <c r="M280" s="2" t="s">
        <v>3</v>
      </c>
      <c r="N280" s="5">
        <f>IF(ISBLANK('Raw sheet'!L280),AVERAGE('Raw sheet'!$L$2:'Raw sheet'!$L$1500),'Raw sheet'!L280)</f>
        <v>8.4</v>
      </c>
      <c r="O280" s="5" t="str">
        <f>IF(Table1[[#This Row],[Stress_Index]]&gt;=8,"High",IF(N280&gt;=5,"Medium","Low"))</f>
        <v>High</v>
      </c>
      <c r="P280" s="3">
        <v>2.04</v>
      </c>
      <c r="Q280" s="2">
        <v>2.08</v>
      </c>
      <c r="R280" s="3">
        <v>2.0499999999999998</v>
      </c>
      <c r="S280" s="3" t="str">
        <f>IF(Table1[[#This Row],[CGPA]]&gt;=3,"High",IF(R279&gt;=2,"Medium","Low"))</f>
        <v>Medium</v>
      </c>
      <c r="T280" s="2" t="s">
        <v>10</v>
      </c>
      <c r="U280" s="2" t="s">
        <v>8</v>
      </c>
      <c r="V280" s="2" t="s">
        <v>17</v>
      </c>
      <c r="W280" s="7">
        <v>0</v>
      </c>
      <c r="X280" t="str">
        <f t="shared" si="9"/>
        <v>Active</v>
      </c>
    </row>
    <row r="281" spans="1:24" x14ac:dyDescent="0.3">
      <c r="A281" s="2">
        <v>280</v>
      </c>
      <c r="B281" s="7">
        <v>20.2</v>
      </c>
      <c r="C281" s="2" t="s">
        <v>5</v>
      </c>
      <c r="D281" s="7">
        <f>IF(ISBLANK('Raw sheet'!D281),AVERAGE('Raw sheet'!$D$2:'Raw sheet'!$D$1500),'Raw sheet'!D281)</f>
        <v>69964</v>
      </c>
      <c r="E281" s="7" t="str">
        <f>IF(Table1[[#This Row],[Family_Income]]&gt;=100000,"Upper",IF(D281&gt;=50000,"Middle","Lower"))</f>
        <v>Middle</v>
      </c>
      <c r="F281" s="2" t="s">
        <v>4</v>
      </c>
      <c r="G281" s="3">
        <f>IF(ISBLANK('Raw sheet'!F281),AVERAGE('Raw sheet'!$F$2:'Raw sheet'!$F$1500),'Raw sheet'!F281)</f>
        <v>5.78</v>
      </c>
      <c r="H281" s="18">
        <v>69.400000000000006</v>
      </c>
      <c r="I281" s="9" t="str">
        <f t="shared" si="8"/>
        <v>Low</v>
      </c>
      <c r="J281" s="2">
        <v>1</v>
      </c>
      <c r="K281" s="2">
        <v>22</v>
      </c>
      <c r="L281" s="2" t="s">
        <v>3</v>
      </c>
      <c r="M281" s="2" t="s">
        <v>4</v>
      </c>
      <c r="N281" s="5">
        <f>IF(ISBLANK('Raw sheet'!L281),AVERAGE('Raw sheet'!$L$2:'Raw sheet'!$L$1500),'Raw sheet'!L281)</f>
        <v>5.9</v>
      </c>
      <c r="O281" s="5" t="str">
        <f>IF(Table1[[#This Row],[Stress_Index]]&gt;=8,"High",IF(N281&gt;=5,"Medium","Low"))</f>
        <v>Medium</v>
      </c>
      <c r="P281" s="3">
        <v>3.82</v>
      </c>
      <c r="Q281" s="2">
        <v>3.98</v>
      </c>
      <c r="R281" s="3">
        <v>3.94</v>
      </c>
      <c r="S281" s="3" t="str">
        <f>IF(Table1[[#This Row],[CGPA]]&gt;=3,"High",IF(R280&gt;=2,"Medium","Low"))</f>
        <v>High</v>
      </c>
      <c r="T281" s="2" t="s">
        <v>7</v>
      </c>
      <c r="U281" s="2" t="s">
        <v>6</v>
      </c>
      <c r="V281" s="2" t="s">
        <v>15</v>
      </c>
      <c r="W281" s="7">
        <v>0</v>
      </c>
      <c r="X281" t="str">
        <f t="shared" si="9"/>
        <v>Active</v>
      </c>
    </row>
    <row r="282" spans="1:24" x14ac:dyDescent="0.3">
      <c r="A282" s="2">
        <v>281</v>
      </c>
      <c r="B282" s="7">
        <v>21.2</v>
      </c>
      <c r="C282" s="2" t="s">
        <v>11</v>
      </c>
      <c r="D282" s="7">
        <f>IF(ISBLANK('Raw sheet'!D282),AVERAGE('Raw sheet'!$D$2:'Raw sheet'!$D$1500),'Raw sheet'!D282)</f>
        <v>41925</v>
      </c>
      <c r="E282" s="7" t="str">
        <f>IF(Table1[[#This Row],[Family_Income]]&gt;=100000,"Upper",IF(D282&gt;=50000,"Middle","Lower"))</f>
        <v>Lower</v>
      </c>
      <c r="F282" s="2" t="s">
        <v>4</v>
      </c>
      <c r="G282" s="3">
        <f>IF(ISBLANK('Raw sheet'!F282),AVERAGE('Raw sheet'!$F$2:'Raw sheet'!$F$1500),'Raw sheet'!F282)</f>
        <v>5.65</v>
      </c>
      <c r="H282" s="18">
        <v>92.4</v>
      </c>
      <c r="I282" s="9" t="str">
        <f t="shared" si="8"/>
        <v>Good</v>
      </c>
      <c r="J282" s="2">
        <v>1</v>
      </c>
      <c r="K282" s="2">
        <v>43</v>
      </c>
      <c r="L282" s="2" t="s">
        <v>4</v>
      </c>
      <c r="M282" s="2" t="s">
        <v>3</v>
      </c>
      <c r="N282" s="5">
        <f>IF(ISBLANK('Raw sheet'!L282),AVERAGE('Raw sheet'!$L$2:'Raw sheet'!$L$1500),'Raw sheet'!L282)</f>
        <v>5.0999999999999996</v>
      </c>
      <c r="O282" s="5" t="str">
        <f>IF(Table1[[#This Row],[Stress_Index]]&gt;=8,"High",IF(N282&gt;=5,"Medium","Low"))</f>
        <v>Medium</v>
      </c>
      <c r="P282" s="3">
        <v>3.74</v>
      </c>
      <c r="Q282" s="2">
        <v>3.41</v>
      </c>
      <c r="R282" s="3">
        <v>3.42</v>
      </c>
      <c r="S282" s="3" t="str">
        <f>IF(Table1[[#This Row],[CGPA]]&gt;=3,"High",IF(R281&gt;=2,"Medium","Low"))</f>
        <v>High</v>
      </c>
      <c r="T282" s="2" t="s">
        <v>12</v>
      </c>
      <c r="U282" s="2" t="s">
        <v>6</v>
      </c>
      <c r="V282" s="2" t="s">
        <v>0</v>
      </c>
      <c r="W282" s="7">
        <v>0</v>
      </c>
      <c r="X282" t="str">
        <f t="shared" si="9"/>
        <v>Active</v>
      </c>
    </row>
    <row r="283" spans="1:24" x14ac:dyDescent="0.3">
      <c r="A283" s="2">
        <v>282</v>
      </c>
      <c r="B283" s="7">
        <v>22.5</v>
      </c>
      <c r="C283" s="2" t="s">
        <v>5</v>
      </c>
      <c r="D283" s="7">
        <f>IF(ISBLANK('Raw sheet'!D283),AVERAGE('Raw sheet'!$D$2:'Raw sheet'!$D$1500),'Raw sheet'!D283)</f>
        <v>25000</v>
      </c>
      <c r="E283" s="7" t="str">
        <f>IF(Table1[[#This Row],[Family_Income]]&gt;=100000,"Upper",IF(D283&gt;=50000,"Middle","Lower"))</f>
        <v>Lower</v>
      </c>
      <c r="F283" s="2" t="s">
        <v>4</v>
      </c>
      <c r="G283" s="3">
        <f>IF(ISBLANK('Raw sheet'!F283),AVERAGE('Raw sheet'!$F$2:'Raw sheet'!$F$1500),'Raw sheet'!F283)</f>
        <v>4.01</v>
      </c>
      <c r="H283" s="18">
        <v>86.5</v>
      </c>
      <c r="I283" s="9" t="str">
        <f t="shared" si="8"/>
        <v>Good</v>
      </c>
      <c r="J283" s="2">
        <v>0</v>
      </c>
      <c r="K283" s="2">
        <v>30.4</v>
      </c>
      <c r="L283" s="2" t="s">
        <v>4</v>
      </c>
      <c r="M283" s="2" t="s">
        <v>3</v>
      </c>
      <c r="N283" s="5">
        <f>IF(ISBLANK('Raw sheet'!L283),AVERAGE('Raw sheet'!$L$2:'Raw sheet'!$L$1500),'Raw sheet'!L283)</f>
        <v>3.4</v>
      </c>
      <c r="O283" s="5" t="str">
        <f>IF(Table1[[#This Row],[Stress_Index]]&gt;=8,"High",IF(N283&gt;=5,"Medium","Low"))</f>
        <v>Low</v>
      </c>
      <c r="P283" s="3">
        <v>3.47</v>
      </c>
      <c r="Q283" s="2">
        <v>3.89</v>
      </c>
      <c r="R283" s="3">
        <v>3.96</v>
      </c>
      <c r="S283" s="3" t="str">
        <f>IF(Table1[[#This Row],[CGPA]]&gt;=3,"High",IF(R282&gt;=2,"Medium","Low"))</f>
        <v>High</v>
      </c>
      <c r="T283" s="2" t="s">
        <v>12</v>
      </c>
      <c r="U283" s="2" t="s">
        <v>14</v>
      </c>
      <c r="V283" s="2" t="s">
        <v>9</v>
      </c>
      <c r="W283" s="7">
        <v>0</v>
      </c>
      <c r="X283" t="str">
        <f t="shared" si="9"/>
        <v>Active</v>
      </c>
    </row>
    <row r="284" spans="1:24" x14ac:dyDescent="0.3">
      <c r="A284" s="2">
        <v>283</v>
      </c>
      <c r="B284" s="7">
        <v>24.5</v>
      </c>
      <c r="C284" s="2" t="s">
        <v>5</v>
      </c>
      <c r="D284" s="7">
        <f>IF(ISBLANK('Raw sheet'!D284),AVERAGE('Raw sheet'!$D$2:'Raw sheet'!$D$1500),'Raw sheet'!D284)</f>
        <v>25000</v>
      </c>
      <c r="E284" s="7" t="str">
        <f>IF(Table1[[#This Row],[Family_Income]]&gt;=100000,"Upper",IF(D284&gt;=50000,"Middle","Lower"))</f>
        <v>Lower</v>
      </c>
      <c r="F284" s="2" t="s">
        <v>4</v>
      </c>
      <c r="G284" s="3">
        <f>IF(ISBLANK('Raw sheet'!F284),AVERAGE('Raw sheet'!$F$2:'Raw sheet'!$F$1500),'Raw sheet'!F284)</f>
        <v>3.58</v>
      </c>
      <c r="H284" s="18">
        <v>83.4</v>
      </c>
      <c r="I284" s="9" t="str">
        <f t="shared" si="8"/>
        <v>Good</v>
      </c>
      <c r="J284" s="2">
        <v>1</v>
      </c>
      <c r="K284" s="2">
        <v>27.8</v>
      </c>
      <c r="L284" s="2" t="s">
        <v>3</v>
      </c>
      <c r="M284" s="2" t="s">
        <v>4</v>
      </c>
      <c r="N284" s="5">
        <f>IF(ISBLANK('Raw sheet'!L284),AVERAGE('Raw sheet'!$L$2:'Raw sheet'!$L$1500),'Raw sheet'!L284)</f>
        <v>7.8</v>
      </c>
      <c r="O284" s="5" t="str">
        <f>IF(Table1[[#This Row],[Stress_Index]]&gt;=8,"High",IF(N284&gt;=5,"Medium","Low"))</f>
        <v>Medium</v>
      </c>
      <c r="P284" s="3">
        <v>2.14</v>
      </c>
      <c r="Q284" s="2">
        <v>2.08</v>
      </c>
      <c r="R284" s="3">
        <v>2.11</v>
      </c>
      <c r="S284" s="3" t="str">
        <f>IF(Table1[[#This Row],[CGPA]]&gt;=3,"High",IF(R283&gt;=2,"Medium","Low"))</f>
        <v>Medium</v>
      </c>
      <c r="T284" s="2" t="s">
        <v>10</v>
      </c>
      <c r="U284" s="2" t="s">
        <v>1</v>
      </c>
      <c r="V284" s="2" t="s">
        <v>15</v>
      </c>
      <c r="W284" s="7">
        <v>0</v>
      </c>
      <c r="X284" t="str">
        <f t="shared" si="9"/>
        <v>Active</v>
      </c>
    </row>
    <row r="285" spans="1:24" x14ac:dyDescent="0.3">
      <c r="A285" s="2">
        <v>284</v>
      </c>
      <c r="B285" s="7">
        <v>18.3</v>
      </c>
      <c r="C285" s="2" t="s">
        <v>11</v>
      </c>
      <c r="D285" s="7">
        <f>IF(ISBLANK('Raw sheet'!D285),AVERAGE('Raw sheet'!$D$2:'Raw sheet'!$D$1500),'Raw sheet'!D285)</f>
        <v>37185</v>
      </c>
      <c r="E285" s="7" t="str">
        <f>IF(Table1[[#This Row],[Family_Income]]&gt;=100000,"Upper",IF(D285&gt;=50000,"Middle","Lower"))</f>
        <v>Lower</v>
      </c>
      <c r="F285" s="2" t="s">
        <v>4</v>
      </c>
      <c r="G285" s="3">
        <f>IF(ISBLANK('Raw sheet'!F285),AVERAGE('Raw sheet'!$F$2:'Raw sheet'!$F$1500),'Raw sheet'!F285)</f>
        <v>5.61</v>
      </c>
      <c r="H285" s="18">
        <v>94.1</v>
      </c>
      <c r="I285" s="9" t="str">
        <f t="shared" si="8"/>
        <v>Good</v>
      </c>
      <c r="J285" s="2">
        <v>0</v>
      </c>
      <c r="K285" s="2">
        <v>10</v>
      </c>
      <c r="L285" s="2" t="s">
        <v>3</v>
      </c>
      <c r="M285" s="2" t="s">
        <v>3</v>
      </c>
      <c r="N285" s="5">
        <f>IF(ISBLANK('Raw sheet'!L285),AVERAGE('Raw sheet'!$L$2:'Raw sheet'!$L$1500),'Raw sheet'!L285)</f>
        <v>6.5</v>
      </c>
      <c r="O285" s="5" t="str">
        <f>IF(Table1[[#This Row],[Stress_Index]]&gt;=8,"High",IF(N285&gt;=5,"Medium","Low"))</f>
        <v>Medium</v>
      </c>
      <c r="P285" s="3">
        <v>2.88</v>
      </c>
      <c r="Q285" s="2">
        <v>3.3</v>
      </c>
      <c r="R285" s="3">
        <v>3.27</v>
      </c>
      <c r="S285" s="3" t="str">
        <f>IF(Table1[[#This Row],[CGPA]]&gt;=3,"High",IF(R284&gt;=2,"Medium","Low"))</f>
        <v>High</v>
      </c>
      <c r="T285" s="2" t="s">
        <v>10</v>
      </c>
      <c r="U285" s="2" t="s">
        <v>6</v>
      </c>
      <c r="V285" s="2" t="s">
        <v>9</v>
      </c>
      <c r="W285" s="7">
        <v>0</v>
      </c>
      <c r="X285" t="str">
        <f t="shared" si="9"/>
        <v>Active</v>
      </c>
    </row>
    <row r="286" spans="1:24" x14ac:dyDescent="0.3">
      <c r="A286" s="2">
        <v>285</v>
      </c>
      <c r="B286" s="7">
        <v>25.7</v>
      </c>
      <c r="C286" s="2" t="s">
        <v>11</v>
      </c>
      <c r="D286" s="7">
        <f>IF(ISBLANK('Raw sheet'!D286),AVERAGE('Raw sheet'!$D$2:'Raw sheet'!$D$1500),'Raw sheet'!D286)</f>
        <v>25000</v>
      </c>
      <c r="E286" s="7" t="str">
        <f>IF(Table1[[#This Row],[Family_Income]]&gt;=100000,"Upper",IF(D286&gt;=50000,"Middle","Lower"))</f>
        <v>Lower</v>
      </c>
      <c r="F286" s="2" t="s">
        <v>4</v>
      </c>
      <c r="G286" s="3">
        <f>IF(ISBLANK('Raw sheet'!F286),AVERAGE('Raw sheet'!$F$2:'Raw sheet'!$F$1500),'Raw sheet'!F286)</f>
        <v>2.72</v>
      </c>
      <c r="H286" s="18">
        <v>80.2</v>
      </c>
      <c r="I286" s="9" t="str">
        <f t="shared" si="8"/>
        <v>Good</v>
      </c>
      <c r="J286" s="2">
        <v>2</v>
      </c>
      <c r="K286" s="2">
        <v>44</v>
      </c>
      <c r="L286" s="2" t="s">
        <v>3</v>
      </c>
      <c r="M286" s="2" t="s">
        <v>3</v>
      </c>
      <c r="N286" s="5">
        <f>IF(ISBLANK('Raw sheet'!L286),AVERAGE('Raw sheet'!$L$2:'Raw sheet'!$L$1500),'Raw sheet'!L286)</f>
        <v>7.1</v>
      </c>
      <c r="O286" s="5" t="str">
        <f>IF(Table1[[#This Row],[Stress_Index]]&gt;=8,"High",IF(N286&gt;=5,"Medium","Low"))</f>
        <v>Medium</v>
      </c>
      <c r="P286" s="3">
        <v>3.13</v>
      </c>
      <c r="Q286" s="2">
        <v>2.63</v>
      </c>
      <c r="R286" s="3">
        <v>2.6</v>
      </c>
      <c r="S286" s="3" t="str">
        <f>IF(Table1[[#This Row],[CGPA]]&gt;=3,"High",IF(R285&gt;=2,"Medium","Low"))</f>
        <v>Medium</v>
      </c>
      <c r="T286" s="2" t="s">
        <v>10</v>
      </c>
      <c r="U286" s="2" t="s">
        <v>14</v>
      </c>
      <c r="V286" s="2" t="s">
        <v>16</v>
      </c>
      <c r="W286" s="7">
        <v>0</v>
      </c>
      <c r="X286" t="str">
        <f t="shared" si="9"/>
        <v>Active</v>
      </c>
    </row>
    <row r="287" spans="1:24" x14ac:dyDescent="0.3">
      <c r="A287" s="2">
        <v>286</v>
      </c>
      <c r="B287" s="7">
        <v>17</v>
      </c>
      <c r="C287" s="2" t="s">
        <v>5</v>
      </c>
      <c r="D287" s="7">
        <f>IF(ISBLANK('Raw sheet'!D287),AVERAGE('Raw sheet'!$D$2:'Raw sheet'!$D$1500),'Raw sheet'!D287)</f>
        <v>25000</v>
      </c>
      <c r="E287" s="7" t="str">
        <f>IF(Table1[[#This Row],[Family_Income]]&gt;=100000,"Upper",IF(D287&gt;=50000,"Middle","Lower"))</f>
        <v>Lower</v>
      </c>
      <c r="F287" s="2" t="s">
        <v>4</v>
      </c>
      <c r="G287" s="3">
        <f>IF(ISBLANK('Raw sheet'!F287),AVERAGE('Raw sheet'!$F$2:'Raw sheet'!$F$1500),'Raw sheet'!F287)</f>
        <v>6.21</v>
      </c>
      <c r="H287" s="18">
        <v>92.9</v>
      </c>
      <c r="I287" s="9" t="str">
        <f t="shared" si="8"/>
        <v>Good</v>
      </c>
      <c r="J287" s="2">
        <v>1</v>
      </c>
      <c r="K287" s="2">
        <v>31.4</v>
      </c>
      <c r="L287" s="2" t="s">
        <v>3</v>
      </c>
      <c r="M287" s="2" t="s">
        <v>3</v>
      </c>
      <c r="N287" s="5">
        <f>IF(ISBLANK('Raw sheet'!L287),AVERAGE('Raw sheet'!$L$2:'Raw sheet'!$L$1500),'Raw sheet'!L287)</f>
        <v>5</v>
      </c>
      <c r="O287" s="5" t="str">
        <f>IF(Table1[[#This Row],[Stress_Index]]&gt;=8,"High",IF(N287&gt;=5,"Medium","Low"))</f>
        <v>Medium</v>
      </c>
      <c r="P287" s="3">
        <v>1.64</v>
      </c>
      <c r="Q287" s="2">
        <v>1.88</v>
      </c>
      <c r="R287" s="3">
        <v>1.85</v>
      </c>
      <c r="S287" s="3" t="str">
        <f>IF(Table1[[#This Row],[CGPA]]&gt;=3,"High",IF(R286&gt;=2,"Medium","Low"))</f>
        <v>Medium</v>
      </c>
      <c r="T287" s="2" t="s">
        <v>10</v>
      </c>
      <c r="U287" s="2" t="s">
        <v>1</v>
      </c>
      <c r="V287" s="2" t="s">
        <v>15</v>
      </c>
      <c r="W287" s="7">
        <v>1</v>
      </c>
      <c r="X287" t="str">
        <f t="shared" si="9"/>
        <v>Dropped Out</v>
      </c>
    </row>
    <row r="288" spans="1:24" x14ac:dyDescent="0.3">
      <c r="A288" s="2">
        <v>287</v>
      </c>
      <c r="B288" s="7">
        <v>20.7</v>
      </c>
      <c r="C288" s="2" t="s">
        <v>5</v>
      </c>
      <c r="D288" s="7">
        <f>IF(ISBLANK('Raw sheet'!D288),AVERAGE('Raw sheet'!$D$2:'Raw sheet'!$D$1500),'Raw sheet'!D288)</f>
        <v>66634</v>
      </c>
      <c r="E288" s="7" t="str">
        <f>IF(Table1[[#This Row],[Family_Income]]&gt;=100000,"Upper",IF(D288&gt;=50000,"Middle","Lower"))</f>
        <v>Middle</v>
      </c>
      <c r="F288" s="2" t="s">
        <v>4</v>
      </c>
      <c r="G288" s="3">
        <f>IF(ISBLANK('Raw sheet'!F288),AVERAGE('Raw sheet'!$F$2:'Raw sheet'!$F$1500),'Raw sheet'!F288)</f>
        <v>3.5</v>
      </c>
      <c r="H288" s="18">
        <v>64.3</v>
      </c>
      <c r="I288" s="9" t="str">
        <f t="shared" si="8"/>
        <v>Low</v>
      </c>
      <c r="J288" s="2">
        <v>1</v>
      </c>
      <c r="K288" s="2">
        <v>10.8</v>
      </c>
      <c r="L288" s="2" t="s">
        <v>4</v>
      </c>
      <c r="M288" s="2" t="s">
        <v>4</v>
      </c>
      <c r="N288" s="5">
        <f>IF(ISBLANK('Raw sheet'!L288),AVERAGE('Raw sheet'!$L$2:'Raw sheet'!$L$1500),'Raw sheet'!L288)</f>
        <v>6.7</v>
      </c>
      <c r="O288" s="5" t="str">
        <f>IF(Table1[[#This Row],[Stress_Index]]&gt;=8,"High",IF(N288&gt;=5,"Medium","Low"))</f>
        <v>Medium</v>
      </c>
      <c r="P288" s="3">
        <v>0.96</v>
      </c>
      <c r="Q288" s="2">
        <v>0.32</v>
      </c>
      <c r="R288" s="3">
        <v>0.28000000000000003</v>
      </c>
      <c r="S288" s="3" t="str">
        <f>IF(Table1[[#This Row],[CGPA]]&gt;=3,"High",IF(R287&gt;=2,"Medium","Low"))</f>
        <v>Low</v>
      </c>
      <c r="T288" s="2" t="s">
        <v>7</v>
      </c>
      <c r="U288" s="2" t="s">
        <v>13</v>
      </c>
      <c r="V288" s="2" t="s">
        <v>15</v>
      </c>
      <c r="W288" s="7">
        <v>0</v>
      </c>
      <c r="X288" t="str">
        <f t="shared" si="9"/>
        <v>Active</v>
      </c>
    </row>
    <row r="289" spans="1:24" x14ac:dyDescent="0.3">
      <c r="A289" s="2">
        <v>288</v>
      </c>
      <c r="B289" s="7">
        <v>22.3</v>
      </c>
      <c r="C289" s="2" t="s">
        <v>11</v>
      </c>
      <c r="D289" s="7">
        <f>IF(ISBLANK('Raw sheet'!D289),AVERAGE('Raw sheet'!$D$2:'Raw sheet'!$D$1500),'Raw sheet'!D289)</f>
        <v>25000</v>
      </c>
      <c r="E289" s="7" t="str">
        <f>IF(Table1[[#This Row],[Family_Income]]&gt;=100000,"Upper",IF(D289&gt;=50000,"Middle","Lower"))</f>
        <v>Lower</v>
      </c>
      <c r="F289" s="2" t="s">
        <v>4</v>
      </c>
      <c r="G289" s="3">
        <f>IF(ISBLANK('Raw sheet'!F289),AVERAGE('Raw sheet'!$F$2:'Raw sheet'!$F$1500),'Raw sheet'!F289)</f>
        <v>3.94</v>
      </c>
      <c r="H289" s="18">
        <v>76.099999999999994</v>
      </c>
      <c r="I289" s="9" t="str">
        <f t="shared" si="8"/>
        <v>Good</v>
      </c>
      <c r="J289" s="2">
        <v>0</v>
      </c>
      <c r="K289" s="2">
        <v>34.6</v>
      </c>
      <c r="L289" s="2" t="s">
        <v>3</v>
      </c>
      <c r="M289" s="2" t="s">
        <v>4</v>
      </c>
      <c r="N289" s="5">
        <f>IF(ISBLANK('Raw sheet'!L289),AVERAGE('Raw sheet'!$L$2:'Raw sheet'!$L$1500),'Raw sheet'!L289)</f>
        <v>8.1999999999999993</v>
      </c>
      <c r="O289" s="5" t="str">
        <f>IF(Table1[[#This Row],[Stress_Index]]&gt;=8,"High",IF(N289&gt;=5,"Medium","Low"))</f>
        <v>High</v>
      </c>
      <c r="P289" s="3">
        <v>2.5299999999999998</v>
      </c>
      <c r="Q289" s="2">
        <v>2.35</v>
      </c>
      <c r="R289" s="3">
        <v>2.3199999999999998</v>
      </c>
      <c r="S289" s="3" t="str">
        <f>IF(Table1[[#This Row],[CGPA]]&gt;=3,"High",IF(R288&gt;=2,"Medium","Low"))</f>
        <v>Low</v>
      </c>
      <c r="T289" s="2" t="s">
        <v>10</v>
      </c>
      <c r="U289" s="2" t="s">
        <v>1</v>
      </c>
      <c r="V289" s="2" t="s">
        <v>9</v>
      </c>
      <c r="W289" s="7">
        <v>0</v>
      </c>
      <c r="X289" t="str">
        <f t="shared" si="9"/>
        <v>Active</v>
      </c>
    </row>
    <row r="290" spans="1:24" x14ac:dyDescent="0.3">
      <c r="A290" s="2">
        <v>289</v>
      </c>
      <c r="B290" s="7">
        <v>21.6</v>
      </c>
      <c r="C290" s="2" t="s">
        <v>11</v>
      </c>
      <c r="D290" s="7">
        <f>IF(ISBLANK('Raw sheet'!D290),AVERAGE('Raw sheet'!$D$2:'Raw sheet'!$D$1500),'Raw sheet'!D290)</f>
        <v>52723</v>
      </c>
      <c r="E290" s="7" t="str">
        <f>IF(Table1[[#This Row],[Family_Income]]&gt;=100000,"Upper",IF(D290&gt;=50000,"Middle","Lower"))</f>
        <v>Middle</v>
      </c>
      <c r="F290" s="2" t="s">
        <v>4</v>
      </c>
      <c r="G290" s="3">
        <f>IF(ISBLANK('Raw sheet'!F290),AVERAGE('Raw sheet'!$F$2:'Raw sheet'!$F$1500),'Raw sheet'!F290)</f>
        <v>3.31</v>
      </c>
      <c r="H290" s="18">
        <v>88.3</v>
      </c>
      <c r="I290" s="9" t="str">
        <f t="shared" si="8"/>
        <v>Good</v>
      </c>
      <c r="J290" s="2">
        <v>1</v>
      </c>
      <c r="K290" s="2">
        <v>22.9</v>
      </c>
      <c r="L290" s="2" t="s">
        <v>4</v>
      </c>
      <c r="M290" s="2" t="s">
        <v>3</v>
      </c>
      <c r="N290" s="5">
        <f>IF(ISBLANK('Raw sheet'!L290),AVERAGE('Raw sheet'!$L$2:'Raw sheet'!$L$1500),'Raw sheet'!L290)</f>
        <v>6.6</v>
      </c>
      <c r="O290" s="5" t="str">
        <f>IF(Table1[[#This Row],[Stress_Index]]&gt;=8,"High",IF(N290&gt;=5,"Medium","Low"))</f>
        <v>Medium</v>
      </c>
      <c r="P290" s="3">
        <v>2.0099999999999998</v>
      </c>
      <c r="Q290" s="2">
        <v>1.88</v>
      </c>
      <c r="R290" s="3">
        <v>1.89</v>
      </c>
      <c r="S290" s="3" t="str">
        <f>IF(Table1[[#This Row],[CGPA]]&gt;=3,"High",IF(R289&gt;=2,"Medium","Low"))</f>
        <v>Medium</v>
      </c>
      <c r="T290" s="2" t="s">
        <v>12</v>
      </c>
      <c r="U290" s="2" t="s">
        <v>8</v>
      </c>
      <c r="V290" s="2" t="s">
        <v>0</v>
      </c>
      <c r="W290" s="7">
        <v>0</v>
      </c>
      <c r="X290" t="str">
        <f t="shared" si="9"/>
        <v>Active</v>
      </c>
    </row>
    <row r="291" spans="1:24" x14ac:dyDescent="0.3">
      <c r="A291" s="2">
        <v>290</v>
      </c>
      <c r="B291" s="7">
        <v>19.600000000000001</v>
      </c>
      <c r="C291" s="2" t="s">
        <v>11</v>
      </c>
      <c r="D291" s="7">
        <f>IF(ISBLANK('Raw sheet'!D291),AVERAGE('Raw sheet'!$D$2:'Raw sheet'!$D$1500),'Raw sheet'!D291)</f>
        <v>63145</v>
      </c>
      <c r="E291" s="7" t="str">
        <f>IF(Table1[[#This Row],[Family_Income]]&gt;=100000,"Upper",IF(D291&gt;=50000,"Middle","Lower"))</f>
        <v>Middle</v>
      </c>
      <c r="F291" s="2" t="s">
        <v>4</v>
      </c>
      <c r="G291" s="3">
        <f>IF(ISBLANK('Raw sheet'!F291),AVERAGE('Raw sheet'!$F$2:'Raw sheet'!$F$1500),'Raw sheet'!F291)</f>
        <v>4.05</v>
      </c>
      <c r="H291" s="18">
        <v>95.4</v>
      </c>
      <c r="I291" s="9" t="str">
        <f t="shared" si="8"/>
        <v>Good</v>
      </c>
      <c r="J291" s="2">
        <v>1</v>
      </c>
      <c r="K291" s="2">
        <v>30.7</v>
      </c>
      <c r="L291" s="2" t="s">
        <v>3</v>
      </c>
      <c r="M291" s="2" t="s">
        <v>4</v>
      </c>
      <c r="N291" s="5">
        <f>IF(ISBLANK('Raw sheet'!L291),AVERAGE('Raw sheet'!$L$2:'Raw sheet'!$L$1500),'Raw sheet'!L291)</f>
        <v>3.6</v>
      </c>
      <c r="O291" s="5" t="str">
        <f>IF(Table1[[#This Row],[Stress_Index]]&gt;=8,"High",IF(N291&gt;=5,"Medium","Low"))</f>
        <v>Low</v>
      </c>
      <c r="P291" s="3">
        <v>2.4900000000000002</v>
      </c>
      <c r="Q291" s="2">
        <v>2.29</v>
      </c>
      <c r="R291" s="3">
        <v>2.25</v>
      </c>
      <c r="S291" s="3" t="str">
        <f>IF(Table1[[#This Row],[CGPA]]&gt;=3,"High",IF(R290&gt;=2,"Medium","Low"))</f>
        <v>Low</v>
      </c>
      <c r="T291" s="2" t="s">
        <v>10</v>
      </c>
      <c r="U291" s="2" t="s">
        <v>8</v>
      </c>
      <c r="V291" s="2" t="s">
        <v>15</v>
      </c>
      <c r="W291" s="7">
        <v>0</v>
      </c>
      <c r="X291" t="str">
        <f t="shared" si="9"/>
        <v>Active</v>
      </c>
    </row>
    <row r="292" spans="1:24" x14ac:dyDescent="0.3">
      <c r="A292" s="2">
        <v>291</v>
      </c>
      <c r="B292" s="7">
        <v>20.5</v>
      </c>
      <c r="C292" s="2" t="s">
        <v>5</v>
      </c>
      <c r="D292" s="7">
        <f>IF(ISBLANK('Raw sheet'!D292),AVERAGE('Raw sheet'!$D$2:'Raw sheet'!$D$1500),'Raw sheet'!D292)</f>
        <v>38587.00282087447</v>
      </c>
      <c r="E292" s="7" t="str">
        <f>IF(Table1[[#This Row],[Family_Income]]&gt;=100000,"Upper",IF(D292&gt;=50000,"Middle","Lower"))</f>
        <v>Lower</v>
      </c>
      <c r="F292" s="2" t="s">
        <v>4</v>
      </c>
      <c r="G292" s="3">
        <f>IF(ISBLANK('Raw sheet'!F292),AVERAGE('Raw sheet'!$F$2:'Raw sheet'!$F$1500),'Raw sheet'!F292)</f>
        <v>4.0178702397743278</v>
      </c>
      <c r="H292" s="18">
        <v>72.3</v>
      </c>
      <c r="I292" s="9" t="str">
        <f t="shared" si="8"/>
        <v>Low</v>
      </c>
      <c r="J292" s="2">
        <v>3</v>
      </c>
      <c r="K292" s="2">
        <v>32.9</v>
      </c>
      <c r="L292" s="2" t="s">
        <v>3</v>
      </c>
      <c r="M292" s="2" t="s">
        <v>4</v>
      </c>
      <c r="N292" s="5">
        <f>IF(ISBLANK('Raw sheet'!L292),AVERAGE('Raw sheet'!$L$2:'Raw sheet'!$L$1500),'Raw sheet'!L292)</f>
        <v>5.5242595204513369</v>
      </c>
      <c r="O292" s="5" t="str">
        <f>IF(Table1[[#This Row],[Stress_Index]]&gt;=8,"High",IF(N292&gt;=5,"Medium","Low"))</f>
        <v>Medium</v>
      </c>
      <c r="P292" s="3">
        <v>1.37</v>
      </c>
      <c r="Q292" s="2">
        <v>1.31</v>
      </c>
      <c r="R292" s="3">
        <v>1.31</v>
      </c>
      <c r="S292" s="3" t="str">
        <f>IF(Table1[[#This Row],[CGPA]]&gt;=3,"High",IF(R291&gt;=2,"Medium","Low"))</f>
        <v>Medium</v>
      </c>
      <c r="T292" s="2" t="s">
        <v>2</v>
      </c>
      <c r="U292" s="2" t="s">
        <v>8</v>
      </c>
      <c r="V292" s="2" t="s">
        <v>0</v>
      </c>
      <c r="W292" s="7">
        <v>0</v>
      </c>
      <c r="X292" t="str">
        <f t="shared" si="9"/>
        <v>Active</v>
      </c>
    </row>
    <row r="293" spans="1:24" x14ac:dyDescent="0.3">
      <c r="A293" s="2">
        <v>292</v>
      </c>
      <c r="B293" s="7">
        <v>19.899999999999999</v>
      </c>
      <c r="C293" s="2" t="s">
        <v>11</v>
      </c>
      <c r="D293" s="7">
        <f>IF(ISBLANK('Raw sheet'!D293),AVERAGE('Raw sheet'!$D$2:'Raw sheet'!$D$1500),'Raw sheet'!D293)</f>
        <v>25000</v>
      </c>
      <c r="E293" s="7" t="str">
        <f>IF(Table1[[#This Row],[Family_Income]]&gt;=100000,"Upper",IF(D293&gt;=50000,"Middle","Lower"))</f>
        <v>Lower</v>
      </c>
      <c r="F293" s="2" t="s">
        <v>3</v>
      </c>
      <c r="G293" s="3">
        <f>IF(ISBLANK('Raw sheet'!F293),AVERAGE('Raw sheet'!$F$2:'Raw sheet'!$F$1500),'Raw sheet'!F293)</f>
        <v>3.52</v>
      </c>
      <c r="H293" s="18">
        <v>78.7</v>
      </c>
      <c r="I293" s="9" t="str">
        <f t="shared" si="8"/>
        <v>Good</v>
      </c>
      <c r="J293" s="2">
        <v>2</v>
      </c>
      <c r="K293" s="2">
        <v>44.6</v>
      </c>
      <c r="L293" s="2" t="s">
        <v>3</v>
      </c>
      <c r="M293" s="2" t="s">
        <v>3</v>
      </c>
      <c r="N293" s="5">
        <f>IF(ISBLANK('Raw sheet'!L293),AVERAGE('Raw sheet'!$L$2:'Raw sheet'!$L$1500),'Raw sheet'!L293)</f>
        <v>6.9</v>
      </c>
      <c r="O293" s="5" t="str">
        <f>IF(Table1[[#This Row],[Stress_Index]]&gt;=8,"High",IF(N293&gt;=5,"Medium","Low"))</f>
        <v>Medium</v>
      </c>
      <c r="P293" s="3">
        <v>1.2</v>
      </c>
      <c r="Q293" s="2">
        <v>1.21</v>
      </c>
      <c r="R293" s="3">
        <v>1.19</v>
      </c>
      <c r="S293" s="3" t="str">
        <f>IF(Table1[[#This Row],[CGPA]]&gt;=3,"High",IF(R292&gt;=2,"Medium","Low"))</f>
        <v>Low</v>
      </c>
      <c r="T293" s="2" t="s">
        <v>7</v>
      </c>
      <c r="U293" s="2" t="s">
        <v>14</v>
      </c>
      <c r="V293" s="2" t="s">
        <v>9</v>
      </c>
      <c r="W293" s="7">
        <v>1</v>
      </c>
      <c r="X293" t="str">
        <f t="shared" si="9"/>
        <v>Dropped Out</v>
      </c>
    </row>
    <row r="294" spans="1:24" x14ac:dyDescent="0.3">
      <c r="A294" s="2">
        <v>293</v>
      </c>
      <c r="B294" s="7">
        <v>19.7</v>
      </c>
      <c r="C294" s="2" t="s">
        <v>5</v>
      </c>
      <c r="D294" s="7">
        <f>IF(ISBLANK('Raw sheet'!D294),AVERAGE('Raw sheet'!$D$2:'Raw sheet'!$D$1500),'Raw sheet'!D294)</f>
        <v>25193</v>
      </c>
      <c r="E294" s="7" t="str">
        <f>IF(Table1[[#This Row],[Family_Income]]&gt;=100000,"Upper",IF(D294&gt;=50000,"Middle","Lower"))</f>
        <v>Lower</v>
      </c>
      <c r="F294" s="2" t="s">
        <v>4</v>
      </c>
      <c r="G294" s="3">
        <f>IF(ISBLANK('Raw sheet'!F294),AVERAGE('Raw sheet'!$F$2:'Raw sheet'!$F$1500),'Raw sheet'!F294)</f>
        <v>4.2</v>
      </c>
      <c r="H294" s="18">
        <v>83.3</v>
      </c>
      <c r="I294" s="9" t="str">
        <f t="shared" si="8"/>
        <v>Good</v>
      </c>
      <c r="J294" s="2">
        <v>1</v>
      </c>
      <c r="K294" s="2">
        <v>16.5</v>
      </c>
      <c r="L294" s="2" t="s">
        <v>3</v>
      </c>
      <c r="M294" s="2" t="s">
        <v>3</v>
      </c>
      <c r="N294" s="5">
        <f>IF(ISBLANK('Raw sheet'!L294),AVERAGE('Raw sheet'!$L$2:'Raw sheet'!$L$1500),'Raw sheet'!L294)</f>
        <v>8.5</v>
      </c>
      <c r="O294" s="5" t="str">
        <f>IF(Table1[[#This Row],[Stress_Index]]&gt;=8,"High",IF(N294&gt;=5,"Medium","Low"))</f>
        <v>High</v>
      </c>
      <c r="P294" s="3">
        <v>1.85</v>
      </c>
      <c r="Q294" s="2">
        <v>1.99</v>
      </c>
      <c r="R294" s="3">
        <v>1.95</v>
      </c>
      <c r="S294" s="3" t="str">
        <f>IF(Table1[[#This Row],[CGPA]]&gt;=3,"High",IF(R293&gt;=2,"Medium","Low"))</f>
        <v>Low</v>
      </c>
      <c r="T294" s="2" t="s">
        <v>7</v>
      </c>
      <c r="U294" s="2" t="s">
        <v>1</v>
      </c>
      <c r="V294" s="2" t="s">
        <v>15</v>
      </c>
      <c r="W294" s="7">
        <v>0</v>
      </c>
      <c r="X294" t="str">
        <f t="shared" si="9"/>
        <v>Active</v>
      </c>
    </row>
    <row r="295" spans="1:24" x14ac:dyDescent="0.3">
      <c r="A295" s="2">
        <v>294</v>
      </c>
      <c r="B295" s="7">
        <v>22.9</v>
      </c>
      <c r="C295" s="2" t="s">
        <v>5</v>
      </c>
      <c r="D295" s="7">
        <f>IF(ISBLANK('Raw sheet'!D295),AVERAGE('Raw sheet'!$D$2:'Raw sheet'!$D$1500),'Raw sheet'!D295)</f>
        <v>25000</v>
      </c>
      <c r="E295" s="7" t="str">
        <f>IF(Table1[[#This Row],[Family_Income]]&gt;=100000,"Upper",IF(D295&gt;=50000,"Middle","Lower"))</f>
        <v>Lower</v>
      </c>
      <c r="F295" s="2" t="s">
        <v>4</v>
      </c>
      <c r="G295" s="3">
        <f>IF(ISBLANK('Raw sheet'!F295),AVERAGE('Raw sheet'!$F$2:'Raw sheet'!$F$1500),'Raw sheet'!F295)</f>
        <v>3.86</v>
      </c>
      <c r="H295" s="18">
        <v>74.5</v>
      </c>
      <c r="I295" s="9" t="str">
        <f t="shared" si="8"/>
        <v>Low</v>
      </c>
      <c r="J295" s="2">
        <v>2</v>
      </c>
      <c r="K295" s="2">
        <v>36.9</v>
      </c>
      <c r="L295" s="2" t="s">
        <v>3</v>
      </c>
      <c r="M295" s="2" t="s">
        <v>3</v>
      </c>
      <c r="N295" s="5">
        <f>IF(ISBLANK('Raw sheet'!L295),AVERAGE('Raw sheet'!$L$2:'Raw sheet'!$L$1500),'Raw sheet'!L295)</f>
        <v>6.6</v>
      </c>
      <c r="O295" s="5" t="str">
        <f>IF(Table1[[#This Row],[Stress_Index]]&gt;=8,"High",IF(N295&gt;=5,"Medium","Low"))</f>
        <v>Medium</v>
      </c>
      <c r="P295" s="3">
        <v>4</v>
      </c>
      <c r="Q295" s="2">
        <v>3.74</v>
      </c>
      <c r="R295" s="3">
        <v>3.74</v>
      </c>
      <c r="S295" s="3" t="str">
        <f>IF(Table1[[#This Row],[CGPA]]&gt;=3,"High",IF(R294&gt;=2,"Medium","Low"))</f>
        <v>High</v>
      </c>
      <c r="T295" s="2" t="s">
        <v>2</v>
      </c>
      <c r="U295" s="2" t="s">
        <v>13</v>
      </c>
      <c r="V295" s="2" t="s">
        <v>17</v>
      </c>
      <c r="W295" s="7">
        <v>0</v>
      </c>
      <c r="X295" t="str">
        <f t="shared" si="9"/>
        <v>Active</v>
      </c>
    </row>
    <row r="296" spans="1:24" x14ac:dyDescent="0.3">
      <c r="A296" s="2">
        <v>295</v>
      </c>
      <c r="B296" s="7">
        <v>21.8</v>
      </c>
      <c r="C296" s="2" t="s">
        <v>11</v>
      </c>
      <c r="D296" s="7">
        <f>IF(ISBLANK('Raw sheet'!D296),AVERAGE('Raw sheet'!$D$2:'Raw sheet'!$D$1500),'Raw sheet'!D296)</f>
        <v>31972</v>
      </c>
      <c r="E296" s="7" t="str">
        <f>IF(Table1[[#This Row],[Family_Income]]&gt;=100000,"Upper",IF(D296&gt;=50000,"Middle","Lower"))</f>
        <v>Lower</v>
      </c>
      <c r="F296" s="2" t="s">
        <v>4</v>
      </c>
      <c r="G296" s="3">
        <f>IF(ISBLANK('Raw sheet'!F296),AVERAGE('Raw sheet'!$F$2:'Raw sheet'!$F$1500),'Raw sheet'!F296)</f>
        <v>0.76</v>
      </c>
      <c r="H296" s="18">
        <v>79.900000000000006</v>
      </c>
      <c r="I296" s="9" t="str">
        <f t="shared" si="8"/>
        <v>Good</v>
      </c>
      <c r="J296" s="2">
        <v>3</v>
      </c>
      <c r="K296" s="2">
        <v>45.9</v>
      </c>
      <c r="L296" s="2" t="s">
        <v>3</v>
      </c>
      <c r="M296" s="2" t="s">
        <v>4</v>
      </c>
      <c r="N296" s="5">
        <f>IF(ISBLANK('Raw sheet'!L296),AVERAGE('Raw sheet'!$L$2:'Raw sheet'!$L$1500),'Raw sheet'!L296)</f>
        <v>7.5</v>
      </c>
      <c r="O296" s="5" t="str">
        <f>IF(Table1[[#This Row],[Stress_Index]]&gt;=8,"High",IF(N296&gt;=5,"Medium","Low"))</f>
        <v>Medium</v>
      </c>
      <c r="P296" s="3">
        <v>1.64</v>
      </c>
      <c r="Q296" s="2">
        <v>1.85</v>
      </c>
      <c r="R296" s="3">
        <v>1.85</v>
      </c>
      <c r="S296" s="3" t="str">
        <f>IF(Table1[[#This Row],[CGPA]]&gt;=3,"High",IF(R295&gt;=2,"Medium","Low"))</f>
        <v>Medium</v>
      </c>
      <c r="T296" s="2" t="s">
        <v>2</v>
      </c>
      <c r="U296" s="2" t="s">
        <v>1</v>
      </c>
      <c r="V296" s="2" t="s">
        <v>9</v>
      </c>
      <c r="W296" s="7">
        <v>0</v>
      </c>
      <c r="X296" t="str">
        <f t="shared" si="9"/>
        <v>Active</v>
      </c>
    </row>
    <row r="297" spans="1:24" x14ac:dyDescent="0.3">
      <c r="A297" s="2">
        <v>296</v>
      </c>
      <c r="B297" s="7">
        <v>19.5</v>
      </c>
      <c r="C297" s="2" t="s">
        <v>5</v>
      </c>
      <c r="D297" s="7">
        <f>IF(ISBLANK('Raw sheet'!D297),AVERAGE('Raw sheet'!$D$2:'Raw sheet'!$D$1500),'Raw sheet'!D297)</f>
        <v>26281</v>
      </c>
      <c r="E297" s="7" t="str">
        <f>IF(Table1[[#This Row],[Family_Income]]&gt;=100000,"Upper",IF(D297&gt;=50000,"Middle","Lower"))</f>
        <v>Lower</v>
      </c>
      <c r="F297" s="2" t="s">
        <v>4</v>
      </c>
      <c r="G297" s="3">
        <f>IF(ISBLANK('Raw sheet'!F297),AVERAGE('Raw sheet'!$F$2:'Raw sheet'!$F$1500),'Raw sheet'!F297)</f>
        <v>7.22</v>
      </c>
      <c r="H297" s="18">
        <v>94.7</v>
      </c>
      <c r="I297" s="9" t="str">
        <f t="shared" si="8"/>
        <v>Good</v>
      </c>
      <c r="J297" s="2">
        <v>3</v>
      </c>
      <c r="K297" s="2">
        <v>60.2</v>
      </c>
      <c r="L297" s="2" t="s">
        <v>3</v>
      </c>
      <c r="M297" s="2" t="s">
        <v>4</v>
      </c>
      <c r="N297" s="5">
        <f>IF(ISBLANK('Raw sheet'!L297),AVERAGE('Raw sheet'!$L$2:'Raw sheet'!$L$1500),'Raw sheet'!L297)</f>
        <v>6.6</v>
      </c>
      <c r="O297" s="5" t="str">
        <f>IF(Table1[[#This Row],[Stress_Index]]&gt;=8,"High",IF(N297&gt;=5,"Medium","Low"))</f>
        <v>Medium</v>
      </c>
      <c r="P297" s="3">
        <v>3.15</v>
      </c>
      <c r="Q297" s="2">
        <v>3.14</v>
      </c>
      <c r="R297" s="3">
        <v>3.07</v>
      </c>
      <c r="S297" s="3" t="str">
        <f>IF(Table1[[#This Row],[CGPA]]&gt;=3,"High",IF(R296&gt;=2,"Medium","Low"))</f>
        <v>High</v>
      </c>
      <c r="T297" s="2" t="s">
        <v>7</v>
      </c>
      <c r="U297" s="2" t="s">
        <v>8</v>
      </c>
      <c r="V297" s="2" t="s">
        <v>0</v>
      </c>
      <c r="W297" s="7">
        <v>0</v>
      </c>
      <c r="X297" t="str">
        <f t="shared" si="9"/>
        <v>Active</v>
      </c>
    </row>
    <row r="298" spans="1:24" x14ac:dyDescent="0.3">
      <c r="A298" s="2">
        <v>297</v>
      </c>
      <c r="B298" s="7">
        <v>23</v>
      </c>
      <c r="C298" s="2" t="s">
        <v>5</v>
      </c>
      <c r="D298" s="7">
        <f>IF(ISBLANK('Raw sheet'!D298),AVERAGE('Raw sheet'!$D$2:'Raw sheet'!$D$1500),'Raw sheet'!D298)</f>
        <v>36914</v>
      </c>
      <c r="E298" s="7" t="str">
        <f>IF(Table1[[#This Row],[Family_Income]]&gt;=100000,"Upper",IF(D298&gt;=50000,"Middle","Lower"))</f>
        <v>Lower</v>
      </c>
      <c r="F298" s="2" t="s">
        <v>4</v>
      </c>
      <c r="G298" s="3">
        <f>IF(ISBLANK('Raw sheet'!F298),AVERAGE('Raw sheet'!$F$2:'Raw sheet'!$F$1500),'Raw sheet'!F298)</f>
        <v>6.06</v>
      </c>
      <c r="H298" s="18">
        <v>73.7</v>
      </c>
      <c r="I298" s="9" t="str">
        <f t="shared" si="8"/>
        <v>Low</v>
      </c>
      <c r="J298" s="2">
        <v>1</v>
      </c>
      <c r="K298" s="2">
        <v>42.6</v>
      </c>
      <c r="L298" s="2" t="s">
        <v>4</v>
      </c>
      <c r="M298" s="2" t="s">
        <v>4</v>
      </c>
      <c r="N298" s="5">
        <f>IF(ISBLANK('Raw sheet'!L298),AVERAGE('Raw sheet'!$L$2:'Raw sheet'!$L$1500),'Raw sheet'!L298)</f>
        <v>3.1</v>
      </c>
      <c r="O298" s="5" t="str">
        <f>IF(Table1[[#This Row],[Stress_Index]]&gt;=8,"High",IF(N298&gt;=5,"Medium","Low"))</f>
        <v>Low</v>
      </c>
      <c r="P298" s="3">
        <v>4</v>
      </c>
      <c r="Q298" s="2">
        <v>4</v>
      </c>
      <c r="R298" s="3">
        <v>4</v>
      </c>
      <c r="S298" s="3" t="str">
        <f>IF(Table1[[#This Row],[CGPA]]&gt;=3,"High",IF(R297&gt;=2,"Medium","Low"))</f>
        <v>High</v>
      </c>
      <c r="T298" s="2" t="s">
        <v>2</v>
      </c>
      <c r="U298" s="2" t="s">
        <v>6</v>
      </c>
      <c r="V298" s="2" t="s">
        <v>15</v>
      </c>
      <c r="W298" s="7">
        <v>0</v>
      </c>
      <c r="X298" t="str">
        <f t="shared" si="9"/>
        <v>Active</v>
      </c>
    </row>
    <row r="299" spans="1:24" x14ac:dyDescent="0.3">
      <c r="A299" s="2">
        <v>298</v>
      </c>
      <c r="B299" s="7">
        <v>21.7</v>
      </c>
      <c r="C299" s="2" t="s">
        <v>5</v>
      </c>
      <c r="D299" s="7">
        <f>IF(ISBLANK('Raw sheet'!D299),AVERAGE('Raw sheet'!$D$2:'Raw sheet'!$D$1500),'Raw sheet'!D299)</f>
        <v>68745</v>
      </c>
      <c r="E299" s="7" t="str">
        <f>IF(Table1[[#This Row],[Family_Income]]&gt;=100000,"Upper",IF(D299&gt;=50000,"Middle","Lower"))</f>
        <v>Middle</v>
      </c>
      <c r="F299" s="2" t="s">
        <v>4</v>
      </c>
      <c r="G299" s="3">
        <f>IF(ISBLANK('Raw sheet'!F299),AVERAGE('Raw sheet'!$F$2:'Raw sheet'!$F$1500),'Raw sheet'!F299)</f>
        <v>2.4900000000000002</v>
      </c>
      <c r="H299" s="18">
        <v>80.099999999999994</v>
      </c>
      <c r="I299" s="9" t="str">
        <f t="shared" si="8"/>
        <v>Good</v>
      </c>
      <c r="J299" s="2">
        <v>4</v>
      </c>
      <c r="K299" s="2">
        <v>34.299999999999997</v>
      </c>
      <c r="L299" s="2" t="s">
        <v>3</v>
      </c>
      <c r="M299" s="2" t="s">
        <v>3</v>
      </c>
      <c r="N299" s="5">
        <f>IF(ISBLANK('Raw sheet'!L299),AVERAGE('Raw sheet'!$L$2:'Raw sheet'!$L$1500),'Raw sheet'!L299)</f>
        <v>7</v>
      </c>
      <c r="O299" s="5" t="str">
        <f>IF(Table1[[#This Row],[Stress_Index]]&gt;=8,"High",IF(N299&gt;=5,"Medium","Low"))</f>
        <v>Medium</v>
      </c>
      <c r="P299" s="3">
        <v>2.02</v>
      </c>
      <c r="Q299" s="2">
        <v>2.33</v>
      </c>
      <c r="R299" s="3">
        <v>2.3199999999999998</v>
      </c>
      <c r="S299" s="3" t="str">
        <f>IF(Table1[[#This Row],[CGPA]]&gt;=3,"High",IF(R298&gt;=2,"Medium","Low"))</f>
        <v>Medium</v>
      </c>
      <c r="T299" s="2" t="s">
        <v>7</v>
      </c>
      <c r="U299" s="2" t="s">
        <v>1</v>
      </c>
      <c r="V299" s="2" t="s">
        <v>15</v>
      </c>
      <c r="W299" s="7">
        <v>1</v>
      </c>
      <c r="X299" t="str">
        <f t="shared" si="9"/>
        <v>Dropped Out</v>
      </c>
    </row>
    <row r="300" spans="1:24" x14ac:dyDescent="0.3">
      <c r="A300" s="2">
        <v>299</v>
      </c>
      <c r="B300" s="7">
        <v>22.8</v>
      </c>
      <c r="C300" s="2" t="s">
        <v>5</v>
      </c>
      <c r="D300" s="7">
        <f>IF(ISBLANK('Raw sheet'!D300),AVERAGE('Raw sheet'!$D$2:'Raw sheet'!$D$1500),'Raw sheet'!D300)</f>
        <v>48557</v>
      </c>
      <c r="E300" s="7" t="str">
        <f>IF(Table1[[#This Row],[Family_Income]]&gt;=100000,"Upper",IF(D300&gt;=50000,"Middle","Lower"))</f>
        <v>Lower</v>
      </c>
      <c r="F300" s="2" t="s">
        <v>4</v>
      </c>
      <c r="G300" s="3">
        <f>IF(ISBLANK('Raw sheet'!F300),AVERAGE('Raw sheet'!$F$2:'Raw sheet'!$F$1500),'Raw sheet'!F300)</f>
        <v>3.19</v>
      </c>
      <c r="H300" s="18">
        <v>84.2</v>
      </c>
      <c r="I300" s="9" t="str">
        <f t="shared" si="8"/>
        <v>Good</v>
      </c>
      <c r="J300" s="2">
        <v>4</v>
      </c>
      <c r="K300" s="2">
        <v>33.299999999999997</v>
      </c>
      <c r="L300" s="2" t="s">
        <v>4</v>
      </c>
      <c r="M300" s="2" t="s">
        <v>3</v>
      </c>
      <c r="N300" s="5">
        <f>IF(ISBLANK('Raw sheet'!L300),AVERAGE('Raw sheet'!$L$2:'Raw sheet'!$L$1500),'Raw sheet'!L300)</f>
        <v>5.7</v>
      </c>
      <c r="O300" s="5" t="str">
        <f>IF(Table1[[#This Row],[Stress_Index]]&gt;=8,"High",IF(N300&gt;=5,"Medium","Low"))</f>
        <v>Medium</v>
      </c>
      <c r="P300" s="3">
        <v>3.19</v>
      </c>
      <c r="Q300" s="2">
        <v>3.7</v>
      </c>
      <c r="R300" s="3">
        <v>3.66</v>
      </c>
      <c r="S300" s="3" t="str">
        <f>IF(Table1[[#This Row],[CGPA]]&gt;=3,"High",IF(R299&gt;=2,"Medium","Low"))</f>
        <v>High</v>
      </c>
      <c r="T300" s="2" t="s">
        <v>12</v>
      </c>
      <c r="U300" s="2" t="s">
        <v>14</v>
      </c>
      <c r="V300" s="2" t="s">
        <v>15</v>
      </c>
      <c r="W300" s="7">
        <v>0</v>
      </c>
      <c r="X300" t="str">
        <f t="shared" si="9"/>
        <v>Active</v>
      </c>
    </row>
    <row r="301" spans="1:24" x14ac:dyDescent="0.3">
      <c r="A301" s="2">
        <v>300</v>
      </c>
      <c r="B301" s="7">
        <v>22.4</v>
      </c>
      <c r="C301" s="2" t="s">
        <v>11</v>
      </c>
      <c r="D301" s="7">
        <f>IF(ISBLANK('Raw sheet'!D301),AVERAGE('Raw sheet'!$D$2:'Raw sheet'!$D$1500),'Raw sheet'!D301)</f>
        <v>39877</v>
      </c>
      <c r="E301" s="7" t="str">
        <f>IF(Table1[[#This Row],[Family_Income]]&gt;=100000,"Upper",IF(D301&gt;=50000,"Middle","Lower"))</f>
        <v>Lower</v>
      </c>
      <c r="F301" s="2" t="s">
        <v>4</v>
      </c>
      <c r="G301" s="3">
        <f>IF(ISBLANK('Raw sheet'!F301),AVERAGE('Raw sheet'!$F$2:'Raw sheet'!$F$1500),'Raw sheet'!F301)</f>
        <v>3.78</v>
      </c>
      <c r="H301" s="18">
        <v>85.7</v>
      </c>
      <c r="I301" s="9" t="str">
        <f t="shared" si="8"/>
        <v>Good</v>
      </c>
      <c r="J301" s="2">
        <v>4</v>
      </c>
      <c r="K301" s="2">
        <v>48.6</v>
      </c>
      <c r="L301" s="2" t="s">
        <v>3</v>
      </c>
      <c r="M301" s="2" t="s">
        <v>4</v>
      </c>
      <c r="N301" s="5">
        <f>IF(ISBLANK('Raw sheet'!L301),AVERAGE('Raw sheet'!$L$2:'Raw sheet'!$L$1500),'Raw sheet'!L301)</f>
        <v>9.1</v>
      </c>
      <c r="O301" s="5" t="str">
        <f>IF(Table1[[#This Row],[Stress_Index]]&gt;=8,"High",IF(N301&gt;=5,"Medium","Low"))</f>
        <v>High</v>
      </c>
      <c r="P301" s="3">
        <v>2</v>
      </c>
      <c r="Q301" s="2">
        <v>2.04</v>
      </c>
      <c r="R301" s="3">
        <v>2.04</v>
      </c>
      <c r="S301" s="3" t="str">
        <f>IF(Table1[[#This Row],[CGPA]]&gt;=3,"High",IF(R300&gt;=2,"Medium","Low"))</f>
        <v>Medium</v>
      </c>
      <c r="T301" s="2" t="s">
        <v>2</v>
      </c>
      <c r="U301" s="2" t="s">
        <v>8</v>
      </c>
      <c r="V301" s="2" t="s">
        <v>0</v>
      </c>
      <c r="W301" s="7">
        <v>0</v>
      </c>
      <c r="X301" t="str">
        <f t="shared" si="9"/>
        <v>Active</v>
      </c>
    </row>
    <row r="302" spans="1:24" x14ac:dyDescent="0.3">
      <c r="A302" s="2">
        <v>301</v>
      </c>
      <c r="B302" s="7">
        <v>19.2</v>
      </c>
      <c r="C302" s="2" t="s">
        <v>11</v>
      </c>
      <c r="D302" s="7">
        <f>IF(ISBLANK('Raw sheet'!D302),AVERAGE('Raw sheet'!$D$2:'Raw sheet'!$D$1500),'Raw sheet'!D302)</f>
        <v>25000</v>
      </c>
      <c r="E302" s="7" t="str">
        <f>IF(Table1[[#This Row],[Family_Income]]&gt;=100000,"Upper",IF(D302&gt;=50000,"Middle","Lower"))</f>
        <v>Lower</v>
      </c>
      <c r="F302" s="2" t="s">
        <v>4</v>
      </c>
      <c r="G302" s="3">
        <f>IF(ISBLANK('Raw sheet'!F302),AVERAGE('Raw sheet'!$F$2:'Raw sheet'!$F$1500),'Raw sheet'!F302)</f>
        <v>4.8600000000000003</v>
      </c>
      <c r="H302" s="18">
        <v>75.099999999999994</v>
      </c>
      <c r="I302" s="9" t="str">
        <f t="shared" si="8"/>
        <v>Good</v>
      </c>
      <c r="J302" s="2">
        <v>3</v>
      </c>
      <c r="K302" s="2">
        <v>26.6</v>
      </c>
      <c r="L302" s="2" t="s">
        <v>3</v>
      </c>
      <c r="M302" s="2" t="s">
        <v>4</v>
      </c>
      <c r="N302" s="5">
        <f>IF(ISBLANK('Raw sheet'!L302),AVERAGE('Raw sheet'!$L$2:'Raw sheet'!$L$1500),'Raw sheet'!L302)</f>
        <v>2.9</v>
      </c>
      <c r="O302" s="5" t="str">
        <f>IF(Table1[[#This Row],[Stress_Index]]&gt;=8,"High",IF(N302&gt;=5,"Medium","Low"))</f>
        <v>Low</v>
      </c>
      <c r="P302" s="3">
        <v>2.29</v>
      </c>
      <c r="Q302" s="2">
        <v>2.5</v>
      </c>
      <c r="R302" s="3">
        <v>2.4900000000000002</v>
      </c>
      <c r="S302" s="3" t="str">
        <f>IF(Table1[[#This Row],[CGPA]]&gt;=3,"High",IF(R301&gt;=2,"Medium","Low"))</f>
        <v>Medium</v>
      </c>
      <c r="T302" s="2" t="s">
        <v>12</v>
      </c>
      <c r="U302" s="2" t="s">
        <v>13</v>
      </c>
      <c r="V302" s="2" t="s">
        <v>15</v>
      </c>
      <c r="W302" s="7">
        <v>0</v>
      </c>
      <c r="X302" t="str">
        <f t="shared" si="9"/>
        <v>Active</v>
      </c>
    </row>
    <row r="303" spans="1:24" x14ac:dyDescent="0.3">
      <c r="A303" s="2">
        <v>302</v>
      </c>
      <c r="B303" s="7">
        <v>19.8</v>
      </c>
      <c r="C303" s="2" t="s">
        <v>5</v>
      </c>
      <c r="D303" s="7">
        <f>IF(ISBLANK('Raw sheet'!D303),AVERAGE('Raw sheet'!$D$2:'Raw sheet'!$D$1500),'Raw sheet'!D303)</f>
        <v>38794</v>
      </c>
      <c r="E303" s="7" t="str">
        <f>IF(Table1[[#This Row],[Family_Income]]&gt;=100000,"Upper",IF(D303&gt;=50000,"Middle","Lower"))</f>
        <v>Lower</v>
      </c>
      <c r="F303" s="2" t="s">
        <v>4</v>
      </c>
      <c r="G303" s="3">
        <f>IF(ISBLANK('Raw sheet'!F303),AVERAGE('Raw sheet'!$F$2:'Raw sheet'!$F$1500),'Raw sheet'!F303)</f>
        <v>4.6100000000000003</v>
      </c>
      <c r="H303" s="18">
        <v>80.599999999999994</v>
      </c>
      <c r="I303" s="9" t="str">
        <f t="shared" si="8"/>
        <v>Good</v>
      </c>
      <c r="J303" s="2">
        <v>0</v>
      </c>
      <c r="K303" s="2">
        <v>39.6</v>
      </c>
      <c r="L303" s="2" t="s">
        <v>4</v>
      </c>
      <c r="M303" s="2" t="s">
        <v>3</v>
      </c>
      <c r="N303" s="5">
        <f>IF(ISBLANK('Raw sheet'!L303),AVERAGE('Raw sheet'!$L$2:'Raw sheet'!$L$1500),'Raw sheet'!L303)</f>
        <v>3.5</v>
      </c>
      <c r="O303" s="5" t="str">
        <f>IF(Table1[[#This Row],[Stress_Index]]&gt;=8,"High",IF(N303&gt;=5,"Medium","Low"))</f>
        <v>Low</v>
      </c>
      <c r="P303" s="3">
        <v>1.86</v>
      </c>
      <c r="Q303" s="2">
        <v>2.17</v>
      </c>
      <c r="R303" s="3">
        <v>2.1800000000000002</v>
      </c>
      <c r="S303" s="3" t="str">
        <f>IF(Table1[[#This Row],[CGPA]]&gt;=3,"High",IF(R302&gt;=2,"Medium","Low"))</f>
        <v>Medium</v>
      </c>
      <c r="T303" s="2" t="s">
        <v>12</v>
      </c>
      <c r="U303" s="2" t="s">
        <v>13</v>
      </c>
      <c r="V303" s="2" t="s">
        <v>15</v>
      </c>
      <c r="W303" s="7">
        <v>0</v>
      </c>
      <c r="X303" t="str">
        <f t="shared" si="9"/>
        <v>Active</v>
      </c>
    </row>
    <row r="304" spans="1:24" x14ac:dyDescent="0.3">
      <c r="A304" s="2">
        <v>303</v>
      </c>
      <c r="B304" s="7">
        <v>22.6</v>
      </c>
      <c r="C304" s="2" t="s">
        <v>5</v>
      </c>
      <c r="D304" s="7">
        <f>IF(ISBLANK('Raw sheet'!D304),AVERAGE('Raw sheet'!$D$2:'Raw sheet'!$D$1500),'Raw sheet'!D304)</f>
        <v>83581</v>
      </c>
      <c r="E304" s="7" t="str">
        <f>IF(Table1[[#This Row],[Family_Income]]&gt;=100000,"Upper",IF(D304&gt;=50000,"Middle","Lower"))</f>
        <v>Middle</v>
      </c>
      <c r="F304" s="2" t="s">
        <v>3</v>
      </c>
      <c r="G304" s="3">
        <f>IF(ISBLANK('Raw sheet'!F304),AVERAGE('Raw sheet'!$F$2:'Raw sheet'!$F$1500),'Raw sheet'!F304)</f>
        <v>2.57</v>
      </c>
      <c r="H304" s="18">
        <v>79.7</v>
      </c>
      <c r="I304" s="9" t="str">
        <f t="shared" si="8"/>
        <v>Good</v>
      </c>
      <c r="J304" s="2">
        <v>2</v>
      </c>
      <c r="K304" s="2">
        <v>56.3</v>
      </c>
      <c r="L304" s="2" t="s">
        <v>3</v>
      </c>
      <c r="M304" s="2" t="s">
        <v>3</v>
      </c>
      <c r="N304" s="5">
        <f>IF(ISBLANK('Raw sheet'!L304),AVERAGE('Raw sheet'!$L$2:'Raw sheet'!$L$1500),'Raw sheet'!L304)</f>
        <v>6.8</v>
      </c>
      <c r="O304" s="5" t="str">
        <f>IF(Table1[[#This Row],[Stress_Index]]&gt;=8,"High",IF(N304&gt;=5,"Medium","Low"))</f>
        <v>Medium</v>
      </c>
      <c r="P304" s="3">
        <v>1.1499999999999999</v>
      </c>
      <c r="Q304" s="2">
        <v>1.1399999999999999</v>
      </c>
      <c r="R304" s="3">
        <v>1.1399999999999999</v>
      </c>
      <c r="S304" s="3" t="str">
        <f>IF(Table1[[#This Row],[CGPA]]&gt;=3,"High",IF(R303&gt;=2,"Medium","Low"))</f>
        <v>Medium</v>
      </c>
      <c r="T304" s="2" t="s">
        <v>2</v>
      </c>
      <c r="U304" s="2" t="s">
        <v>14</v>
      </c>
      <c r="V304" s="2" t="s">
        <v>9</v>
      </c>
      <c r="W304" s="7">
        <v>0</v>
      </c>
      <c r="X304" t="str">
        <f t="shared" si="9"/>
        <v>Active</v>
      </c>
    </row>
    <row r="305" spans="1:24" x14ac:dyDescent="0.3">
      <c r="A305" s="2">
        <v>304</v>
      </c>
      <c r="B305" s="7">
        <v>22.3</v>
      </c>
      <c r="C305" s="2" t="s">
        <v>11</v>
      </c>
      <c r="D305" s="7">
        <f>IF(ISBLANK('Raw sheet'!D305),AVERAGE('Raw sheet'!$D$2:'Raw sheet'!$D$1500),'Raw sheet'!D305)</f>
        <v>38587.00282087447</v>
      </c>
      <c r="E305" s="7" t="str">
        <f>IF(Table1[[#This Row],[Family_Income]]&gt;=100000,"Upper",IF(D305&gt;=50000,"Middle","Lower"))</f>
        <v>Lower</v>
      </c>
      <c r="F305" s="2" t="s">
        <v>4</v>
      </c>
      <c r="G305" s="3">
        <f>IF(ISBLANK('Raw sheet'!F305),AVERAGE('Raw sheet'!$F$2:'Raw sheet'!$F$1500),'Raw sheet'!F305)</f>
        <v>4.0178702397743278</v>
      </c>
      <c r="H305" s="18">
        <v>84.4</v>
      </c>
      <c r="I305" s="9" t="str">
        <f t="shared" si="8"/>
        <v>Good</v>
      </c>
      <c r="J305" s="2">
        <v>0</v>
      </c>
      <c r="K305" s="2">
        <v>28.7</v>
      </c>
      <c r="L305" s="2" t="s">
        <v>3</v>
      </c>
      <c r="M305" s="2" t="s">
        <v>3</v>
      </c>
      <c r="N305" s="5">
        <f>IF(ISBLANK('Raw sheet'!L305),AVERAGE('Raw sheet'!$L$2:'Raw sheet'!$L$1500),'Raw sheet'!L305)</f>
        <v>5.5242595204513369</v>
      </c>
      <c r="O305" s="5" t="str">
        <f>IF(Table1[[#This Row],[Stress_Index]]&gt;=8,"High",IF(N305&gt;=5,"Medium","Low"))</f>
        <v>Medium</v>
      </c>
      <c r="P305" s="3">
        <v>2.2000000000000002</v>
      </c>
      <c r="Q305" s="2">
        <v>2.31</v>
      </c>
      <c r="R305" s="3">
        <v>2.3199999999999998</v>
      </c>
      <c r="S305" s="3" t="str">
        <f>IF(Table1[[#This Row],[CGPA]]&gt;=3,"High",IF(R304&gt;=2,"Medium","Low"))</f>
        <v>Low</v>
      </c>
      <c r="T305" s="2" t="s">
        <v>7</v>
      </c>
      <c r="U305" s="2" t="s">
        <v>6</v>
      </c>
      <c r="V305" s="2" t="s">
        <v>16</v>
      </c>
      <c r="W305" s="7">
        <v>0</v>
      </c>
      <c r="X305" t="str">
        <f t="shared" si="9"/>
        <v>Active</v>
      </c>
    </row>
    <row r="306" spans="1:24" x14ac:dyDescent="0.3">
      <c r="A306" s="2">
        <v>305</v>
      </c>
      <c r="B306" s="7">
        <v>21</v>
      </c>
      <c r="C306" s="2" t="s">
        <v>11</v>
      </c>
      <c r="D306" s="7">
        <f>IF(ISBLANK('Raw sheet'!D306),AVERAGE('Raw sheet'!$D$2:'Raw sheet'!$D$1500),'Raw sheet'!D306)</f>
        <v>38587.00282087447</v>
      </c>
      <c r="E306" s="7" t="str">
        <f>IF(Table1[[#This Row],[Family_Income]]&gt;=100000,"Upper",IF(D306&gt;=50000,"Middle","Lower"))</f>
        <v>Lower</v>
      </c>
      <c r="F306" s="2" t="s">
        <v>3</v>
      </c>
      <c r="G306" s="3">
        <f>IF(ISBLANK('Raw sheet'!F306),AVERAGE('Raw sheet'!$F$2:'Raw sheet'!$F$1500),'Raw sheet'!F306)</f>
        <v>4.0178702397743278</v>
      </c>
      <c r="H306" s="18">
        <v>72.599999999999994</v>
      </c>
      <c r="I306" s="9" t="str">
        <f t="shared" si="8"/>
        <v>Low</v>
      </c>
      <c r="J306" s="2">
        <v>4</v>
      </c>
      <c r="K306" s="2">
        <v>5.8</v>
      </c>
      <c r="L306" s="2" t="s">
        <v>3</v>
      </c>
      <c r="M306" s="2" t="s">
        <v>4</v>
      </c>
      <c r="N306" s="5">
        <f>IF(ISBLANK('Raw sheet'!L306),AVERAGE('Raw sheet'!$L$2:'Raw sheet'!$L$1500),'Raw sheet'!L306)</f>
        <v>5.5242595204513369</v>
      </c>
      <c r="O306" s="5" t="str">
        <f>IF(Table1[[#This Row],[Stress_Index]]&gt;=8,"High",IF(N306&gt;=5,"Medium","Low"))</f>
        <v>Medium</v>
      </c>
      <c r="P306" s="3">
        <v>1.59</v>
      </c>
      <c r="Q306" s="2">
        <v>1.52</v>
      </c>
      <c r="R306" s="3">
        <v>1.46</v>
      </c>
      <c r="S306" s="3" t="str">
        <f>IF(Table1[[#This Row],[CGPA]]&gt;=3,"High",IF(R305&gt;=2,"Medium","Low"))</f>
        <v>Medium</v>
      </c>
      <c r="T306" s="2" t="s">
        <v>10</v>
      </c>
      <c r="U306" s="2" t="s">
        <v>6</v>
      </c>
      <c r="V306" s="2" t="s">
        <v>9</v>
      </c>
      <c r="W306" s="7">
        <v>0</v>
      </c>
      <c r="X306" t="str">
        <f t="shared" si="9"/>
        <v>Active</v>
      </c>
    </row>
    <row r="307" spans="1:24" x14ac:dyDescent="0.3">
      <c r="A307" s="2">
        <v>306</v>
      </c>
      <c r="B307" s="7">
        <v>21.3</v>
      </c>
      <c r="C307" s="2" t="s">
        <v>5</v>
      </c>
      <c r="D307" s="7">
        <f>IF(ISBLANK('Raw sheet'!D307),AVERAGE('Raw sheet'!$D$2:'Raw sheet'!$D$1500),'Raw sheet'!D307)</f>
        <v>27021</v>
      </c>
      <c r="E307" s="7" t="str">
        <f>IF(Table1[[#This Row],[Family_Income]]&gt;=100000,"Upper",IF(D307&gt;=50000,"Middle","Lower"))</f>
        <v>Lower</v>
      </c>
      <c r="F307" s="2" t="s">
        <v>4</v>
      </c>
      <c r="G307" s="3">
        <f>IF(ISBLANK('Raw sheet'!F307),AVERAGE('Raw sheet'!$F$2:'Raw sheet'!$F$1500),'Raw sheet'!F307)</f>
        <v>6.35</v>
      </c>
      <c r="H307" s="18">
        <v>92.2</v>
      </c>
      <c r="I307" s="9" t="str">
        <f t="shared" si="8"/>
        <v>Good</v>
      </c>
      <c r="J307" s="2">
        <v>0</v>
      </c>
      <c r="K307" s="2">
        <v>19.7</v>
      </c>
      <c r="L307" s="2" t="s">
        <v>4</v>
      </c>
      <c r="M307" s="2" t="s">
        <v>3</v>
      </c>
      <c r="N307" s="5">
        <f>IF(ISBLANK('Raw sheet'!L307),AVERAGE('Raw sheet'!$L$2:'Raw sheet'!$L$1500),'Raw sheet'!L307)</f>
        <v>5.3</v>
      </c>
      <c r="O307" s="5" t="str">
        <f>IF(Table1[[#This Row],[Stress_Index]]&gt;=8,"High",IF(N307&gt;=5,"Medium","Low"))</f>
        <v>Medium</v>
      </c>
      <c r="P307" s="3">
        <v>3.58</v>
      </c>
      <c r="Q307" s="2">
        <v>4</v>
      </c>
      <c r="R307" s="3">
        <v>3.93</v>
      </c>
      <c r="S307" s="3" t="str">
        <f>IF(Table1[[#This Row],[CGPA]]&gt;=3,"High",IF(R306&gt;=2,"Medium","Low"))</f>
        <v>High</v>
      </c>
      <c r="T307" s="2" t="s">
        <v>10</v>
      </c>
      <c r="U307" s="2" t="s">
        <v>1</v>
      </c>
      <c r="V307" s="2" t="s">
        <v>9</v>
      </c>
      <c r="W307" s="7">
        <v>0</v>
      </c>
      <c r="X307" t="str">
        <f t="shared" si="9"/>
        <v>Active</v>
      </c>
    </row>
    <row r="308" spans="1:24" x14ac:dyDescent="0.3">
      <c r="A308" s="2">
        <v>307</v>
      </c>
      <c r="B308" s="7">
        <v>23.8</v>
      </c>
      <c r="C308" s="2" t="s">
        <v>11</v>
      </c>
      <c r="D308" s="7">
        <f>IF(ISBLANK('Raw sheet'!D308),AVERAGE('Raw sheet'!$D$2:'Raw sheet'!$D$1500),'Raw sheet'!D308)</f>
        <v>25000</v>
      </c>
      <c r="E308" s="7" t="str">
        <f>IF(Table1[[#This Row],[Family_Income]]&gt;=100000,"Upper",IF(D308&gt;=50000,"Middle","Lower"))</f>
        <v>Lower</v>
      </c>
      <c r="F308" s="2" t="s">
        <v>4</v>
      </c>
      <c r="G308" s="3">
        <f>IF(ISBLANK('Raw sheet'!F308),AVERAGE('Raw sheet'!$F$2:'Raw sheet'!$F$1500),'Raw sheet'!F308)</f>
        <v>3.21</v>
      </c>
      <c r="H308" s="18">
        <v>84.1</v>
      </c>
      <c r="I308" s="9" t="str">
        <f t="shared" si="8"/>
        <v>Good</v>
      </c>
      <c r="J308" s="2">
        <v>0</v>
      </c>
      <c r="K308" s="2">
        <v>33.5</v>
      </c>
      <c r="L308" s="2" t="s">
        <v>3</v>
      </c>
      <c r="M308" s="2" t="s">
        <v>3</v>
      </c>
      <c r="N308" s="5">
        <f>IF(ISBLANK('Raw sheet'!L308),AVERAGE('Raw sheet'!$L$2:'Raw sheet'!$L$1500),'Raw sheet'!L308)</f>
        <v>5.9</v>
      </c>
      <c r="O308" s="5" t="str">
        <f>IF(Table1[[#This Row],[Stress_Index]]&gt;=8,"High",IF(N308&gt;=5,"Medium","Low"))</f>
        <v>Medium</v>
      </c>
      <c r="P308" s="3">
        <v>2.42</v>
      </c>
      <c r="Q308" s="2">
        <v>2.4300000000000002</v>
      </c>
      <c r="R308" s="3">
        <v>2.44</v>
      </c>
      <c r="S308" s="3" t="str">
        <f>IF(Table1[[#This Row],[CGPA]]&gt;=3,"High",IF(R307&gt;=2,"Medium","Low"))</f>
        <v>Medium</v>
      </c>
      <c r="T308" s="2" t="s">
        <v>12</v>
      </c>
      <c r="U308" s="2" t="s">
        <v>1</v>
      </c>
      <c r="V308" s="2" t="s">
        <v>15</v>
      </c>
      <c r="W308" s="7">
        <v>0</v>
      </c>
      <c r="X308" t="str">
        <f t="shared" si="9"/>
        <v>Active</v>
      </c>
    </row>
    <row r="309" spans="1:24" x14ac:dyDescent="0.3">
      <c r="A309" s="2">
        <v>308</v>
      </c>
      <c r="B309" s="7">
        <v>19.7</v>
      </c>
      <c r="C309" s="2" t="s">
        <v>11</v>
      </c>
      <c r="D309" s="7">
        <f>IF(ISBLANK('Raw sheet'!D309),AVERAGE('Raw sheet'!$D$2:'Raw sheet'!$D$1500),'Raw sheet'!D309)</f>
        <v>48083</v>
      </c>
      <c r="E309" s="7" t="str">
        <f>IF(Table1[[#This Row],[Family_Income]]&gt;=100000,"Upper",IF(D309&gt;=50000,"Middle","Lower"))</f>
        <v>Lower</v>
      </c>
      <c r="F309" s="2" t="s">
        <v>4</v>
      </c>
      <c r="G309" s="3">
        <f>IF(ISBLANK('Raw sheet'!F309),AVERAGE('Raw sheet'!$F$2:'Raw sheet'!$F$1500),'Raw sheet'!F309)</f>
        <v>5.37</v>
      </c>
      <c r="H309" s="18">
        <v>90.5</v>
      </c>
      <c r="I309" s="9" t="str">
        <f t="shared" si="8"/>
        <v>Good</v>
      </c>
      <c r="J309" s="2">
        <v>4</v>
      </c>
      <c r="K309" s="2">
        <v>20</v>
      </c>
      <c r="L309" s="2" t="s">
        <v>3</v>
      </c>
      <c r="M309" s="2" t="s">
        <v>3</v>
      </c>
      <c r="N309" s="5">
        <f>IF(ISBLANK('Raw sheet'!L309),AVERAGE('Raw sheet'!$L$2:'Raw sheet'!$L$1500),'Raw sheet'!L309)</f>
        <v>4.5999999999999996</v>
      </c>
      <c r="O309" s="5" t="str">
        <f>IF(Table1[[#This Row],[Stress_Index]]&gt;=8,"High",IF(N309&gt;=5,"Medium","Low"))</f>
        <v>Low</v>
      </c>
      <c r="P309" s="3">
        <v>2.87</v>
      </c>
      <c r="Q309" s="2">
        <v>3.07</v>
      </c>
      <c r="R309" s="3">
        <v>3.09</v>
      </c>
      <c r="S309" s="3" t="str">
        <f>IF(Table1[[#This Row],[CGPA]]&gt;=3,"High",IF(R308&gt;=2,"Medium","Low"))</f>
        <v>High</v>
      </c>
      <c r="T309" s="2" t="s">
        <v>12</v>
      </c>
      <c r="U309" s="2" t="s">
        <v>1</v>
      </c>
      <c r="V309" s="2" t="s">
        <v>15</v>
      </c>
      <c r="W309" s="7">
        <v>0</v>
      </c>
      <c r="X309" t="str">
        <f t="shared" si="9"/>
        <v>Active</v>
      </c>
    </row>
    <row r="310" spans="1:24" x14ac:dyDescent="0.3">
      <c r="A310" s="2">
        <v>309</v>
      </c>
      <c r="B310" s="7">
        <v>22.2</v>
      </c>
      <c r="C310" s="2" t="s">
        <v>5</v>
      </c>
      <c r="D310" s="7">
        <f>IF(ISBLANK('Raw sheet'!D310),AVERAGE('Raw sheet'!$D$2:'Raw sheet'!$D$1500),'Raw sheet'!D310)</f>
        <v>82936</v>
      </c>
      <c r="E310" s="7" t="str">
        <f>IF(Table1[[#This Row],[Family_Income]]&gt;=100000,"Upper",IF(D310&gt;=50000,"Middle","Lower"))</f>
        <v>Middle</v>
      </c>
      <c r="F310" s="2" t="s">
        <v>4</v>
      </c>
      <c r="G310" s="3">
        <f>IF(ISBLANK('Raw sheet'!F310),AVERAGE('Raw sheet'!$F$2:'Raw sheet'!$F$1500),'Raw sheet'!F310)</f>
        <v>4.49</v>
      </c>
      <c r="H310" s="18">
        <v>77.400000000000006</v>
      </c>
      <c r="I310" s="9" t="str">
        <f t="shared" si="8"/>
        <v>Good</v>
      </c>
      <c r="J310" s="2">
        <v>2</v>
      </c>
      <c r="K310" s="2">
        <v>25.8</v>
      </c>
      <c r="L310" s="2" t="s">
        <v>3</v>
      </c>
      <c r="M310" s="2" t="s">
        <v>3</v>
      </c>
      <c r="N310" s="5">
        <f>IF(ISBLANK('Raw sheet'!L310),AVERAGE('Raw sheet'!$L$2:'Raw sheet'!$L$1500),'Raw sheet'!L310)</f>
        <v>7.3</v>
      </c>
      <c r="O310" s="5" t="str">
        <f>IF(Table1[[#This Row],[Stress_Index]]&gt;=8,"High",IF(N310&gt;=5,"Medium","Low"))</f>
        <v>Medium</v>
      </c>
      <c r="P310" s="3">
        <v>3.19</v>
      </c>
      <c r="Q310" s="2">
        <v>3.32</v>
      </c>
      <c r="R310" s="3">
        <v>3.39</v>
      </c>
      <c r="S310" s="3" t="str">
        <f>IF(Table1[[#This Row],[CGPA]]&gt;=3,"High",IF(R309&gt;=2,"Medium","Low"))</f>
        <v>High</v>
      </c>
      <c r="T310" s="2" t="s">
        <v>12</v>
      </c>
      <c r="U310" s="2" t="s">
        <v>14</v>
      </c>
      <c r="V310" s="2" t="s">
        <v>0</v>
      </c>
      <c r="W310" s="7">
        <v>0</v>
      </c>
      <c r="X310" t="str">
        <f t="shared" si="9"/>
        <v>Active</v>
      </c>
    </row>
    <row r="311" spans="1:24" x14ac:dyDescent="0.3">
      <c r="A311" s="2">
        <v>310</v>
      </c>
      <c r="B311" s="7">
        <v>20.6</v>
      </c>
      <c r="C311" s="2" t="s">
        <v>5</v>
      </c>
      <c r="D311" s="7">
        <f>IF(ISBLANK('Raw sheet'!D311),AVERAGE('Raw sheet'!$D$2:'Raw sheet'!$D$1500),'Raw sheet'!D311)</f>
        <v>47341</v>
      </c>
      <c r="E311" s="7" t="str">
        <f>IF(Table1[[#This Row],[Family_Income]]&gt;=100000,"Upper",IF(D311&gt;=50000,"Middle","Lower"))</f>
        <v>Lower</v>
      </c>
      <c r="F311" s="2" t="s">
        <v>3</v>
      </c>
      <c r="G311" s="3">
        <f>IF(ISBLANK('Raw sheet'!F311),AVERAGE('Raw sheet'!$F$2:'Raw sheet'!$F$1500),'Raw sheet'!F311)</f>
        <v>2.89</v>
      </c>
      <c r="H311" s="18">
        <v>72.2</v>
      </c>
      <c r="I311" s="9" t="str">
        <f t="shared" si="8"/>
        <v>Low</v>
      </c>
      <c r="J311" s="2">
        <v>7</v>
      </c>
      <c r="K311" s="2">
        <v>26.5</v>
      </c>
      <c r="L311" s="2" t="s">
        <v>3</v>
      </c>
      <c r="M311" s="2" t="s">
        <v>4</v>
      </c>
      <c r="N311" s="5">
        <f>IF(ISBLANK('Raw sheet'!L311),AVERAGE('Raw sheet'!$L$2:'Raw sheet'!$L$1500),'Raw sheet'!L311)</f>
        <v>4.5999999999999996</v>
      </c>
      <c r="O311" s="5" t="str">
        <f>IF(Table1[[#This Row],[Stress_Index]]&gt;=8,"High",IF(N311&gt;=5,"Medium","Low"))</f>
        <v>Low</v>
      </c>
      <c r="P311" s="3">
        <v>1.5</v>
      </c>
      <c r="Q311" s="2">
        <v>1.32</v>
      </c>
      <c r="R311" s="3">
        <v>1.32</v>
      </c>
      <c r="S311" s="3" t="str">
        <f>IF(Table1[[#This Row],[CGPA]]&gt;=3,"High",IF(R310&gt;=2,"Medium","Low"))</f>
        <v>Medium</v>
      </c>
      <c r="T311" s="2" t="s">
        <v>2</v>
      </c>
      <c r="U311" s="2" t="s">
        <v>6</v>
      </c>
      <c r="V311" s="2" t="s">
        <v>0</v>
      </c>
      <c r="W311" s="7">
        <v>1</v>
      </c>
      <c r="X311" t="str">
        <f t="shared" si="9"/>
        <v>Dropped Out</v>
      </c>
    </row>
    <row r="312" spans="1:24" x14ac:dyDescent="0.3">
      <c r="A312" s="2">
        <v>311</v>
      </c>
      <c r="B312" s="7">
        <v>20.5</v>
      </c>
      <c r="C312" s="2" t="s">
        <v>5</v>
      </c>
      <c r="D312" s="7">
        <f>IF(ISBLANK('Raw sheet'!D312),AVERAGE('Raw sheet'!$D$2:'Raw sheet'!$D$1500),'Raw sheet'!D312)</f>
        <v>25000</v>
      </c>
      <c r="E312" s="7" t="str">
        <f>IF(Table1[[#This Row],[Family_Income]]&gt;=100000,"Upper",IF(D312&gt;=50000,"Middle","Lower"))</f>
        <v>Lower</v>
      </c>
      <c r="F312" s="2" t="s">
        <v>4</v>
      </c>
      <c r="G312" s="3">
        <f>IF(ISBLANK('Raw sheet'!F312),AVERAGE('Raw sheet'!$F$2:'Raw sheet'!$F$1500),'Raw sheet'!F312)</f>
        <v>4.76</v>
      </c>
      <c r="H312" s="18">
        <v>74.400000000000006</v>
      </c>
      <c r="I312" s="9" t="str">
        <f t="shared" si="8"/>
        <v>Low</v>
      </c>
      <c r="J312" s="2">
        <v>2</v>
      </c>
      <c r="K312" s="2">
        <v>36.700000000000003</v>
      </c>
      <c r="L312" s="2" t="s">
        <v>3</v>
      </c>
      <c r="M312" s="2" t="s">
        <v>3</v>
      </c>
      <c r="N312" s="5">
        <f>IF(ISBLANK('Raw sheet'!L312),AVERAGE('Raw sheet'!$L$2:'Raw sheet'!$L$1500),'Raw sheet'!L312)</f>
        <v>6.8</v>
      </c>
      <c r="O312" s="5" t="str">
        <f>IF(Table1[[#This Row],[Stress_Index]]&gt;=8,"High",IF(N312&gt;=5,"Medium","Low"))</f>
        <v>Medium</v>
      </c>
      <c r="P312" s="3">
        <v>1.39</v>
      </c>
      <c r="Q312" s="2">
        <v>0.96</v>
      </c>
      <c r="R312" s="3">
        <v>1</v>
      </c>
      <c r="S312" s="3" t="str">
        <f>IF(Table1[[#This Row],[CGPA]]&gt;=3,"High",IF(R311&gt;=2,"Medium","Low"))</f>
        <v>Low</v>
      </c>
      <c r="T312" s="2" t="s">
        <v>7</v>
      </c>
      <c r="U312" s="2" t="s">
        <v>1</v>
      </c>
      <c r="V312" s="2" t="s">
        <v>15</v>
      </c>
      <c r="W312" s="7">
        <v>0</v>
      </c>
      <c r="X312" t="str">
        <f t="shared" si="9"/>
        <v>Active</v>
      </c>
    </row>
    <row r="313" spans="1:24" x14ac:dyDescent="0.3">
      <c r="A313" s="2">
        <v>312</v>
      </c>
      <c r="B313" s="7">
        <v>23.4</v>
      </c>
      <c r="C313" s="2" t="s">
        <v>11</v>
      </c>
      <c r="D313" s="7">
        <f>IF(ISBLANK('Raw sheet'!D313),AVERAGE('Raw sheet'!$D$2:'Raw sheet'!$D$1500),'Raw sheet'!D313)</f>
        <v>38587.00282087447</v>
      </c>
      <c r="E313" s="7" t="str">
        <f>IF(Table1[[#This Row],[Family_Income]]&gt;=100000,"Upper",IF(D313&gt;=50000,"Middle","Lower"))</f>
        <v>Lower</v>
      </c>
      <c r="F313" s="2" t="s">
        <v>4</v>
      </c>
      <c r="G313" s="3">
        <f>IF(ISBLANK('Raw sheet'!F313),AVERAGE('Raw sheet'!$F$2:'Raw sheet'!$F$1500),'Raw sheet'!F313)</f>
        <v>4.0178702397743278</v>
      </c>
      <c r="H313" s="18">
        <v>87.6</v>
      </c>
      <c r="I313" s="9" t="str">
        <f t="shared" si="8"/>
        <v>Good</v>
      </c>
      <c r="J313" s="2">
        <v>1</v>
      </c>
      <c r="K313" s="2">
        <v>18.600000000000001</v>
      </c>
      <c r="L313" s="2" t="s">
        <v>4</v>
      </c>
      <c r="M313" s="2" t="s">
        <v>3</v>
      </c>
      <c r="N313" s="5">
        <f>IF(ISBLANK('Raw sheet'!L313),AVERAGE('Raw sheet'!$L$2:'Raw sheet'!$L$1500),'Raw sheet'!L313)</f>
        <v>5.5242595204513369</v>
      </c>
      <c r="O313" s="5" t="str">
        <f>IF(Table1[[#This Row],[Stress_Index]]&gt;=8,"High",IF(N313&gt;=5,"Medium","Low"))</f>
        <v>Medium</v>
      </c>
      <c r="P313" s="3">
        <v>4</v>
      </c>
      <c r="Q313" s="2">
        <v>3.97</v>
      </c>
      <c r="R313" s="3">
        <v>4</v>
      </c>
      <c r="S313" s="3" t="str">
        <f>IF(Table1[[#This Row],[CGPA]]&gt;=3,"High",IF(R312&gt;=2,"Medium","Low"))</f>
        <v>High</v>
      </c>
      <c r="T313" s="2" t="s">
        <v>12</v>
      </c>
      <c r="U313" s="2" t="s">
        <v>1</v>
      </c>
      <c r="V313" s="2" t="s">
        <v>15</v>
      </c>
      <c r="W313" s="7">
        <v>0</v>
      </c>
      <c r="X313" t="str">
        <f t="shared" si="9"/>
        <v>Active</v>
      </c>
    </row>
    <row r="314" spans="1:24" x14ac:dyDescent="0.3">
      <c r="A314" s="2">
        <v>313</v>
      </c>
      <c r="B314" s="7">
        <v>22.8</v>
      </c>
      <c r="C314" s="2" t="s">
        <v>5</v>
      </c>
      <c r="D314" s="7">
        <f>IF(ISBLANK('Raw sheet'!D314),AVERAGE('Raw sheet'!$D$2:'Raw sheet'!$D$1500),'Raw sheet'!D314)</f>
        <v>32428</v>
      </c>
      <c r="E314" s="7" t="str">
        <f>IF(Table1[[#This Row],[Family_Income]]&gt;=100000,"Upper",IF(D314&gt;=50000,"Middle","Lower"))</f>
        <v>Lower</v>
      </c>
      <c r="F314" s="2" t="s">
        <v>4</v>
      </c>
      <c r="G314" s="3">
        <f>IF(ISBLANK('Raw sheet'!F314),AVERAGE('Raw sheet'!$F$2:'Raw sheet'!$F$1500),'Raw sheet'!F314)</f>
        <v>5.2</v>
      </c>
      <c r="H314" s="18">
        <v>78.5</v>
      </c>
      <c r="I314" s="9" t="str">
        <f t="shared" si="8"/>
        <v>Good</v>
      </c>
      <c r="J314" s="2">
        <v>0</v>
      </c>
      <c r="K314" s="2">
        <v>23</v>
      </c>
      <c r="L314" s="2" t="s">
        <v>3</v>
      </c>
      <c r="M314" s="2" t="s">
        <v>4</v>
      </c>
      <c r="N314" s="5">
        <f>IF(ISBLANK('Raw sheet'!L314),AVERAGE('Raw sheet'!$L$2:'Raw sheet'!$L$1500),'Raw sheet'!L314)</f>
        <v>8.6</v>
      </c>
      <c r="O314" s="5" t="str">
        <f>IF(Table1[[#This Row],[Stress_Index]]&gt;=8,"High",IF(N314&gt;=5,"Medium","Low"))</f>
        <v>High</v>
      </c>
      <c r="P314" s="3">
        <v>0.08</v>
      </c>
      <c r="Q314" s="2">
        <v>0</v>
      </c>
      <c r="R314" s="3">
        <v>0</v>
      </c>
      <c r="S314" s="3" t="str">
        <f>IF(Table1[[#This Row],[CGPA]]&gt;=3,"High",IF(R313&gt;=2,"Medium","Low"))</f>
        <v>Medium</v>
      </c>
      <c r="T314" s="2" t="s">
        <v>7</v>
      </c>
      <c r="U314" s="2" t="s">
        <v>6</v>
      </c>
      <c r="V314" s="2" t="s">
        <v>15</v>
      </c>
      <c r="W314" s="7">
        <v>1</v>
      </c>
      <c r="X314" t="str">
        <f t="shared" si="9"/>
        <v>Dropped Out</v>
      </c>
    </row>
    <row r="315" spans="1:24" x14ac:dyDescent="0.3">
      <c r="A315" s="2">
        <v>314</v>
      </c>
      <c r="B315" s="7">
        <v>22.8</v>
      </c>
      <c r="C315" s="2" t="s">
        <v>11</v>
      </c>
      <c r="D315" s="7">
        <f>IF(ISBLANK('Raw sheet'!D315),AVERAGE('Raw sheet'!$D$2:'Raw sheet'!$D$1500),'Raw sheet'!D315)</f>
        <v>50207</v>
      </c>
      <c r="E315" s="7" t="str">
        <f>IF(Table1[[#This Row],[Family_Income]]&gt;=100000,"Upper",IF(D315&gt;=50000,"Middle","Lower"))</f>
        <v>Middle</v>
      </c>
      <c r="F315" s="2" t="s">
        <v>4</v>
      </c>
      <c r="G315" s="3">
        <f>IF(ISBLANK('Raw sheet'!F315),AVERAGE('Raw sheet'!$F$2:'Raw sheet'!$F$1500),'Raw sheet'!F315)</f>
        <v>2.99</v>
      </c>
      <c r="H315" s="18">
        <v>69</v>
      </c>
      <c r="I315" s="9" t="str">
        <f t="shared" si="8"/>
        <v>Low</v>
      </c>
      <c r="J315" s="2">
        <v>2</v>
      </c>
      <c r="K315" s="2">
        <v>46.9</v>
      </c>
      <c r="L315" s="2" t="s">
        <v>3</v>
      </c>
      <c r="M315" s="2" t="s">
        <v>3</v>
      </c>
      <c r="N315" s="5">
        <f>IF(ISBLANK('Raw sheet'!L315),AVERAGE('Raw sheet'!$L$2:'Raw sheet'!$L$1500),'Raw sheet'!L315)</f>
        <v>1.7</v>
      </c>
      <c r="O315" s="5" t="str">
        <f>IF(Table1[[#This Row],[Stress_Index]]&gt;=8,"High",IF(N315&gt;=5,"Medium","Low"))</f>
        <v>Low</v>
      </c>
      <c r="P315" s="3">
        <v>3.28</v>
      </c>
      <c r="Q315" s="2">
        <v>3.17</v>
      </c>
      <c r="R315" s="3">
        <v>3.17</v>
      </c>
      <c r="S315" s="3" t="str">
        <f>IF(Table1[[#This Row],[CGPA]]&gt;=3,"High",IF(R314&gt;=2,"Medium","Low"))</f>
        <v>High</v>
      </c>
      <c r="T315" s="2" t="s">
        <v>2</v>
      </c>
      <c r="U315" s="2" t="s">
        <v>14</v>
      </c>
      <c r="V315" s="2" t="s">
        <v>9</v>
      </c>
      <c r="W315" s="7">
        <v>0</v>
      </c>
      <c r="X315" t="str">
        <f t="shared" si="9"/>
        <v>Active</v>
      </c>
    </row>
    <row r="316" spans="1:24" x14ac:dyDescent="0.3">
      <c r="A316" s="2">
        <v>315</v>
      </c>
      <c r="B316" s="7">
        <v>23.9</v>
      </c>
      <c r="C316" s="2" t="s">
        <v>5</v>
      </c>
      <c r="D316" s="7">
        <f>IF(ISBLANK('Raw sheet'!D316),AVERAGE('Raw sheet'!$D$2:'Raw sheet'!$D$1500),'Raw sheet'!D316)</f>
        <v>25000</v>
      </c>
      <c r="E316" s="7" t="str">
        <f>IF(Table1[[#This Row],[Family_Income]]&gt;=100000,"Upper",IF(D316&gt;=50000,"Middle","Lower"))</f>
        <v>Lower</v>
      </c>
      <c r="F316" s="2" t="s">
        <v>4</v>
      </c>
      <c r="G316" s="3">
        <f>IF(ISBLANK('Raw sheet'!F316),AVERAGE('Raw sheet'!$F$2:'Raw sheet'!$F$1500),'Raw sheet'!F316)</f>
        <v>3.89</v>
      </c>
      <c r="H316" s="18">
        <v>83.4</v>
      </c>
      <c r="I316" s="9" t="str">
        <f t="shared" si="8"/>
        <v>Good</v>
      </c>
      <c r="J316" s="2">
        <v>2</v>
      </c>
      <c r="K316" s="2">
        <v>24.2</v>
      </c>
      <c r="L316" s="2" t="s">
        <v>3</v>
      </c>
      <c r="M316" s="2" t="s">
        <v>3</v>
      </c>
      <c r="N316" s="5">
        <f>IF(ISBLANK('Raw sheet'!L316),AVERAGE('Raw sheet'!$L$2:'Raw sheet'!$L$1500),'Raw sheet'!L316)</f>
        <v>3.6</v>
      </c>
      <c r="O316" s="5" t="str">
        <f>IF(Table1[[#This Row],[Stress_Index]]&gt;=8,"High",IF(N316&gt;=5,"Medium","Low"))</f>
        <v>Low</v>
      </c>
      <c r="P316" s="3">
        <v>1.66</v>
      </c>
      <c r="Q316" s="2">
        <v>2.0299999999999998</v>
      </c>
      <c r="R316" s="3">
        <v>2.0499999999999998</v>
      </c>
      <c r="S316" s="3" t="str">
        <f>IF(Table1[[#This Row],[CGPA]]&gt;=3,"High",IF(R315&gt;=2,"Medium","Low"))</f>
        <v>Medium</v>
      </c>
      <c r="T316" s="2" t="s">
        <v>10</v>
      </c>
      <c r="U316" s="2" t="s">
        <v>6</v>
      </c>
      <c r="V316" s="2" t="s">
        <v>15</v>
      </c>
      <c r="W316" s="7">
        <v>0</v>
      </c>
      <c r="X316" t="str">
        <f t="shared" si="9"/>
        <v>Active</v>
      </c>
    </row>
    <row r="317" spans="1:24" x14ac:dyDescent="0.3">
      <c r="A317" s="2">
        <v>316</v>
      </c>
      <c r="B317" s="7">
        <v>21</v>
      </c>
      <c r="C317" s="2" t="s">
        <v>11</v>
      </c>
      <c r="D317" s="7">
        <f>IF(ISBLANK('Raw sheet'!D317),AVERAGE('Raw sheet'!$D$2:'Raw sheet'!$D$1500),'Raw sheet'!D317)</f>
        <v>25000</v>
      </c>
      <c r="E317" s="7" t="str">
        <f>IF(Table1[[#This Row],[Family_Income]]&gt;=100000,"Upper",IF(D317&gt;=50000,"Middle","Lower"))</f>
        <v>Lower</v>
      </c>
      <c r="F317" s="2" t="s">
        <v>4</v>
      </c>
      <c r="G317" s="3">
        <f>IF(ISBLANK('Raw sheet'!F317),AVERAGE('Raw sheet'!$F$2:'Raw sheet'!$F$1500),'Raw sheet'!F317)</f>
        <v>5.05</v>
      </c>
      <c r="H317" s="18">
        <v>79.400000000000006</v>
      </c>
      <c r="I317" s="9" t="str">
        <f t="shared" si="8"/>
        <v>Good</v>
      </c>
      <c r="J317" s="2">
        <v>4</v>
      </c>
      <c r="K317" s="2">
        <v>38.700000000000003</v>
      </c>
      <c r="L317" s="2" t="s">
        <v>3</v>
      </c>
      <c r="M317" s="2" t="s">
        <v>4</v>
      </c>
      <c r="N317" s="5">
        <f>IF(ISBLANK('Raw sheet'!L317),AVERAGE('Raw sheet'!$L$2:'Raw sheet'!$L$1500),'Raw sheet'!L317)</f>
        <v>9.6</v>
      </c>
      <c r="O317" s="5" t="str">
        <f>IF(Table1[[#This Row],[Stress_Index]]&gt;=8,"High",IF(N317&gt;=5,"Medium","Low"))</f>
        <v>High</v>
      </c>
      <c r="P317" s="3">
        <v>1.51</v>
      </c>
      <c r="Q317" s="2">
        <v>1.76</v>
      </c>
      <c r="R317" s="3">
        <v>1.84</v>
      </c>
      <c r="S317" s="3" t="str">
        <f>IF(Table1[[#This Row],[CGPA]]&gt;=3,"High",IF(R316&gt;=2,"Medium","Low"))</f>
        <v>Medium</v>
      </c>
      <c r="T317" s="2" t="s">
        <v>10</v>
      </c>
      <c r="U317" s="2" t="s">
        <v>6</v>
      </c>
      <c r="V317" s="2" t="s">
        <v>9</v>
      </c>
      <c r="W317" s="7">
        <v>0</v>
      </c>
      <c r="X317" t="str">
        <f t="shared" si="9"/>
        <v>Active</v>
      </c>
    </row>
    <row r="318" spans="1:24" x14ac:dyDescent="0.3">
      <c r="A318" s="2">
        <v>317</v>
      </c>
      <c r="B318" s="7">
        <v>22.5</v>
      </c>
      <c r="C318" s="2" t="s">
        <v>5</v>
      </c>
      <c r="D318" s="7">
        <f>IF(ISBLANK('Raw sheet'!D318),AVERAGE('Raw sheet'!$D$2:'Raw sheet'!$D$1500),'Raw sheet'!D318)</f>
        <v>161652</v>
      </c>
      <c r="E318" s="7" t="str">
        <f>IF(Table1[[#This Row],[Family_Income]]&gt;=100000,"Upper",IF(D318&gt;=50000,"Middle","Lower"))</f>
        <v>Upper</v>
      </c>
      <c r="F318" s="2" t="s">
        <v>3</v>
      </c>
      <c r="G318" s="3">
        <f>IF(ISBLANK('Raw sheet'!F318),AVERAGE('Raw sheet'!$F$2:'Raw sheet'!$F$1500),'Raw sheet'!F318)</f>
        <v>1.62</v>
      </c>
      <c r="H318" s="18">
        <v>79.599999999999994</v>
      </c>
      <c r="I318" s="9" t="str">
        <f t="shared" si="8"/>
        <v>Good</v>
      </c>
      <c r="J318" s="2">
        <v>4</v>
      </c>
      <c r="K318" s="2">
        <v>30.2</v>
      </c>
      <c r="L318" s="2" t="s">
        <v>3</v>
      </c>
      <c r="M318" s="2" t="s">
        <v>3</v>
      </c>
      <c r="N318" s="5">
        <f>IF(ISBLANK('Raw sheet'!L318),AVERAGE('Raw sheet'!$L$2:'Raw sheet'!$L$1500),'Raw sheet'!L318)</f>
        <v>5.7</v>
      </c>
      <c r="O318" s="5" t="str">
        <f>IF(Table1[[#This Row],[Stress_Index]]&gt;=8,"High",IF(N318&gt;=5,"Medium","Low"))</f>
        <v>Medium</v>
      </c>
      <c r="P318" s="3">
        <v>0</v>
      </c>
      <c r="Q318" s="2">
        <v>0.12</v>
      </c>
      <c r="R318" s="3">
        <v>0.12</v>
      </c>
      <c r="S318" s="3" t="str">
        <f>IF(Table1[[#This Row],[CGPA]]&gt;=3,"High",IF(R317&gt;=2,"Medium","Low"))</f>
        <v>Low</v>
      </c>
      <c r="T318" s="2" t="s">
        <v>2</v>
      </c>
      <c r="U318" s="2" t="s">
        <v>8</v>
      </c>
      <c r="V318" s="2" t="s">
        <v>15</v>
      </c>
      <c r="W318" s="7">
        <v>1</v>
      </c>
      <c r="X318" t="str">
        <f t="shared" si="9"/>
        <v>Dropped Out</v>
      </c>
    </row>
    <row r="319" spans="1:24" x14ac:dyDescent="0.3">
      <c r="A319" s="2">
        <v>318</v>
      </c>
      <c r="B319" s="7">
        <v>20.3</v>
      </c>
      <c r="C319" s="2" t="s">
        <v>11</v>
      </c>
      <c r="D319" s="7">
        <f>IF(ISBLANK('Raw sheet'!D319),AVERAGE('Raw sheet'!$D$2:'Raw sheet'!$D$1500),'Raw sheet'!D319)</f>
        <v>56794</v>
      </c>
      <c r="E319" s="7" t="str">
        <f>IF(Table1[[#This Row],[Family_Income]]&gt;=100000,"Upper",IF(D319&gt;=50000,"Middle","Lower"))</f>
        <v>Middle</v>
      </c>
      <c r="F319" s="2" t="s">
        <v>4</v>
      </c>
      <c r="G319" s="3">
        <f>IF(ISBLANK('Raw sheet'!F319),AVERAGE('Raw sheet'!$F$2:'Raw sheet'!$F$1500),'Raw sheet'!F319)</f>
        <v>2.5</v>
      </c>
      <c r="H319" s="18">
        <v>68.3</v>
      </c>
      <c r="I319" s="9" t="str">
        <f t="shared" si="8"/>
        <v>Low</v>
      </c>
      <c r="J319" s="2">
        <v>2</v>
      </c>
      <c r="K319" s="2">
        <v>29.7</v>
      </c>
      <c r="L319" s="2" t="s">
        <v>3</v>
      </c>
      <c r="M319" s="2" t="s">
        <v>3</v>
      </c>
      <c r="N319" s="5">
        <f>IF(ISBLANK('Raw sheet'!L319),AVERAGE('Raw sheet'!$L$2:'Raw sheet'!$L$1500),'Raw sheet'!L319)</f>
        <v>4.3</v>
      </c>
      <c r="O319" s="5" t="str">
        <f>IF(Table1[[#This Row],[Stress_Index]]&gt;=8,"High",IF(N319&gt;=5,"Medium","Low"))</f>
        <v>Low</v>
      </c>
      <c r="P319" s="3">
        <v>2.23</v>
      </c>
      <c r="Q319" s="2">
        <v>2.1800000000000002</v>
      </c>
      <c r="R319" s="3">
        <v>2.09</v>
      </c>
      <c r="S319" s="3" t="str">
        <f>IF(Table1[[#This Row],[CGPA]]&gt;=3,"High",IF(R318&gt;=2,"Medium","Low"))</f>
        <v>Low</v>
      </c>
      <c r="T319" s="2" t="s">
        <v>12</v>
      </c>
      <c r="U319" s="2" t="s">
        <v>1</v>
      </c>
      <c r="V319" s="2" t="s">
        <v>15</v>
      </c>
      <c r="W319" s="7">
        <v>0</v>
      </c>
      <c r="X319" t="str">
        <f t="shared" si="9"/>
        <v>Active</v>
      </c>
    </row>
    <row r="320" spans="1:24" x14ac:dyDescent="0.3">
      <c r="A320" s="2">
        <v>319</v>
      </c>
      <c r="B320" s="7">
        <v>21.7</v>
      </c>
      <c r="C320" s="2" t="s">
        <v>11</v>
      </c>
      <c r="D320" s="7">
        <f>IF(ISBLANK('Raw sheet'!D320),AVERAGE('Raw sheet'!$D$2:'Raw sheet'!$D$1500),'Raw sheet'!D320)</f>
        <v>59283</v>
      </c>
      <c r="E320" s="7" t="str">
        <f>IF(Table1[[#This Row],[Family_Income]]&gt;=100000,"Upper",IF(D320&gt;=50000,"Middle","Lower"))</f>
        <v>Middle</v>
      </c>
      <c r="F320" s="2" t="s">
        <v>4</v>
      </c>
      <c r="G320" s="3">
        <f>IF(ISBLANK('Raw sheet'!F320),AVERAGE('Raw sheet'!$F$2:'Raw sheet'!$F$1500),'Raw sheet'!F320)</f>
        <v>4.05</v>
      </c>
      <c r="H320" s="18">
        <v>69.900000000000006</v>
      </c>
      <c r="I320" s="9" t="str">
        <f t="shared" si="8"/>
        <v>Low</v>
      </c>
      <c r="J320" s="2">
        <v>2</v>
      </c>
      <c r="K320" s="2">
        <v>38.9</v>
      </c>
      <c r="L320" s="2" t="s">
        <v>4</v>
      </c>
      <c r="M320" s="2" t="s">
        <v>3</v>
      </c>
      <c r="N320" s="5">
        <f>IF(ISBLANK('Raw sheet'!L320),AVERAGE('Raw sheet'!$L$2:'Raw sheet'!$L$1500),'Raw sheet'!L320)</f>
        <v>3.2</v>
      </c>
      <c r="O320" s="5" t="str">
        <f>IF(Table1[[#This Row],[Stress_Index]]&gt;=8,"High",IF(N320&gt;=5,"Medium","Low"))</f>
        <v>Low</v>
      </c>
      <c r="P320" s="3">
        <v>1.67</v>
      </c>
      <c r="Q320" s="2">
        <v>1.51</v>
      </c>
      <c r="R320" s="3">
        <v>1.57</v>
      </c>
      <c r="S320" s="3" t="str">
        <f>IF(Table1[[#This Row],[CGPA]]&gt;=3,"High",IF(R319&gt;=2,"Medium","Low"))</f>
        <v>Medium</v>
      </c>
      <c r="T320" s="2" t="s">
        <v>7</v>
      </c>
      <c r="U320" s="2" t="s">
        <v>6</v>
      </c>
      <c r="V320" s="2" t="s">
        <v>17</v>
      </c>
      <c r="W320" s="7">
        <v>0</v>
      </c>
      <c r="X320" t="str">
        <f t="shared" si="9"/>
        <v>Active</v>
      </c>
    </row>
    <row r="321" spans="1:24" x14ac:dyDescent="0.3">
      <c r="A321" s="2">
        <v>320</v>
      </c>
      <c r="B321" s="7">
        <v>20.7</v>
      </c>
      <c r="C321" s="2" t="s">
        <v>5</v>
      </c>
      <c r="D321" s="7">
        <f>IF(ISBLANK('Raw sheet'!D321),AVERAGE('Raw sheet'!$D$2:'Raw sheet'!$D$1500),'Raw sheet'!D321)</f>
        <v>25000</v>
      </c>
      <c r="E321" s="7" t="str">
        <f>IF(Table1[[#This Row],[Family_Income]]&gt;=100000,"Upper",IF(D321&gt;=50000,"Middle","Lower"))</f>
        <v>Lower</v>
      </c>
      <c r="F321" s="2" t="s">
        <v>4</v>
      </c>
      <c r="G321" s="3">
        <f>IF(ISBLANK('Raw sheet'!F321),AVERAGE('Raw sheet'!$F$2:'Raw sheet'!$F$1500),'Raw sheet'!F321)</f>
        <v>4.2300000000000004</v>
      </c>
      <c r="H321" s="18">
        <v>77.599999999999994</v>
      </c>
      <c r="I321" s="9" t="str">
        <f t="shared" si="8"/>
        <v>Good</v>
      </c>
      <c r="J321" s="2">
        <v>0</v>
      </c>
      <c r="K321" s="2">
        <v>7.7</v>
      </c>
      <c r="L321" s="2" t="s">
        <v>4</v>
      </c>
      <c r="M321" s="2" t="s">
        <v>3</v>
      </c>
      <c r="N321" s="5">
        <f>IF(ISBLANK('Raw sheet'!L321),AVERAGE('Raw sheet'!$L$2:'Raw sheet'!$L$1500),'Raw sheet'!L321)</f>
        <v>4.7</v>
      </c>
      <c r="O321" s="5" t="str">
        <f>IF(Table1[[#This Row],[Stress_Index]]&gt;=8,"High",IF(N321&gt;=5,"Medium","Low"))</f>
        <v>Low</v>
      </c>
      <c r="P321" s="3">
        <v>2.97</v>
      </c>
      <c r="Q321" s="2">
        <v>2.57</v>
      </c>
      <c r="R321" s="3">
        <v>2.5299999999999998</v>
      </c>
      <c r="S321" s="3" t="str">
        <f>IF(Table1[[#This Row],[CGPA]]&gt;=3,"High",IF(R320&gt;=2,"Medium","Low"))</f>
        <v>Low</v>
      </c>
      <c r="T321" s="2" t="s">
        <v>10</v>
      </c>
      <c r="U321" s="2" t="s">
        <v>1</v>
      </c>
      <c r="V321" s="2" t="s">
        <v>9</v>
      </c>
      <c r="W321" s="7">
        <v>0</v>
      </c>
      <c r="X321" t="str">
        <f t="shared" si="9"/>
        <v>Active</v>
      </c>
    </row>
    <row r="322" spans="1:24" x14ac:dyDescent="0.3">
      <c r="A322" s="2">
        <v>321</v>
      </c>
      <c r="B322" s="7">
        <v>21.2</v>
      </c>
      <c r="C322" s="2" t="s">
        <v>5</v>
      </c>
      <c r="D322" s="7">
        <f>IF(ISBLANK('Raw sheet'!D322),AVERAGE('Raw sheet'!$D$2:'Raw sheet'!$D$1500),'Raw sheet'!D322)</f>
        <v>25000</v>
      </c>
      <c r="E322" s="7" t="str">
        <f>IF(Table1[[#This Row],[Family_Income]]&gt;=100000,"Upper",IF(D322&gt;=50000,"Middle","Lower"))</f>
        <v>Lower</v>
      </c>
      <c r="F322" s="2" t="s">
        <v>4</v>
      </c>
      <c r="G322" s="3">
        <f>IF(ISBLANK('Raw sheet'!F322),AVERAGE('Raw sheet'!$F$2:'Raw sheet'!$F$1500),'Raw sheet'!F322)</f>
        <v>3.88</v>
      </c>
      <c r="H322" s="18">
        <v>74.599999999999994</v>
      </c>
      <c r="I322" s="9" t="str">
        <f t="shared" ref="I322:I385" si="10">IF(H322&gt;=75,"Good","Low")</f>
        <v>Low</v>
      </c>
      <c r="J322" s="2">
        <v>2</v>
      </c>
      <c r="K322" s="2">
        <v>35.299999999999997</v>
      </c>
      <c r="L322" s="2" t="s">
        <v>3</v>
      </c>
      <c r="M322" s="2" t="s">
        <v>4</v>
      </c>
      <c r="N322" s="5">
        <f>IF(ISBLANK('Raw sheet'!L322),AVERAGE('Raw sheet'!$L$2:'Raw sheet'!$L$1500),'Raw sheet'!L322)</f>
        <v>6</v>
      </c>
      <c r="O322" s="5" t="str">
        <f>IF(Table1[[#This Row],[Stress_Index]]&gt;=8,"High",IF(N322&gt;=5,"Medium","Low"))</f>
        <v>Medium</v>
      </c>
      <c r="P322" s="3">
        <v>2.67</v>
      </c>
      <c r="Q322" s="2">
        <v>2.7</v>
      </c>
      <c r="R322" s="3">
        <v>2.7</v>
      </c>
      <c r="S322" s="3" t="str">
        <f>IF(Table1[[#This Row],[CGPA]]&gt;=3,"High",IF(R321&gt;=2,"Medium","Low"))</f>
        <v>Medium</v>
      </c>
      <c r="T322" s="2" t="s">
        <v>2</v>
      </c>
      <c r="U322" s="2" t="s">
        <v>6</v>
      </c>
      <c r="V322" s="2" t="s">
        <v>16</v>
      </c>
      <c r="W322" s="7">
        <v>0</v>
      </c>
      <c r="X322" t="str">
        <f t="shared" ref="X322:X385" si="11">IF(W322=1,"Dropped Out","Active")</f>
        <v>Active</v>
      </c>
    </row>
    <row r="323" spans="1:24" x14ac:dyDescent="0.3">
      <c r="A323" s="2">
        <v>322</v>
      </c>
      <c r="B323" s="7">
        <v>22.3</v>
      </c>
      <c r="C323" s="2" t="s">
        <v>5</v>
      </c>
      <c r="D323" s="7">
        <f>IF(ISBLANK('Raw sheet'!D323),AVERAGE('Raw sheet'!$D$2:'Raw sheet'!$D$1500),'Raw sheet'!D323)</f>
        <v>38587.00282087447</v>
      </c>
      <c r="E323" s="7" t="str">
        <f>IF(Table1[[#This Row],[Family_Income]]&gt;=100000,"Upper",IF(D323&gt;=50000,"Middle","Lower"))</f>
        <v>Lower</v>
      </c>
      <c r="F323" s="2" t="s">
        <v>4</v>
      </c>
      <c r="G323" s="3">
        <f>IF(ISBLANK('Raw sheet'!F323),AVERAGE('Raw sheet'!$F$2:'Raw sheet'!$F$1500),'Raw sheet'!F323)</f>
        <v>4.0178702397743278</v>
      </c>
      <c r="H323" s="18">
        <v>62.4</v>
      </c>
      <c r="I323" s="9" t="str">
        <f t="shared" si="10"/>
        <v>Low</v>
      </c>
      <c r="J323" s="2">
        <v>1</v>
      </c>
      <c r="K323" s="2">
        <v>36.6</v>
      </c>
      <c r="L323" s="2" t="s">
        <v>4</v>
      </c>
      <c r="M323" s="2" t="s">
        <v>4</v>
      </c>
      <c r="N323" s="5">
        <f>IF(ISBLANK('Raw sheet'!L323),AVERAGE('Raw sheet'!$L$2:'Raw sheet'!$L$1500),'Raw sheet'!L323)</f>
        <v>5.5242595204513369</v>
      </c>
      <c r="O323" s="5" t="str">
        <f>IF(Table1[[#This Row],[Stress_Index]]&gt;=8,"High",IF(N323&gt;=5,"Medium","Low"))</f>
        <v>Medium</v>
      </c>
      <c r="P323" s="3">
        <v>3.45</v>
      </c>
      <c r="Q323" s="2">
        <v>3.56</v>
      </c>
      <c r="R323" s="3">
        <v>3.61</v>
      </c>
      <c r="S323" s="3" t="str">
        <f>IF(Table1[[#This Row],[CGPA]]&gt;=3,"High",IF(R322&gt;=2,"Medium","Low"))</f>
        <v>High</v>
      </c>
      <c r="T323" s="2" t="s">
        <v>7</v>
      </c>
      <c r="U323" s="2" t="s">
        <v>6</v>
      </c>
      <c r="V323" s="2" t="s">
        <v>9</v>
      </c>
      <c r="W323" s="7">
        <v>0</v>
      </c>
      <c r="X323" t="str">
        <f t="shared" si="11"/>
        <v>Active</v>
      </c>
    </row>
    <row r="324" spans="1:24" x14ac:dyDescent="0.3">
      <c r="A324" s="2">
        <v>323</v>
      </c>
      <c r="B324" s="7">
        <v>19.2</v>
      </c>
      <c r="C324" s="2" t="s">
        <v>11</v>
      </c>
      <c r="D324" s="7">
        <f>IF(ISBLANK('Raw sheet'!D324),AVERAGE('Raw sheet'!$D$2:'Raw sheet'!$D$1500),'Raw sheet'!D324)</f>
        <v>25000</v>
      </c>
      <c r="E324" s="7" t="str">
        <f>IF(Table1[[#This Row],[Family_Income]]&gt;=100000,"Upper",IF(D324&gt;=50000,"Middle","Lower"))</f>
        <v>Lower</v>
      </c>
      <c r="F324" s="2" t="s">
        <v>4</v>
      </c>
      <c r="G324" s="3">
        <f>IF(ISBLANK('Raw sheet'!F324),AVERAGE('Raw sheet'!$F$2:'Raw sheet'!$F$1500),'Raw sheet'!F324)</f>
        <v>3.87</v>
      </c>
      <c r="H324" s="18">
        <v>88.7</v>
      </c>
      <c r="I324" s="9" t="str">
        <f t="shared" si="10"/>
        <v>Good</v>
      </c>
      <c r="J324" s="2">
        <v>1</v>
      </c>
      <c r="K324" s="2">
        <v>40.200000000000003</v>
      </c>
      <c r="L324" s="2" t="s">
        <v>4</v>
      </c>
      <c r="M324" s="2" t="s">
        <v>3</v>
      </c>
      <c r="N324" s="5">
        <f>IF(ISBLANK('Raw sheet'!L324),AVERAGE('Raw sheet'!$L$2:'Raw sheet'!$L$1500),'Raw sheet'!L324)</f>
        <v>6.1</v>
      </c>
      <c r="O324" s="5" t="str">
        <f>IF(Table1[[#This Row],[Stress_Index]]&gt;=8,"High",IF(N324&gt;=5,"Medium","Low"))</f>
        <v>Medium</v>
      </c>
      <c r="P324" s="3">
        <v>3.57</v>
      </c>
      <c r="Q324" s="2">
        <v>3.46</v>
      </c>
      <c r="R324" s="3">
        <v>3.42</v>
      </c>
      <c r="S324" s="3" t="str">
        <f>IF(Table1[[#This Row],[CGPA]]&gt;=3,"High",IF(R323&gt;=2,"Medium","Low"))</f>
        <v>High</v>
      </c>
      <c r="T324" s="2" t="s">
        <v>12</v>
      </c>
      <c r="U324" s="2" t="s">
        <v>13</v>
      </c>
      <c r="V324" s="2" t="s">
        <v>9</v>
      </c>
      <c r="W324" s="7">
        <v>0</v>
      </c>
      <c r="X324" t="str">
        <f t="shared" si="11"/>
        <v>Active</v>
      </c>
    </row>
    <row r="325" spans="1:24" x14ac:dyDescent="0.3">
      <c r="A325" s="2">
        <v>324</v>
      </c>
      <c r="B325" s="7">
        <v>25.6</v>
      </c>
      <c r="C325" s="2" t="s">
        <v>11</v>
      </c>
      <c r="D325" s="7">
        <f>IF(ISBLANK('Raw sheet'!D325),AVERAGE('Raw sheet'!$D$2:'Raw sheet'!$D$1500),'Raw sheet'!D325)</f>
        <v>77671</v>
      </c>
      <c r="E325" s="7" t="str">
        <f>IF(Table1[[#This Row],[Family_Income]]&gt;=100000,"Upper",IF(D325&gt;=50000,"Middle","Lower"))</f>
        <v>Middle</v>
      </c>
      <c r="F325" s="2" t="s">
        <v>4</v>
      </c>
      <c r="G325" s="3">
        <f>IF(ISBLANK('Raw sheet'!F325),AVERAGE('Raw sheet'!$F$2:'Raw sheet'!$F$1500),'Raw sheet'!F325)</f>
        <v>5.33</v>
      </c>
      <c r="H325" s="18">
        <v>73.5</v>
      </c>
      <c r="I325" s="9" t="str">
        <f t="shared" si="10"/>
        <v>Low</v>
      </c>
      <c r="J325" s="2">
        <v>2</v>
      </c>
      <c r="K325" s="2">
        <v>25.5</v>
      </c>
      <c r="L325" s="2" t="s">
        <v>3</v>
      </c>
      <c r="M325" s="2" t="s">
        <v>3</v>
      </c>
      <c r="N325" s="5">
        <f>IF(ISBLANK('Raw sheet'!L325),AVERAGE('Raw sheet'!$L$2:'Raw sheet'!$L$1500),'Raw sheet'!L325)</f>
        <v>2.2999999999999998</v>
      </c>
      <c r="O325" s="5" t="str">
        <f>IF(Table1[[#This Row],[Stress_Index]]&gt;=8,"High",IF(N325&gt;=5,"Medium","Low"))</f>
        <v>Low</v>
      </c>
      <c r="P325" s="3">
        <v>2.13</v>
      </c>
      <c r="Q325" s="2">
        <v>1.94</v>
      </c>
      <c r="R325" s="3">
        <v>1.92</v>
      </c>
      <c r="S325" s="3" t="str">
        <f>IF(Table1[[#This Row],[CGPA]]&gt;=3,"High",IF(R324&gt;=2,"Medium","Low"))</f>
        <v>Medium</v>
      </c>
      <c r="T325" s="2" t="s">
        <v>10</v>
      </c>
      <c r="U325" s="2" t="s">
        <v>14</v>
      </c>
      <c r="V325" s="2" t="s">
        <v>0</v>
      </c>
      <c r="W325" s="7">
        <v>0</v>
      </c>
      <c r="X325" t="str">
        <f t="shared" si="11"/>
        <v>Active</v>
      </c>
    </row>
    <row r="326" spans="1:24" x14ac:dyDescent="0.3">
      <c r="A326" s="2">
        <v>325</v>
      </c>
      <c r="B326" s="7">
        <v>18.8</v>
      </c>
      <c r="C326" s="2" t="s">
        <v>5</v>
      </c>
      <c r="D326" s="7">
        <f>IF(ISBLANK('Raw sheet'!D326),AVERAGE('Raw sheet'!$D$2:'Raw sheet'!$D$1500),'Raw sheet'!D326)</f>
        <v>69299</v>
      </c>
      <c r="E326" s="7" t="str">
        <f>IF(Table1[[#This Row],[Family_Income]]&gt;=100000,"Upper",IF(D326&gt;=50000,"Middle","Lower"))</f>
        <v>Middle</v>
      </c>
      <c r="F326" s="2" t="s">
        <v>4</v>
      </c>
      <c r="G326" s="3">
        <f>IF(ISBLANK('Raw sheet'!F326),AVERAGE('Raw sheet'!$F$2:'Raw sheet'!$F$1500),'Raw sheet'!F326)</f>
        <v>4.42</v>
      </c>
      <c r="H326" s="18">
        <v>74.8</v>
      </c>
      <c r="I326" s="9" t="str">
        <f t="shared" si="10"/>
        <v>Low</v>
      </c>
      <c r="J326" s="2">
        <v>1</v>
      </c>
      <c r="K326" s="2">
        <v>30</v>
      </c>
      <c r="L326" s="2" t="s">
        <v>3</v>
      </c>
      <c r="M326" s="2" t="s">
        <v>4</v>
      </c>
      <c r="N326" s="5">
        <f>IF(ISBLANK('Raw sheet'!L326),AVERAGE('Raw sheet'!$L$2:'Raw sheet'!$L$1500),'Raw sheet'!L326)</f>
        <v>5.8</v>
      </c>
      <c r="O326" s="5" t="str">
        <f>IF(Table1[[#This Row],[Stress_Index]]&gt;=8,"High",IF(N326&gt;=5,"Medium","Low"))</f>
        <v>Medium</v>
      </c>
      <c r="P326" s="3">
        <v>2.0099999999999998</v>
      </c>
      <c r="Q326" s="2">
        <v>2.61</v>
      </c>
      <c r="R326" s="3">
        <v>2.67</v>
      </c>
      <c r="S326" s="3" t="str">
        <f>IF(Table1[[#This Row],[CGPA]]&gt;=3,"High",IF(R325&gt;=2,"Medium","Low"))</f>
        <v>Low</v>
      </c>
      <c r="T326" s="2" t="s">
        <v>7</v>
      </c>
      <c r="U326" s="2" t="s">
        <v>6</v>
      </c>
      <c r="V326" s="2" t="s">
        <v>15</v>
      </c>
      <c r="W326" s="7">
        <v>0</v>
      </c>
      <c r="X326" t="str">
        <f t="shared" si="11"/>
        <v>Active</v>
      </c>
    </row>
    <row r="327" spans="1:24" x14ac:dyDescent="0.3">
      <c r="A327" s="2">
        <v>326</v>
      </c>
      <c r="B327" s="7">
        <v>18.3</v>
      </c>
      <c r="C327" s="2" t="s">
        <v>5</v>
      </c>
      <c r="D327" s="7">
        <f>IF(ISBLANK('Raw sheet'!D327),AVERAGE('Raw sheet'!$D$2:'Raw sheet'!$D$1500),'Raw sheet'!D327)</f>
        <v>25000</v>
      </c>
      <c r="E327" s="7" t="str">
        <f>IF(Table1[[#This Row],[Family_Income]]&gt;=100000,"Upper",IF(D327&gt;=50000,"Middle","Lower"))</f>
        <v>Lower</v>
      </c>
      <c r="F327" s="2" t="s">
        <v>4</v>
      </c>
      <c r="G327" s="3">
        <f>IF(ISBLANK('Raw sheet'!F327),AVERAGE('Raw sheet'!$F$2:'Raw sheet'!$F$1500),'Raw sheet'!F327)</f>
        <v>2.5499999999999998</v>
      </c>
      <c r="H327" s="18">
        <v>77.8</v>
      </c>
      <c r="I327" s="9" t="str">
        <f t="shared" si="10"/>
        <v>Good</v>
      </c>
      <c r="J327" s="2">
        <v>2</v>
      </c>
      <c r="K327" s="2">
        <v>5</v>
      </c>
      <c r="L327" s="2" t="s">
        <v>3</v>
      </c>
      <c r="M327" s="2" t="s">
        <v>3</v>
      </c>
      <c r="N327" s="5">
        <f>IF(ISBLANK('Raw sheet'!L327),AVERAGE('Raw sheet'!$L$2:'Raw sheet'!$L$1500),'Raw sheet'!L327)</f>
        <v>6.1</v>
      </c>
      <c r="O327" s="5" t="str">
        <f>IF(Table1[[#This Row],[Stress_Index]]&gt;=8,"High",IF(N327&gt;=5,"Medium","Low"))</f>
        <v>Medium</v>
      </c>
      <c r="P327" s="3">
        <v>3.6</v>
      </c>
      <c r="Q327" s="2">
        <v>3.94</v>
      </c>
      <c r="R327" s="3">
        <v>3.95</v>
      </c>
      <c r="S327" s="3" t="str">
        <f>IF(Table1[[#This Row],[CGPA]]&gt;=3,"High",IF(R326&gt;=2,"Medium","Low"))</f>
        <v>High</v>
      </c>
      <c r="T327" s="2" t="s">
        <v>10</v>
      </c>
      <c r="U327" s="2" t="s">
        <v>6</v>
      </c>
      <c r="V327" s="2" t="s">
        <v>9</v>
      </c>
      <c r="W327" s="7">
        <v>0</v>
      </c>
      <c r="X327" t="str">
        <f t="shared" si="11"/>
        <v>Active</v>
      </c>
    </row>
    <row r="328" spans="1:24" x14ac:dyDescent="0.3">
      <c r="A328" s="2">
        <v>327</v>
      </c>
      <c r="B328" s="7">
        <v>23.5</v>
      </c>
      <c r="C328" s="2" t="s">
        <v>5</v>
      </c>
      <c r="D328" s="7">
        <f>IF(ISBLANK('Raw sheet'!D328),AVERAGE('Raw sheet'!$D$2:'Raw sheet'!$D$1500),'Raw sheet'!D328)</f>
        <v>86712</v>
      </c>
      <c r="E328" s="7" t="str">
        <f>IF(Table1[[#This Row],[Family_Income]]&gt;=100000,"Upper",IF(D328&gt;=50000,"Middle","Lower"))</f>
        <v>Middle</v>
      </c>
      <c r="F328" s="2" t="s">
        <v>4</v>
      </c>
      <c r="G328" s="3">
        <f>IF(ISBLANK('Raw sheet'!F328),AVERAGE('Raw sheet'!$F$2:'Raw sheet'!$F$1500),'Raw sheet'!F328)</f>
        <v>4.21</v>
      </c>
      <c r="H328" s="18">
        <v>74.3</v>
      </c>
      <c r="I328" s="9" t="str">
        <f t="shared" si="10"/>
        <v>Low</v>
      </c>
      <c r="J328" s="2">
        <v>3</v>
      </c>
      <c r="K328" s="2">
        <v>22</v>
      </c>
      <c r="L328" s="2" t="s">
        <v>3</v>
      </c>
      <c r="M328" s="2" t="s">
        <v>3</v>
      </c>
      <c r="N328" s="5">
        <f>IF(ISBLANK('Raw sheet'!L328),AVERAGE('Raw sheet'!$L$2:'Raw sheet'!$L$1500),'Raw sheet'!L328)</f>
        <v>6.1</v>
      </c>
      <c r="O328" s="5" t="str">
        <f>IF(Table1[[#This Row],[Stress_Index]]&gt;=8,"High",IF(N328&gt;=5,"Medium","Low"))</f>
        <v>Medium</v>
      </c>
      <c r="P328" s="3">
        <v>2.62</v>
      </c>
      <c r="Q328" s="2">
        <v>2.63</v>
      </c>
      <c r="R328" s="3">
        <v>2.59</v>
      </c>
      <c r="S328" s="3" t="str">
        <f>IF(Table1[[#This Row],[CGPA]]&gt;=3,"High",IF(R327&gt;=2,"Medium","Low"))</f>
        <v>Medium</v>
      </c>
      <c r="T328" s="2" t="s">
        <v>7</v>
      </c>
      <c r="U328" s="2" t="s">
        <v>6</v>
      </c>
      <c r="V328" s="2" t="s">
        <v>17</v>
      </c>
      <c r="W328" s="7">
        <v>0</v>
      </c>
      <c r="X328" t="str">
        <f t="shared" si="11"/>
        <v>Active</v>
      </c>
    </row>
    <row r="329" spans="1:24" x14ac:dyDescent="0.3">
      <c r="A329" s="2">
        <v>328</v>
      </c>
      <c r="B329" s="7">
        <v>22.7</v>
      </c>
      <c r="C329" s="2" t="s">
        <v>11</v>
      </c>
      <c r="D329" s="7">
        <f>IF(ISBLANK('Raw sheet'!D329),AVERAGE('Raw sheet'!$D$2:'Raw sheet'!$D$1500),'Raw sheet'!D329)</f>
        <v>29657</v>
      </c>
      <c r="E329" s="7" t="str">
        <f>IF(Table1[[#This Row],[Family_Income]]&gt;=100000,"Upper",IF(D329&gt;=50000,"Middle","Lower"))</f>
        <v>Lower</v>
      </c>
      <c r="F329" s="2" t="s">
        <v>4</v>
      </c>
      <c r="G329" s="3">
        <f>IF(ISBLANK('Raw sheet'!F329),AVERAGE('Raw sheet'!$F$2:'Raw sheet'!$F$1500),'Raw sheet'!F329)</f>
        <v>3.9</v>
      </c>
      <c r="H329" s="18">
        <v>80.3</v>
      </c>
      <c r="I329" s="9" t="str">
        <f t="shared" si="10"/>
        <v>Good</v>
      </c>
      <c r="J329" s="2">
        <v>2</v>
      </c>
      <c r="K329" s="2">
        <v>32.1</v>
      </c>
      <c r="L329" s="2" t="s">
        <v>4</v>
      </c>
      <c r="M329" s="2" t="s">
        <v>4</v>
      </c>
      <c r="N329" s="5">
        <f>IF(ISBLANK('Raw sheet'!L329),AVERAGE('Raw sheet'!$L$2:'Raw sheet'!$L$1500),'Raw sheet'!L329)</f>
        <v>5.6</v>
      </c>
      <c r="O329" s="5" t="str">
        <f>IF(Table1[[#This Row],[Stress_Index]]&gt;=8,"High",IF(N329&gt;=5,"Medium","Low"))</f>
        <v>Medium</v>
      </c>
      <c r="P329" s="3">
        <v>2.23</v>
      </c>
      <c r="Q329" s="2">
        <v>2.19</v>
      </c>
      <c r="R329" s="3">
        <v>2.1</v>
      </c>
      <c r="S329" s="3" t="str">
        <f>IF(Table1[[#This Row],[CGPA]]&gt;=3,"High",IF(R328&gt;=2,"Medium","Low"))</f>
        <v>Medium</v>
      </c>
      <c r="T329" s="2" t="s">
        <v>7</v>
      </c>
      <c r="U329" s="2" t="s">
        <v>14</v>
      </c>
      <c r="V329" s="2" t="s">
        <v>9</v>
      </c>
      <c r="W329" s="7">
        <v>0</v>
      </c>
      <c r="X329" t="str">
        <f t="shared" si="11"/>
        <v>Active</v>
      </c>
    </row>
    <row r="330" spans="1:24" x14ac:dyDescent="0.3">
      <c r="A330" s="2">
        <v>329</v>
      </c>
      <c r="B330" s="7">
        <v>22.4</v>
      </c>
      <c r="C330" s="2" t="s">
        <v>11</v>
      </c>
      <c r="D330" s="7">
        <f>IF(ISBLANK('Raw sheet'!D330),AVERAGE('Raw sheet'!$D$2:'Raw sheet'!$D$1500),'Raw sheet'!D330)</f>
        <v>140594</v>
      </c>
      <c r="E330" s="7" t="str">
        <f>IF(Table1[[#This Row],[Family_Income]]&gt;=100000,"Upper",IF(D330&gt;=50000,"Middle","Lower"))</f>
        <v>Upper</v>
      </c>
      <c r="F330" s="2" t="s">
        <v>4</v>
      </c>
      <c r="G330" s="3">
        <f>IF(ISBLANK('Raw sheet'!F330),AVERAGE('Raw sheet'!$F$2:'Raw sheet'!$F$1500),'Raw sheet'!F330)</f>
        <v>3.13</v>
      </c>
      <c r="H330" s="18">
        <v>90.2</v>
      </c>
      <c r="I330" s="9" t="str">
        <f t="shared" si="10"/>
        <v>Good</v>
      </c>
      <c r="J330" s="2">
        <v>3</v>
      </c>
      <c r="K330" s="2">
        <v>47.6</v>
      </c>
      <c r="L330" s="2" t="s">
        <v>4</v>
      </c>
      <c r="M330" s="2" t="s">
        <v>3</v>
      </c>
      <c r="N330" s="5">
        <f>IF(ISBLANK('Raw sheet'!L330),AVERAGE('Raw sheet'!$L$2:'Raw sheet'!$L$1500),'Raw sheet'!L330)</f>
        <v>3.3</v>
      </c>
      <c r="O330" s="5" t="str">
        <f>IF(Table1[[#This Row],[Stress_Index]]&gt;=8,"High",IF(N330&gt;=5,"Medium","Low"))</f>
        <v>Low</v>
      </c>
      <c r="P330" s="3">
        <v>2.4700000000000002</v>
      </c>
      <c r="Q330" s="2">
        <v>2.17</v>
      </c>
      <c r="R330" s="3">
        <v>2.17</v>
      </c>
      <c r="S330" s="3" t="str">
        <f>IF(Table1[[#This Row],[CGPA]]&gt;=3,"High",IF(R329&gt;=2,"Medium","Low"))</f>
        <v>Medium</v>
      </c>
      <c r="T330" s="2" t="s">
        <v>2</v>
      </c>
      <c r="U330" s="2" t="s">
        <v>14</v>
      </c>
      <c r="V330" s="2" t="s">
        <v>9</v>
      </c>
      <c r="W330" s="7">
        <v>0</v>
      </c>
      <c r="X330" t="str">
        <f t="shared" si="11"/>
        <v>Active</v>
      </c>
    </row>
    <row r="331" spans="1:24" x14ac:dyDescent="0.3">
      <c r="A331" s="2">
        <v>330</v>
      </c>
      <c r="B331" s="7">
        <v>22.4</v>
      </c>
      <c r="C331" s="2" t="s">
        <v>11</v>
      </c>
      <c r="D331" s="7">
        <f>IF(ISBLANK('Raw sheet'!D331),AVERAGE('Raw sheet'!$D$2:'Raw sheet'!$D$1500),'Raw sheet'!D331)</f>
        <v>32429</v>
      </c>
      <c r="E331" s="7" t="str">
        <f>IF(Table1[[#This Row],[Family_Income]]&gt;=100000,"Upper",IF(D331&gt;=50000,"Middle","Lower"))</f>
        <v>Lower</v>
      </c>
      <c r="F331" s="2" t="s">
        <v>4</v>
      </c>
      <c r="G331" s="3">
        <f>IF(ISBLANK('Raw sheet'!F331),AVERAGE('Raw sheet'!$F$2:'Raw sheet'!$F$1500),'Raw sheet'!F331)</f>
        <v>2.0299999999999998</v>
      </c>
      <c r="H331" s="18">
        <v>79.7</v>
      </c>
      <c r="I331" s="9" t="str">
        <f t="shared" si="10"/>
        <v>Good</v>
      </c>
      <c r="J331" s="2">
        <v>4</v>
      </c>
      <c r="K331" s="2">
        <v>52.1</v>
      </c>
      <c r="L331" s="2" t="s">
        <v>3</v>
      </c>
      <c r="M331" s="2" t="s">
        <v>4</v>
      </c>
      <c r="N331" s="5">
        <f>IF(ISBLANK('Raw sheet'!L331),AVERAGE('Raw sheet'!$L$2:'Raw sheet'!$L$1500),'Raw sheet'!L331)</f>
        <v>3.8</v>
      </c>
      <c r="O331" s="5" t="str">
        <f>IF(Table1[[#This Row],[Stress_Index]]&gt;=8,"High",IF(N331&gt;=5,"Medium","Low"))</f>
        <v>Low</v>
      </c>
      <c r="P331" s="3">
        <v>1.75</v>
      </c>
      <c r="Q331" s="2">
        <v>1.35</v>
      </c>
      <c r="R331" s="3">
        <v>1.4</v>
      </c>
      <c r="S331" s="3" t="str">
        <f>IF(Table1[[#This Row],[CGPA]]&gt;=3,"High",IF(R330&gt;=2,"Medium","Low"))</f>
        <v>Medium</v>
      </c>
      <c r="T331" s="2" t="s">
        <v>12</v>
      </c>
      <c r="U331" s="2" t="s">
        <v>8</v>
      </c>
      <c r="V331" s="2" t="s">
        <v>15</v>
      </c>
      <c r="W331" s="7">
        <v>0</v>
      </c>
      <c r="X331" t="str">
        <f t="shared" si="11"/>
        <v>Active</v>
      </c>
    </row>
    <row r="332" spans="1:24" x14ac:dyDescent="0.3">
      <c r="A332" s="2">
        <v>331</v>
      </c>
      <c r="B332" s="7">
        <v>21</v>
      </c>
      <c r="C332" s="2" t="s">
        <v>5</v>
      </c>
      <c r="D332" s="7">
        <f>IF(ISBLANK('Raw sheet'!D332),AVERAGE('Raw sheet'!$D$2:'Raw sheet'!$D$1500),'Raw sheet'!D332)</f>
        <v>42012</v>
      </c>
      <c r="E332" s="7" t="str">
        <f>IF(Table1[[#This Row],[Family_Income]]&gt;=100000,"Upper",IF(D332&gt;=50000,"Middle","Lower"))</f>
        <v>Lower</v>
      </c>
      <c r="F332" s="2" t="s">
        <v>4</v>
      </c>
      <c r="G332" s="3">
        <f>IF(ISBLANK('Raw sheet'!F332),AVERAGE('Raw sheet'!$F$2:'Raw sheet'!$F$1500),'Raw sheet'!F332)</f>
        <v>2.4700000000000002</v>
      </c>
      <c r="H332" s="18">
        <v>84.1</v>
      </c>
      <c r="I332" s="9" t="str">
        <f t="shared" si="10"/>
        <v>Good</v>
      </c>
      <c r="J332" s="2">
        <v>1</v>
      </c>
      <c r="K332" s="2">
        <v>25.9</v>
      </c>
      <c r="L332" s="2" t="s">
        <v>3</v>
      </c>
      <c r="M332" s="2" t="s">
        <v>3</v>
      </c>
      <c r="N332" s="5">
        <f>IF(ISBLANK('Raw sheet'!L332),AVERAGE('Raw sheet'!$L$2:'Raw sheet'!$L$1500),'Raw sheet'!L332)</f>
        <v>7.7</v>
      </c>
      <c r="O332" s="5" t="str">
        <f>IF(Table1[[#This Row],[Stress_Index]]&gt;=8,"High",IF(N332&gt;=5,"Medium","Low"))</f>
        <v>Medium</v>
      </c>
      <c r="P332" s="3">
        <v>2.4900000000000002</v>
      </c>
      <c r="Q332" s="2">
        <v>2.89</v>
      </c>
      <c r="R332" s="3">
        <v>2.89</v>
      </c>
      <c r="S332" s="3" t="str">
        <f>IF(Table1[[#This Row],[CGPA]]&gt;=3,"High",IF(R331&gt;=2,"Medium","Low"))</f>
        <v>Low</v>
      </c>
      <c r="T332" s="2" t="s">
        <v>2</v>
      </c>
      <c r="U332" s="2" t="s">
        <v>14</v>
      </c>
      <c r="V332" s="2" t="s">
        <v>15</v>
      </c>
      <c r="W332" s="7">
        <v>0</v>
      </c>
      <c r="X332" t="str">
        <f t="shared" si="11"/>
        <v>Active</v>
      </c>
    </row>
    <row r="333" spans="1:24" x14ac:dyDescent="0.3">
      <c r="A333" s="2">
        <v>332</v>
      </c>
      <c r="B333" s="7">
        <v>19</v>
      </c>
      <c r="C333" s="2" t="s">
        <v>5</v>
      </c>
      <c r="D333" s="7">
        <f>IF(ISBLANK('Raw sheet'!D333),AVERAGE('Raw sheet'!$D$2:'Raw sheet'!$D$1500),'Raw sheet'!D333)</f>
        <v>68868</v>
      </c>
      <c r="E333" s="7" t="str">
        <f>IF(Table1[[#This Row],[Family_Income]]&gt;=100000,"Upper",IF(D333&gt;=50000,"Middle","Lower"))</f>
        <v>Middle</v>
      </c>
      <c r="F333" s="2" t="s">
        <v>3</v>
      </c>
      <c r="G333" s="3">
        <f>IF(ISBLANK('Raw sheet'!F333),AVERAGE('Raw sheet'!$F$2:'Raw sheet'!$F$1500),'Raw sheet'!F333)</f>
        <v>2.9</v>
      </c>
      <c r="H333" s="18">
        <v>63.4</v>
      </c>
      <c r="I333" s="9" t="str">
        <f t="shared" si="10"/>
        <v>Low</v>
      </c>
      <c r="J333" s="2">
        <v>5</v>
      </c>
      <c r="K333" s="2">
        <v>40.5</v>
      </c>
      <c r="L333" s="2" t="s">
        <v>3</v>
      </c>
      <c r="M333" s="2" t="s">
        <v>4</v>
      </c>
      <c r="N333" s="5">
        <f>IF(ISBLANK('Raw sheet'!L333),AVERAGE('Raw sheet'!$L$2:'Raw sheet'!$L$1500),'Raw sheet'!L333)</f>
        <v>4.0999999999999996</v>
      </c>
      <c r="O333" s="5" t="str">
        <f>IF(Table1[[#This Row],[Stress_Index]]&gt;=8,"High",IF(N333&gt;=5,"Medium","Low"))</f>
        <v>Low</v>
      </c>
      <c r="P333" s="3">
        <v>1.56</v>
      </c>
      <c r="Q333" s="2">
        <v>2.17</v>
      </c>
      <c r="R333" s="3">
        <v>2.17</v>
      </c>
      <c r="S333" s="3" t="str">
        <f>IF(Table1[[#This Row],[CGPA]]&gt;=3,"High",IF(R332&gt;=2,"Medium","Low"))</f>
        <v>Medium</v>
      </c>
      <c r="T333" s="2" t="s">
        <v>2</v>
      </c>
      <c r="U333" s="2" t="s">
        <v>1</v>
      </c>
      <c r="V333" s="2" t="s">
        <v>9</v>
      </c>
      <c r="W333" s="7">
        <v>1</v>
      </c>
      <c r="X333" t="str">
        <f t="shared" si="11"/>
        <v>Dropped Out</v>
      </c>
    </row>
    <row r="334" spans="1:24" x14ac:dyDescent="0.3">
      <c r="A334" s="2">
        <v>333</v>
      </c>
      <c r="B334" s="7">
        <v>21.2</v>
      </c>
      <c r="C334" s="2" t="s">
        <v>11</v>
      </c>
      <c r="D334" s="7">
        <f>IF(ISBLANK('Raw sheet'!D334),AVERAGE('Raw sheet'!$D$2:'Raw sheet'!$D$1500),'Raw sheet'!D334)</f>
        <v>63996</v>
      </c>
      <c r="E334" s="7" t="str">
        <f>IF(Table1[[#This Row],[Family_Income]]&gt;=100000,"Upper",IF(D334&gt;=50000,"Middle","Lower"))</f>
        <v>Middle</v>
      </c>
      <c r="F334" s="2" t="s">
        <v>4</v>
      </c>
      <c r="G334" s="3">
        <f>IF(ISBLANK('Raw sheet'!F334),AVERAGE('Raw sheet'!$F$2:'Raw sheet'!$F$1500),'Raw sheet'!F334)</f>
        <v>5.38</v>
      </c>
      <c r="H334" s="18">
        <v>82.7</v>
      </c>
      <c r="I334" s="9" t="str">
        <f t="shared" si="10"/>
        <v>Good</v>
      </c>
      <c r="J334" s="2">
        <v>4</v>
      </c>
      <c r="K334" s="2">
        <v>28.2</v>
      </c>
      <c r="L334" s="2" t="s">
        <v>4</v>
      </c>
      <c r="M334" s="2" t="s">
        <v>3</v>
      </c>
      <c r="N334" s="5">
        <f>IF(ISBLANK('Raw sheet'!L334),AVERAGE('Raw sheet'!$L$2:'Raw sheet'!$L$1500),'Raw sheet'!L334)</f>
        <v>4.2</v>
      </c>
      <c r="O334" s="5" t="str">
        <f>IF(Table1[[#This Row],[Stress_Index]]&gt;=8,"High",IF(N334&gt;=5,"Medium","Low"))</f>
        <v>Low</v>
      </c>
      <c r="P334" s="3">
        <v>4</v>
      </c>
      <c r="Q334" s="2">
        <v>4</v>
      </c>
      <c r="R334" s="3">
        <v>4</v>
      </c>
      <c r="S334" s="3" t="str">
        <f>IF(Table1[[#This Row],[CGPA]]&gt;=3,"High",IF(R333&gt;=2,"Medium","Low"))</f>
        <v>High</v>
      </c>
      <c r="T334" s="2" t="s">
        <v>2</v>
      </c>
      <c r="U334" s="2" t="s">
        <v>1</v>
      </c>
      <c r="V334" s="2" t="s">
        <v>9</v>
      </c>
      <c r="W334" s="7">
        <v>0</v>
      </c>
      <c r="X334" t="str">
        <f t="shared" si="11"/>
        <v>Active</v>
      </c>
    </row>
    <row r="335" spans="1:24" x14ac:dyDescent="0.3">
      <c r="A335" s="2">
        <v>334</v>
      </c>
      <c r="B335" s="7">
        <v>19.5</v>
      </c>
      <c r="C335" s="2" t="s">
        <v>5</v>
      </c>
      <c r="D335" s="7">
        <f>IF(ISBLANK('Raw sheet'!D335),AVERAGE('Raw sheet'!$D$2:'Raw sheet'!$D$1500),'Raw sheet'!D335)</f>
        <v>38587.00282087447</v>
      </c>
      <c r="E335" s="7" t="str">
        <f>IF(Table1[[#This Row],[Family_Income]]&gt;=100000,"Upper",IF(D335&gt;=50000,"Middle","Lower"))</f>
        <v>Lower</v>
      </c>
      <c r="F335" s="2" t="s">
        <v>4</v>
      </c>
      <c r="G335" s="3">
        <f>IF(ISBLANK('Raw sheet'!F335),AVERAGE('Raw sheet'!$F$2:'Raw sheet'!$F$1500),'Raw sheet'!F335)</f>
        <v>4.0178702397743278</v>
      </c>
      <c r="H335" s="18">
        <v>93.8</v>
      </c>
      <c r="I335" s="9" t="str">
        <f t="shared" si="10"/>
        <v>Good</v>
      </c>
      <c r="J335" s="2">
        <v>2</v>
      </c>
      <c r="K335" s="2">
        <v>10.6</v>
      </c>
      <c r="L335" s="2" t="s">
        <v>3</v>
      </c>
      <c r="M335" s="2" t="s">
        <v>3</v>
      </c>
      <c r="N335" s="5">
        <f>IF(ISBLANK('Raw sheet'!L335),AVERAGE('Raw sheet'!$L$2:'Raw sheet'!$L$1500),'Raw sheet'!L335)</f>
        <v>5.5242595204513369</v>
      </c>
      <c r="O335" s="5" t="str">
        <f>IF(Table1[[#This Row],[Stress_Index]]&gt;=8,"High",IF(N335&gt;=5,"Medium","Low"))</f>
        <v>Medium</v>
      </c>
      <c r="P335" s="3">
        <v>1.65</v>
      </c>
      <c r="Q335" s="2">
        <v>1.26</v>
      </c>
      <c r="R335" s="3">
        <v>1.31</v>
      </c>
      <c r="S335" s="3" t="str">
        <f>IF(Table1[[#This Row],[CGPA]]&gt;=3,"High",IF(R334&gt;=2,"Medium","Low"))</f>
        <v>Medium</v>
      </c>
      <c r="T335" s="2" t="s">
        <v>12</v>
      </c>
      <c r="U335" s="2" t="s">
        <v>1</v>
      </c>
      <c r="V335" s="2" t="s">
        <v>9</v>
      </c>
      <c r="W335" s="7">
        <v>1</v>
      </c>
      <c r="X335" t="str">
        <f t="shared" si="11"/>
        <v>Dropped Out</v>
      </c>
    </row>
    <row r="336" spans="1:24" x14ac:dyDescent="0.3">
      <c r="A336" s="2">
        <v>335</v>
      </c>
      <c r="B336" s="7">
        <v>23.1</v>
      </c>
      <c r="C336" s="2" t="s">
        <v>11</v>
      </c>
      <c r="D336" s="7">
        <f>IF(ISBLANK('Raw sheet'!D336),AVERAGE('Raw sheet'!$D$2:'Raw sheet'!$D$1500),'Raw sheet'!D336)</f>
        <v>27318</v>
      </c>
      <c r="E336" s="7" t="str">
        <f>IF(Table1[[#This Row],[Family_Income]]&gt;=100000,"Upper",IF(D336&gt;=50000,"Middle","Lower"))</f>
        <v>Lower</v>
      </c>
      <c r="F336" s="2" t="s">
        <v>4</v>
      </c>
      <c r="G336" s="3">
        <f>IF(ISBLANK('Raw sheet'!F336),AVERAGE('Raw sheet'!$F$2:'Raw sheet'!$F$1500),'Raw sheet'!F336)</f>
        <v>5.59</v>
      </c>
      <c r="H336" s="18">
        <v>82.8</v>
      </c>
      <c r="I336" s="9" t="str">
        <f t="shared" si="10"/>
        <v>Good</v>
      </c>
      <c r="J336" s="2">
        <v>4</v>
      </c>
      <c r="K336" s="2">
        <v>37.299999999999997</v>
      </c>
      <c r="L336" s="2" t="s">
        <v>3</v>
      </c>
      <c r="M336" s="2" t="s">
        <v>3</v>
      </c>
      <c r="N336" s="5">
        <f>IF(ISBLANK('Raw sheet'!L336),AVERAGE('Raw sheet'!$L$2:'Raw sheet'!$L$1500),'Raw sheet'!L336)</f>
        <v>3.3</v>
      </c>
      <c r="O336" s="5" t="str">
        <f>IF(Table1[[#This Row],[Stress_Index]]&gt;=8,"High",IF(N336&gt;=5,"Medium","Low"))</f>
        <v>Low</v>
      </c>
      <c r="P336" s="3">
        <v>2.0499999999999998</v>
      </c>
      <c r="Q336" s="2">
        <v>2.4</v>
      </c>
      <c r="R336" s="3">
        <v>2.36</v>
      </c>
      <c r="S336" s="3" t="str">
        <f>IF(Table1[[#This Row],[CGPA]]&gt;=3,"High",IF(R335&gt;=2,"Medium","Low"))</f>
        <v>Low</v>
      </c>
      <c r="T336" s="2" t="s">
        <v>10</v>
      </c>
      <c r="U336" s="2" t="s">
        <v>6</v>
      </c>
      <c r="V336" s="2" t="s">
        <v>9</v>
      </c>
      <c r="W336" s="7">
        <v>0</v>
      </c>
      <c r="X336" t="str">
        <f t="shared" si="11"/>
        <v>Active</v>
      </c>
    </row>
    <row r="337" spans="1:24" x14ac:dyDescent="0.3">
      <c r="A337" s="2">
        <v>336</v>
      </c>
      <c r="B337" s="7">
        <v>20.7</v>
      </c>
      <c r="C337" s="2" t="s">
        <v>5</v>
      </c>
      <c r="D337" s="7">
        <f>IF(ISBLANK('Raw sheet'!D337),AVERAGE('Raw sheet'!$D$2:'Raw sheet'!$D$1500),'Raw sheet'!D337)</f>
        <v>40477</v>
      </c>
      <c r="E337" s="7" t="str">
        <f>IF(Table1[[#This Row],[Family_Income]]&gt;=100000,"Upper",IF(D337&gt;=50000,"Middle","Lower"))</f>
        <v>Lower</v>
      </c>
      <c r="F337" s="2" t="s">
        <v>4</v>
      </c>
      <c r="G337" s="3">
        <f>IF(ISBLANK('Raw sheet'!F337),AVERAGE('Raw sheet'!$F$2:'Raw sheet'!$F$1500),'Raw sheet'!F337)</f>
        <v>2.67</v>
      </c>
      <c r="H337" s="18">
        <v>83</v>
      </c>
      <c r="I337" s="9" t="str">
        <f t="shared" si="10"/>
        <v>Good</v>
      </c>
      <c r="J337" s="2">
        <v>2</v>
      </c>
      <c r="K337" s="2">
        <v>52</v>
      </c>
      <c r="L337" s="2" t="s">
        <v>4</v>
      </c>
      <c r="M337" s="2" t="s">
        <v>3</v>
      </c>
      <c r="N337" s="5">
        <f>IF(ISBLANK('Raw sheet'!L337),AVERAGE('Raw sheet'!$L$2:'Raw sheet'!$L$1500),'Raw sheet'!L337)</f>
        <v>6.6</v>
      </c>
      <c r="O337" s="5" t="str">
        <f>IF(Table1[[#This Row],[Stress_Index]]&gt;=8,"High",IF(N337&gt;=5,"Medium","Low"))</f>
        <v>Medium</v>
      </c>
      <c r="P337" s="3">
        <v>1.36</v>
      </c>
      <c r="Q337" s="2">
        <v>1.74</v>
      </c>
      <c r="R337" s="3">
        <v>1.75</v>
      </c>
      <c r="S337" s="3" t="str">
        <f>IF(Table1[[#This Row],[CGPA]]&gt;=3,"High",IF(R336&gt;=2,"Medium","Low"))</f>
        <v>Medium</v>
      </c>
      <c r="T337" s="2" t="s">
        <v>10</v>
      </c>
      <c r="U337" s="2" t="s">
        <v>13</v>
      </c>
      <c r="V337" s="2" t="s">
        <v>0</v>
      </c>
      <c r="W337" s="7">
        <v>0</v>
      </c>
      <c r="X337" t="str">
        <f t="shared" si="11"/>
        <v>Active</v>
      </c>
    </row>
    <row r="338" spans="1:24" x14ac:dyDescent="0.3">
      <c r="A338" s="2">
        <v>337</v>
      </c>
      <c r="B338" s="7">
        <v>19.2</v>
      </c>
      <c r="C338" s="2" t="s">
        <v>5</v>
      </c>
      <c r="D338" s="7">
        <f>IF(ISBLANK('Raw sheet'!D338),AVERAGE('Raw sheet'!$D$2:'Raw sheet'!$D$1500),'Raw sheet'!D338)</f>
        <v>25000</v>
      </c>
      <c r="E338" s="7" t="str">
        <f>IF(Table1[[#This Row],[Family_Income]]&gt;=100000,"Upper",IF(D338&gt;=50000,"Middle","Lower"))</f>
        <v>Lower</v>
      </c>
      <c r="F338" s="2" t="s">
        <v>4</v>
      </c>
      <c r="G338" s="3">
        <f>IF(ISBLANK('Raw sheet'!F338),AVERAGE('Raw sheet'!$F$2:'Raw sheet'!$F$1500),'Raw sheet'!F338)</f>
        <v>3.08</v>
      </c>
      <c r="H338" s="18">
        <v>84.3</v>
      </c>
      <c r="I338" s="9" t="str">
        <f t="shared" si="10"/>
        <v>Good</v>
      </c>
      <c r="J338" s="2">
        <v>2</v>
      </c>
      <c r="K338" s="2">
        <v>25.4</v>
      </c>
      <c r="L338" s="2" t="s">
        <v>4</v>
      </c>
      <c r="M338" s="2" t="s">
        <v>4</v>
      </c>
      <c r="N338" s="5">
        <f>IF(ISBLANK('Raw sheet'!L338),AVERAGE('Raw sheet'!$L$2:'Raw sheet'!$L$1500),'Raw sheet'!L338)</f>
        <v>3.2</v>
      </c>
      <c r="O338" s="5" t="str">
        <f>IF(Table1[[#This Row],[Stress_Index]]&gt;=8,"High",IF(N338&gt;=5,"Medium","Low"))</f>
        <v>Low</v>
      </c>
      <c r="P338" s="3">
        <v>3.09</v>
      </c>
      <c r="Q338" s="2">
        <v>3.16</v>
      </c>
      <c r="R338" s="3">
        <v>3.07</v>
      </c>
      <c r="S338" s="3" t="str">
        <f>IF(Table1[[#This Row],[CGPA]]&gt;=3,"High",IF(R337&gt;=2,"Medium","Low"))</f>
        <v>High</v>
      </c>
      <c r="T338" s="2" t="s">
        <v>12</v>
      </c>
      <c r="U338" s="2" t="s">
        <v>14</v>
      </c>
      <c r="V338" s="2" t="s">
        <v>9</v>
      </c>
      <c r="W338" s="7">
        <v>0</v>
      </c>
      <c r="X338" t="str">
        <f t="shared" si="11"/>
        <v>Active</v>
      </c>
    </row>
    <row r="339" spans="1:24" x14ac:dyDescent="0.3">
      <c r="A339" s="2">
        <v>338</v>
      </c>
      <c r="B339" s="7">
        <v>20.3</v>
      </c>
      <c r="C339" s="2" t="s">
        <v>11</v>
      </c>
      <c r="D339" s="7">
        <f>IF(ISBLANK('Raw sheet'!D339),AVERAGE('Raw sheet'!$D$2:'Raw sheet'!$D$1500),'Raw sheet'!D339)</f>
        <v>32574</v>
      </c>
      <c r="E339" s="7" t="str">
        <f>IF(Table1[[#This Row],[Family_Income]]&gt;=100000,"Upper",IF(D339&gt;=50000,"Middle","Lower"))</f>
        <v>Lower</v>
      </c>
      <c r="F339" s="2" t="s">
        <v>4</v>
      </c>
      <c r="G339" s="3">
        <f>IF(ISBLANK('Raw sheet'!F339),AVERAGE('Raw sheet'!$F$2:'Raw sheet'!$F$1500),'Raw sheet'!F339)</f>
        <v>3.27</v>
      </c>
      <c r="H339" s="18">
        <v>94.5</v>
      </c>
      <c r="I339" s="9" t="str">
        <f t="shared" si="10"/>
        <v>Good</v>
      </c>
      <c r="J339" s="2">
        <v>3</v>
      </c>
      <c r="K339" s="2">
        <v>19.100000000000001</v>
      </c>
      <c r="L339" s="2" t="s">
        <v>3</v>
      </c>
      <c r="M339" s="2" t="s">
        <v>3</v>
      </c>
      <c r="N339" s="5">
        <f>IF(ISBLANK('Raw sheet'!L339),AVERAGE('Raw sheet'!$L$2:'Raw sheet'!$L$1500),'Raw sheet'!L339)</f>
        <v>7.5</v>
      </c>
      <c r="O339" s="5" t="str">
        <f>IF(Table1[[#This Row],[Stress_Index]]&gt;=8,"High",IF(N339&gt;=5,"Medium","Low"))</f>
        <v>Medium</v>
      </c>
      <c r="P339" s="3">
        <v>0.49</v>
      </c>
      <c r="Q339" s="2">
        <v>0.36</v>
      </c>
      <c r="R339" s="3">
        <v>0.37</v>
      </c>
      <c r="S339" s="3" t="str">
        <f>IF(Table1[[#This Row],[CGPA]]&gt;=3,"High",IF(R338&gt;=2,"Medium","Low"))</f>
        <v>Medium</v>
      </c>
      <c r="T339" s="2" t="s">
        <v>7</v>
      </c>
      <c r="U339" s="2" t="s">
        <v>14</v>
      </c>
      <c r="V339" s="2" t="s">
        <v>9</v>
      </c>
      <c r="W339" s="7">
        <v>1</v>
      </c>
      <c r="X339" t="str">
        <f t="shared" si="11"/>
        <v>Dropped Out</v>
      </c>
    </row>
    <row r="340" spans="1:24" x14ac:dyDescent="0.3">
      <c r="A340" s="2">
        <v>339</v>
      </c>
      <c r="B340" s="7">
        <v>21.9</v>
      </c>
      <c r="C340" s="2" t="s">
        <v>11</v>
      </c>
      <c r="D340" s="7">
        <f>IF(ISBLANK('Raw sheet'!D340),AVERAGE('Raw sheet'!$D$2:'Raw sheet'!$D$1500),'Raw sheet'!D340)</f>
        <v>25000</v>
      </c>
      <c r="E340" s="7" t="str">
        <f>IF(Table1[[#This Row],[Family_Income]]&gt;=100000,"Upper",IF(D340&gt;=50000,"Middle","Lower"))</f>
        <v>Lower</v>
      </c>
      <c r="F340" s="2" t="s">
        <v>4</v>
      </c>
      <c r="G340" s="3">
        <f>IF(ISBLANK('Raw sheet'!F340),AVERAGE('Raw sheet'!$F$2:'Raw sheet'!$F$1500),'Raw sheet'!F340)</f>
        <v>3.62</v>
      </c>
      <c r="H340" s="18">
        <v>92.8</v>
      </c>
      <c r="I340" s="9" t="str">
        <f t="shared" si="10"/>
        <v>Good</v>
      </c>
      <c r="J340" s="2">
        <v>1</v>
      </c>
      <c r="K340" s="2">
        <v>30.8</v>
      </c>
      <c r="L340" s="2" t="s">
        <v>4</v>
      </c>
      <c r="M340" s="2" t="s">
        <v>3</v>
      </c>
      <c r="N340" s="5">
        <f>IF(ISBLANK('Raw sheet'!L340),AVERAGE('Raw sheet'!$L$2:'Raw sheet'!$L$1500),'Raw sheet'!L340)</f>
        <v>3.1</v>
      </c>
      <c r="O340" s="5" t="str">
        <f>IF(Table1[[#This Row],[Stress_Index]]&gt;=8,"High",IF(N340&gt;=5,"Medium","Low"))</f>
        <v>Low</v>
      </c>
      <c r="P340" s="3">
        <v>3.99</v>
      </c>
      <c r="Q340" s="2">
        <v>3.57</v>
      </c>
      <c r="R340" s="3">
        <v>3.54</v>
      </c>
      <c r="S340" s="3" t="str">
        <f>IF(Table1[[#This Row],[CGPA]]&gt;=3,"High",IF(R339&gt;=2,"Medium","Low"))</f>
        <v>High</v>
      </c>
      <c r="T340" s="2" t="s">
        <v>10</v>
      </c>
      <c r="U340" s="2" t="s">
        <v>6</v>
      </c>
      <c r="V340" s="2" t="s">
        <v>9</v>
      </c>
      <c r="W340" s="7">
        <v>0</v>
      </c>
      <c r="X340" t="str">
        <f t="shared" si="11"/>
        <v>Active</v>
      </c>
    </row>
    <row r="341" spans="1:24" x14ac:dyDescent="0.3">
      <c r="A341" s="2">
        <v>340</v>
      </c>
      <c r="B341" s="7">
        <v>19.8</v>
      </c>
      <c r="C341" s="2" t="s">
        <v>11</v>
      </c>
      <c r="D341" s="7">
        <f>IF(ISBLANK('Raw sheet'!D341),AVERAGE('Raw sheet'!$D$2:'Raw sheet'!$D$1500),'Raw sheet'!D341)</f>
        <v>25000</v>
      </c>
      <c r="E341" s="7" t="str">
        <f>IF(Table1[[#This Row],[Family_Income]]&gt;=100000,"Upper",IF(D341&gt;=50000,"Middle","Lower"))</f>
        <v>Lower</v>
      </c>
      <c r="F341" s="2" t="s">
        <v>4</v>
      </c>
      <c r="G341" s="3">
        <f>IF(ISBLANK('Raw sheet'!F341),AVERAGE('Raw sheet'!$F$2:'Raw sheet'!$F$1500),'Raw sheet'!F341)</f>
        <v>4.3099999999999996</v>
      </c>
      <c r="H341" s="18">
        <v>73.8</v>
      </c>
      <c r="I341" s="9" t="str">
        <f t="shared" si="10"/>
        <v>Low</v>
      </c>
      <c r="J341" s="2">
        <v>1</v>
      </c>
      <c r="K341" s="2">
        <v>28.5</v>
      </c>
      <c r="L341" s="2" t="s">
        <v>3</v>
      </c>
      <c r="M341" s="2" t="s">
        <v>3</v>
      </c>
      <c r="N341" s="5">
        <f>IF(ISBLANK('Raw sheet'!L341),AVERAGE('Raw sheet'!$L$2:'Raw sheet'!$L$1500),'Raw sheet'!L341)</f>
        <v>5</v>
      </c>
      <c r="O341" s="5" t="str">
        <f>IF(Table1[[#This Row],[Stress_Index]]&gt;=8,"High",IF(N341&gt;=5,"Medium","Low"))</f>
        <v>Medium</v>
      </c>
      <c r="P341" s="3">
        <v>2.76</v>
      </c>
      <c r="Q341" s="2">
        <v>2.35</v>
      </c>
      <c r="R341" s="3">
        <v>2.2999999999999998</v>
      </c>
      <c r="S341" s="3" t="str">
        <f>IF(Table1[[#This Row],[CGPA]]&gt;=3,"High",IF(R340&gt;=2,"Medium","Low"))</f>
        <v>Medium</v>
      </c>
      <c r="T341" s="2" t="s">
        <v>12</v>
      </c>
      <c r="U341" s="2" t="s">
        <v>8</v>
      </c>
      <c r="V341" s="2" t="s">
        <v>0</v>
      </c>
      <c r="W341" s="7">
        <v>0</v>
      </c>
      <c r="X341" t="str">
        <f t="shared" si="11"/>
        <v>Active</v>
      </c>
    </row>
    <row r="342" spans="1:24" x14ac:dyDescent="0.3">
      <c r="A342" s="2">
        <v>341</v>
      </c>
      <c r="B342" s="7">
        <v>19.2</v>
      </c>
      <c r="C342" s="2" t="s">
        <v>5</v>
      </c>
      <c r="D342" s="7">
        <f>IF(ISBLANK('Raw sheet'!D342),AVERAGE('Raw sheet'!$D$2:'Raw sheet'!$D$1500),'Raw sheet'!D342)</f>
        <v>30646</v>
      </c>
      <c r="E342" s="7" t="str">
        <f>IF(Table1[[#This Row],[Family_Income]]&gt;=100000,"Upper",IF(D342&gt;=50000,"Middle","Lower"))</f>
        <v>Lower</v>
      </c>
      <c r="F342" s="2" t="s">
        <v>4</v>
      </c>
      <c r="G342" s="3">
        <f>IF(ISBLANK('Raw sheet'!F342),AVERAGE('Raw sheet'!$F$2:'Raw sheet'!$F$1500),'Raw sheet'!F342)</f>
        <v>4.8099999999999996</v>
      </c>
      <c r="H342" s="18">
        <v>91.6</v>
      </c>
      <c r="I342" s="9" t="str">
        <f t="shared" si="10"/>
        <v>Good</v>
      </c>
      <c r="J342" s="2">
        <v>2</v>
      </c>
      <c r="K342" s="2">
        <v>61.3</v>
      </c>
      <c r="L342" s="2" t="s">
        <v>4</v>
      </c>
      <c r="M342" s="2" t="s">
        <v>3</v>
      </c>
      <c r="N342" s="5">
        <f>IF(ISBLANK('Raw sheet'!L342),AVERAGE('Raw sheet'!$L$2:'Raw sheet'!$L$1500),'Raw sheet'!L342)</f>
        <v>6.1</v>
      </c>
      <c r="O342" s="5" t="str">
        <f>IF(Table1[[#This Row],[Stress_Index]]&gt;=8,"High",IF(N342&gt;=5,"Medium","Low"))</f>
        <v>Medium</v>
      </c>
      <c r="P342" s="3">
        <v>3.83</v>
      </c>
      <c r="Q342" s="2">
        <v>3.48</v>
      </c>
      <c r="R342" s="3">
        <v>3.49</v>
      </c>
      <c r="S342" s="3" t="str">
        <f>IF(Table1[[#This Row],[CGPA]]&gt;=3,"High",IF(R341&gt;=2,"Medium","Low"))</f>
        <v>High</v>
      </c>
      <c r="T342" s="2" t="s">
        <v>12</v>
      </c>
      <c r="U342" s="2" t="s">
        <v>13</v>
      </c>
      <c r="V342" s="2" t="s">
        <v>9</v>
      </c>
      <c r="W342" s="7">
        <v>0</v>
      </c>
      <c r="X342" t="str">
        <f t="shared" si="11"/>
        <v>Active</v>
      </c>
    </row>
    <row r="343" spans="1:24" x14ac:dyDescent="0.3">
      <c r="A343" s="2">
        <v>342</v>
      </c>
      <c r="B343" s="7">
        <v>21.5</v>
      </c>
      <c r="C343" s="2" t="s">
        <v>5</v>
      </c>
      <c r="D343" s="7">
        <f>IF(ISBLANK('Raw sheet'!D343),AVERAGE('Raw sheet'!$D$2:'Raw sheet'!$D$1500),'Raw sheet'!D343)</f>
        <v>63409</v>
      </c>
      <c r="E343" s="7" t="str">
        <f>IF(Table1[[#This Row],[Family_Income]]&gt;=100000,"Upper",IF(D343&gt;=50000,"Middle","Lower"))</f>
        <v>Middle</v>
      </c>
      <c r="F343" s="2" t="s">
        <v>4</v>
      </c>
      <c r="G343" s="3">
        <f>IF(ISBLANK('Raw sheet'!F343),AVERAGE('Raw sheet'!$F$2:'Raw sheet'!$F$1500),'Raw sheet'!F343)</f>
        <v>5.63</v>
      </c>
      <c r="H343" s="18">
        <v>93</v>
      </c>
      <c r="I343" s="9" t="str">
        <f t="shared" si="10"/>
        <v>Good</v>
      </c>
      <c r="J343" s="2">
        <v>2</v>
      </c>
      <c r="K343" s="2">
        <v>42.1</v>
      </c>
      <c r="L343" s="2" t="s">
        <v>4</v>
      </c>
      <c r="M343" s="2" t="s">
        <v>4</v>
      </c>
      <c r="N343" s="5">
        <f>IF(ISBLANK('Raw sheet'!L343),AVERAGE('Raw sheet'!$L$2:'Raw sheet'!$L$1500),'Raw sheet'!L343)</f>
        <v>6.9</v>
      </c>
      <c r="O343" s="5" t="str">
        <f>IF(Table1[[#This Row],[Stress_Index]]&gt;=8,"High",IF(N343&gt;=5,"Medium","Low"))</f>
        <v>Medium</v>
      </c>
      <c r="P343" s="3">
        <v>2.2200000000000002</v>
      </c>
      <c r="Q343" s="2">
        <v>1.89</v>
      </c>
      <c r="R343" s="3">
        <v>1.89</v>
      </c>
      <c r="S343" s="3" t="str">
        <f>IF(Table1[[#This Row],[CGPA]]&gt;=3,"High",IF(R342&gt;=2,"Medium","Low"))</f>
        <v>Medium</v>
      </c>
      <c r="T343" s="2" t="s">
        <v>10</v>
      </c>
      <c r="U343" s="2" t="s">
        <v>1</v>
      </c>
      <c r="V343" s="2" t="s">
        <v>15</v>
      </c>
      <c r="W343" s="7">
        <v>1</v>
      </c>
      <c r="X343" t="str">
        <f t="shared" si="11"/>
        <v>Dropped Out</v>
      </c>
    </row>
    <row r="344" spans="1:24" x14ac:dyDescent="0.3">
      <c r="A344" s="2">
        <v>343</v>
      </c>
      <c r="B344" s="7">
        <v>21.5</v>
      </c>
      <c r="C344" s="2" t="s">
        <v>11</v>
      </c>
      <c r="D344" s="7">
        <f>IF(ISBLANK('Raw sheet'!D344),AVERAGE('Raw sheet'!$D$2:'Raw sheet'!$D$1500),'Raw sheet'!D344)</f>
        <v>51817</v>
      </c>
      <c r="E344" s="7" t="str">
        <f>IF(Table1[[#This Row],[Family_Income]]&gt;=100000,"Upper",IF(D344&gt;=50000,"Middle","Lower"))</f>
        <v>Middle</v>
      </c>
      <c r="F344" s="2" t="s">
        <v>4</v>
      </c>
      <c r="G344" s="3">
        <f>IF(ISBLANK('Raw sheet'!F344),AVERAGE('Raw sheet'!$F$2:'Raw sheet'!$F$1500),'Raw sheet'!F344)</f>
        <v>1.1399999999999999</v>
      </c>
      <c r="H344" s="18">
        <v>68.3</v>
      </c>
      <c r="I344" s="9" t="str">
        <f t="shared" si="10"/>
        <v>Low</v>
      </c>
      <c r="J344" s="2">
        <v>3</v>
      </c>
      <c r="K344" s="2">
        <v>31.6</v>
      </c>
      <c r="L344" s="2" t="s">
        <v>4</v>
      </c>
      <c r="M344" s="2" t="s">
        <v>4</v>
      </c>
      <c r="N344" s="5">
        <f>IF(ISBLANK('Raw sheet'!L344),AVERAGE('Raw sheet'!$L$2:'Raw sheet'!$L$1500),'Raw sheet'!L344)</f>
        <v>5.0999999999999996</v>
      </c>
      <c r="O344" s="5" t="str">
        <f>IF(Table1[[#This Row],[Stress_Index]]&gt;=8,"High",IF(N344&gt;=5,"Medium","Low"))</f>
        <v>Medium</v>
      </c>
      <c r="P344" s="3">
        <v>2.48</v>
      </c>
      <c r="Q344" s="2">
        <v>2.4300000000000002</v>
      </c>
      <c r="R344" s="3">
        <v>2.37</v>
      </c>
      <c r="S344" s="3" t="str">
        <f>IF(Table1[[#This Row],[CGPA]]&gt;=3,"High",IF(R343&gt;=2,"Medium","Low"))</f>
        <v>Low</v>
      </c>
      <c r="T344" s="2" t="s">
        <v>12</v>
      </c>
      <c r="U344" s="2" t="s">
        <v>6</v>
      </c>
      <c r="V344" s="2" t="s">
        <v>9</v>
      </c>
      <c r="W344" s="7">
        <v>0</v>
      </c>
      <c r="X344" t="str">
        <f t="shared" si="11"/>
        <v>Active</v>
      </c>
    </row>
    <row r="345" spans="1:24" x14ac:dyDescent="0.3">
      <c r="A345" s="2">
        <v>344</v>
      </c>
      <c r="B345" s="7">
        <v>19.899999999999999</v>
      </c>
      <c r="C345" s="2" t="s">
        <v>11</v>
      </c>
      <c r="D345" s="7">
        <f>IF(ISBLANK('Raw sheet'!D345),AVERAGE('Raw sheet'!$D$2:'Raw sheet'!$D$1500),'Raw sheet'!D345)</f>
        <v>28307</v>
      </c>
      <c r="E345" s="7" t="str">
        <f>IF(Table1[[#This Row],[Family_Income]]&gt;=100000,"Upper",IF(D345&gt;=50000,"Middle","Lower"))</f>
        <v>Lower</v>
      </c>
      <c r="F345" s="2" t="s">
        <v>4</v>
      </c>
      <c r="G345" s="3">
        <f>IF(ISBLANK('Raw sheet'!F345),AVERAGE('Raw sheet'!$F$2:'Raw sheet'!$F$1500),'Raw sheet'!F345)</f>
        <v>6.63</v>
      </c>
      <c r="H345" s="18">
        <v>82.2</v>
      </c>
      <c r="I345" s="9" t="str">
        <f t="shared" si="10"/>
        <v>Good</v>
      </c>
      <c r="J345" s="2">
        <v>2</v>
      </c>
      <c r="K345" s="2">
        <v>5</v>
      </c>
      <c r="L345" s="2" t="s">
        <v>4</v>
      </c>
      <c r="M345" s="2" t="s">
        <v>3</v>
      </c>
      <c r="N345" s="5">
        <f>IF(ISBLANK('Raw sheet'!L345),AVERAGE('Raw sheet'!$L$2:'Raw sheet'!$L$1500),'Raw sheet'!L345)</f>
        <v>4.2</v>
      </c>
      <c r="O345" s="5" t="str">
        <f>IF(Table1[[#This Row],[Stress_Index]]&gt;=8,"High",IF(N345&gt;=5,"Medium","Low"))</f>
        <v>Low</v>
      </c>
      <c r="P345" s="3">
        <v>4</v>
      </c>
      <c r="Q345" s="2">
        <v>3.84</v>
      </c>
      <c r="R345" s="3">
        <v>3.81</v>
      </c>
      <c r="S345" s="3" t="str">
        <f>IF(Table1[[#This Row],[CGPA]]&gt;=3,"High",IF(R344&gt;=2,"Medium","Low"))</f>
        <v>High</v>
      </c>
      <c r="T345" s="2" t="s">
        <v>7</v>
      </c>
      <c r="U345" s="2" t="s">
        <v>6</v>
      </c>
      <c r="V345" s="2" t="s">
        <v>9</v>
      </c>
      <c r="W345" s="7">
        <v>0</v>
      </c>
      <c r="X345" t="str">
        <f t="shared" si="11"/>
        <v>Active</v>
      </c>
    </row>
    <row r="346" spans="1:24" x14ac:dyDescent="0.3">
      <c r="A346" s="2">
        <v>345</v>
      </c>
      <c r="B346" s="7">
        <v>20</v>
      </c>
      <c r="C346" s="2" t="s">
        <v>11</v>
      </c>
      <c r="D346" s="7">
        <f>IF(ISBLANK('Raw sheet'!D346),AVERAGE('Raw sheet'!$D$2:'Raw sheet'!$D$1500),'Raw sheet'!D346)</f>
        <v>84812</v>
      </c>
      <c r="E346" s="7" t="str">
        <f>IF(Table1[[#This Row],[Family_Income]]&gt;=100000,"Upper",IF(D346&gt;=50000,"Middle","Lower"))</f>
        <v>Middle</v>
      </c>
      <c r="F346" s="2" t="s">
        <v>3</v>
      </c>
      <c r="G346" s="3">
        <f>IF(ISBLANK('Raw sheet'!F346),AVERAGE('Raw sheet'!$F$2:'Raw sheet'!$F$1500),'Raw sheet'!F346)</f>
        <v>2.62</v>
      </c>
      <c r="H346" s="18">
        <v>86.2</v>
      </c>
      <c r="I346" s="9" t="str">
        <f t="shared" si="10"/>
        <v>Good</v>
      </c>
      <c r="J346" s="2">
        <v>3</v>
      </c>
      <c r="K346" s="2">
        <v>28.3</v>
      </c>
      <c r="L346" s="2" t="s">
        <v>4</v>
      </c>
      <c r="M346" s="2" t="s">
        <v>4</v>
      </c>
      <c r="N346" s="5">
        <f>IF(ISBLANK('Raw sheet'!L346),AVERAGE('Raw sheet'!$L$2:'Raw sheet'!$L$1500),'Raw sheet'!L346)</f>
        <v>8.1</v>
      </c>
      <c r="O346" s="5" t="str">
        <f>IF(Table1[[#This Row],[Stress_Index]]&gt;=8,"High",IF(N346&gt;=5,"Medium","Low"))</f>
        <v>High</v>
      </c>
      <c r="P346" s="3">
        <v>0.05</v>
      </c>
      <c r="Q346" s="2">
        <v>0.43</v>
      </c>
      <c r="R346" s="3">
        <v>0.35</v>
      </c>
      <c r="S346" s="3" t="str">
        <f>IF(Table1[[#This Row],[CGPA]]&gt;=3,"High",IF(R345&gt;=2,"Medium","Low"))</f>
        <v>Medium</v>
      </c>
      <c r="T346" s="2" t="s">
        <v>7</v>
      </c>
      <c r="U346" s="2" t="s">
        <v>8</v>
      </c>
      <c r="V346" s="2" t="s">
        <v>15</v>
      </c>
      <c r="W346" s="7">
        <v>0</v>
      </c>
      <c r="X346" t="str">
        <f t="shared" si="11"/>
        <v>Active</v>
      </c>
    </row>
    <row r="347" spans="1:24" x14ac:dyDescent="0.3">
      <c r="A347" s="2">
        <v>346</v>
      </c>
      <c r="B347" s="7">
        <v>21.5</v>
      </c>
      <c r="C347" s="2" t="s">
        <v>5</v>
      </c>
      <c r="D347" s="7">
        <f>IF(ISBLANK('Raw sheet'!D347),AVERAGE('Raw sheet'!$D$2:'Raw sheet'!$D$1500),'Raw sheet'!D347)</f>
        <v>25000</v>
      </c>
      <c r="E347" s="7" t="str">
        <f>IF(Table1[[#This Row],[Family_Income]]&gt;=100000,"Upper",IF(D347&gt;=50000,"Middle","Lower"))</f>
        <v>Lower</v>
      </c>
      <c r="F347" s="2" t="s">
        <v>4</v>
      </c>
      <c r="G347" s="3">
        <f>IF(ISBLANK('Raw sheet'!F347),AVERAGE('Raw sheet'!$F$2:'Raw sheet'!$F$1500),'Raw sheet'!F347)</f>
        <v>4.13</v>
      </c>
      <c r="H347" s="18">
        <v>59.6</v>
      </c>
      <c r="I347" s="9" t="str">
        <f t="shared" si="10"/>
        <v>Low</v>
      </c>
      <c r="J347" s="2">
        <v>0</v>
      </c>
      <c r="K347" s="2">
        <v>52.2</v>
      </c>
      <c r="L347" s="2" t="s">
        <v>3</v>
      </c>
      <c r="M347" s="2" t="s">
        <v>3</v>
      </c>
      <c r="N347" s="5">
        <f>IF(ISBLANK('Raw sheet'!L347),AVERAGE('Raw sheet'!$L$2:'Raw sheet'!$L$1500),'Raw sheet'!L347)</f>
        <v>5.8</v>
      </c>
      <c r="O347" s="5" t="str">
        <f>IF(Table1[[#This Row],[Stress_Index]]&gt;=8,"High",IF(N347&gt;=5,"Medium","Low"))</f>
        <v>Medium</v>
      </c>
      <c r="P347" s="3">
        <v>1.61</v>
      </c>
      <c r="Q347" s="2">
        <v>2</v>
      </c>
      <c r="R347" s="3">
        <v>2.02</v>
      </c>
      <c r="S347" s="3" t="str">
        <f>IF(Table1[[#This Row],[CGPA]]&gt;=3,"High",IF(R346&gt;=2,"Medium","Low"))</f>
        <v>Low</v>
      </c>
      <c r="T347" s="2" t="s">
        <v>12</v>
      </c>
      <c r="U347" s="2" t="s">
        <v>1</v>
      </c>
      <c r="V347" s="2" t="s">
        <v>0</v>
      </c>
      <c r="W347" s="7">
        <v>1</v>
      </c>
      <c r="X347" t="str">
        <f t="shared" si="11"/>
        <v>Dropped Out</v>
      </c>
    </row>
    <row r="348" spans="1:24" x14ac:dyDescent="0.3">
      <c r="A348" s="2">
        <v>347</v>
      </c>
      <c r="B348" s="7">
        <v>17.8</v>
      </c>
      <c r="C348" s="2" t="s">
        <v>11</v>
      </c>
      <c r="D348" s="7">
        <f>IF(ISBLANK('Raw sheet'!D348),AVERAGE('Raw sheet'!$D$2:'Raw sheet'!$D$1500),'Raw sheet'!D348)</f>
        <v>38587.00282087447</v>
      </c>
      <c r="E348" s="7" t="str">
        <f>IF(Table1[[#This Row],[Family_Income]]&gt;=100000,"Upper",IF(D348&gt;=50000,"Middle","Lower"))</f>
        <v>Lower</v>
      </c>
      <c r="F348" s="2" t="s">
        <v>4</v>
      </c>
      <c r="G348" s="3">
        <f>IF(ISBLANK('Raw sheet'!F348),AVERAGE('Raw sheet'!$F$2:'Raw sheet'!$F$1500),'Raw sheet'!F348)</f>
        <v>4.0178702397743278</v>
      </c>
      <c r="H348" s="18">
        <v>76.599999999999994</v>
      </c>
      <c r="I348" s="9" t="str">
        <f t="shared" si="10"/>
        <v>Good</v>
      </c>
      <c r="J348" s="2">
        <v>2</v>
      </c>
      <c r="K348" s="2">
        <v>31</v>
      </c>
      <c r="L348" s="2" t="s">
        <v>4</v>
      </c>
      <c r="M348" s="2" t="s">
        <v>3</v>
      </c>
      <c r="N348" s="5">
        <f>IF(ISBLANK('Raw sheet'!L348),AVERAGE('Raw sheet'!$L$2:'Raw sheet'!$L$1500),'Raw sheet'!L348)</f>
        <v>5.5242595204513369</v>
      </c>
      <c r="O348" s="5" t="str">
        <f>IF(Table1[[#This Row],[Stress_Index]]&gt;=8,"High",IF(N348&gt;=5,"Medium","Low"))</f>
        <v>Medium</v>
      </c>
      <c r="P348" s="3">
        <v>2.4900000000000002</v>
      </c>
      <c r="Q348" s="2">
        <v>2.19</v>
      </c>
      <c r="R348" s="3">
        <v>2.19</v>
      </c>
      <c r="S348" s="3" t="str">
        <f>IF(Table1[[#This Row],[CGPA]]&gt;=3,"High",IF(R347&gt;=2,"Medium","Low"))</f>
        <v>Medium</v>
      </c>
      <c r="T348" s="2" t="s">
        <v>12</v>
      </c>
      <c r="U348" s="2" t="s">
        <v>6</v>
      </c>
      <c r="V348" s="2" t="s">
        <v>9</v>
      </c>
      <c r="W348" s="7">
        <v>0</v>
      </c>
      <c r="X348" t="str">
        <f t="shared" si="11"/>
        <v>Active</v>
      </c>
    </row>
    <row r="349" spans="1:24" x14ac:dyDescent="0.3">
      <c r="A349" s="2">
        <v>348</v>
      </c>
      <c r="B349" s="7">
        <v>17.899999999999999</v>
      </c>
      <c r="C349" s="2" t="s">
        <v>11</v>
      </c>
      <c r="D349" s="7">
        <f>IF(ISBLANK('Raw sheet'!D349),AVERAGE('Raw sheet'!$D$2:'Raw sheet'!$D$1500),'Raw sheet'!D349)</f>
        <v>25000</v>
      </c>
      <c r="E349" s="7" t="str">
        <f>IF(Table1[[#This Row],[Family_Income]]&gt;=100000,"Upper",IF(D349&gt;=50000,"Middle","Lower"))</f>
        <v>Lower</v>
      </c>
      <c r="F349" s="2" t="s">
        <v>4</v>
      </c>
      <c r="G349" s="3">
        <f>IF(ISBLANK('Raw sheet'!F349),AVERAGE('Raw sheet'!$F$2:'Raw sheet'!$F$1500),'Raw sheet'!F349)</f>
        <v>4.83</v>
      </c>
      <c r="H349" s="18">
        <v>76.3</v>
      </c>
      <c r="I349" s="9" t="str">
        <f t="shared" si="10"/>
        <v>Good</v>
      </c>
      <c r="J349" s="2">
        <v>0</v>
      </c>
      <c r="K349" s="2">
        <v>39.9</v>
      </c>
      <c r="L349" s="2" t="s">
        <v>3</v>
      </c>
      <c r="M349" s="2" t="s">
        <v>3</v>
      </c>
      <c r="N349" s="5">
        <f>IF(ISBLANK('Raw sheet'!L349),AVERAGE('Raw sheet'!$L$2:'Raw sheet'!$L$1500),'Raw sheet'!L349)</f>
        <v>2.2000000000000002</v>
      </c>
      <c r="O349" s="5" t="str">
        <f>IF(Table1[[#This Row],[Stress_Index]]&gt;=8,"High",IF(N349&gt;=5,"Medium","Low"))</f>
        <v>Low</v>
      </c>
      <c r="P349" s="3">
        <v>3.49</v>
      </c>
      <c r="Q349" s="2">
        <v>3.27</v>
      </c>
      <c r="R349" s="3">
        <v>3.27</v>
      </c>
      <c r="S349" s="3" t="str">
        <f>IF(Table1[[#This Row],[CGPA]]&gt;=3,"High",IF(R348&gt;=2,"Medium","Low"))</f>
        <v>High</v>
      </c>
      <c r="T349" s="2" t="s">
        <v>10</v>
      </c>
      <c r="U349" s="2" t="s">
        <v>13</v>
      </c>
      <c r="V349" s="2" t="s">
        <v>9</v>
      </c>
      <c r="W349" s="7">
        <v>0</v>
      </c>
      <c r="X349" t="str">
        <f t="shared" si="11"/>
        <v>Active</v>
      </c>
    </row>
    <row r="350" spans="1:24" x14ac:dyDescent="0.3">
      <c r="A350" s="2">
        <v>349</v>
      </c>
      <c r="B350" s="7">
        <v>19.399999999999999</v>
      </c>
      <c r="C350" s="2" t="s">
        <v>11</v>
      </c>
      <c r="D350" s="7">
        <f>IF(ISBLANK('Raw sheet'!D350),AVERAGE('Raw sheet'!$D$2:'Raw sheet'!$D$1500),'Raw sheet'!D350)</f>
        <v>25000</v>
      </c>
      <c r="E350" s="7" t="str">
        <f>IF(Table1[[#This Row],[Family_Income]]&gt;=100000,"Upper",IF(D350&gt;=50000,"Middle","Lower"))</f>
        <v>Lower</v>
      </c>
      <c r="F350" s="2" t="s">
        <v>4</v>
      </c>
      <c r="G350" s="3">
        <f>IF(ISBLANK('Raw sheet'!F350),AVERAGE('Raw sheet'!$F$2:'Raw sheet'!$F$1500),'Raw sheet'!F350)</f>
        <v>5.46</v>
      </c>
      <c r="H350" s="18">
        <v>76.8</v>
      </c>
      <c r="I350" s="9" t="str">
        <f t="shared" si="10"/>
        <v>Good</v>
      </c>
      <c r="J350" s="2">
        <v>2</v>
      </c>
      <c r="K350" s="2">
        <v>34.700000000000003</v>
      </c>
      <c r="L350" s="2" t="s">
        <v>3</v>
      </c>
      <c r="M350" s="2" t="s">
        <v>4</v>
      </c>
      <c r="N350" s="5">
        <f>IF(ISBLANK('Raw sheet'!L350),AVERAGE('Raw sheet'!$L$2:'Raw sheet'!$L$1500),'Raw sheet'!L350)</f>
        <v>5.8</v>
      </c>
      <c r="O350" s="5" t="str">
        <f>IF(Table1[[#This Row],[Stress_Index]]&gt;=8,"High",IF(N350&gt;=5,"Medium","Low"))</f>
        <v>Medium</v>
      </c>
      <c r="P350" s="3">
        <v>3.14</v>
      </c>
      <c r="Q350" s="2">
        <v>3.11</v>
      </c>
      <c r="R350" s="3">
        <v>3.11</v>
      </c>
      <c r="S350" s="3" t="str">
        <f>IF(Table1[[#This Row],[CGPA]]&gt;=3,"High",IF(R349&gt;=2,"Medium","Low"))</f>
        <v>High</v>
      </c>
      <c r="T350" s="2" t="s">
        <v>2</v>
      </c>
      <c r="U350" s="2" t="s">
        <v>14</v>
      </c>
      <c r="V350" s="2" t="s">
        <v>9</v>
      </c>
      <c r="W350" s="7">
        <v>0</v>
      </c>
      <c r="X350" t="str">
        <f t="shared" si="11"/>
        <v>Active</v>
      </c>
    </row>
    <row r="351" spans="1:24" x14ac:dyDescent="0.3">
      <c r="A351" s="2">
        <v>350</v>
      </c>
      <c r="B351" s="7">
        <v>20.5</v>
      </c>
      <c r="C351" s="2" t="s">
        <v>11</v>
      </c>
      <c r="D351" s="7">
        <f>IF(ISBLANK('Raw sheet'!D351),AVERAGE('Raw sheet'!$D$2:'Raw sheet'!$D$1500),'Raw sheet'!D351)</f>
        <v>48532</v>
      </c>
      <c r="E351" s="7" t="str">
        <f>IF(Table1[[#This Row],[Family_Income]]&gt;=100000,"Upper",IF(D351&gt;=50000,"Middle","Lower"))</f>
        <v>Lower</v>
      </c>
      <c r="F351" s="2" t="s">
        <v>4</v>
      </c>
      <c r="G351" s="3">
        <f>IF(ISBLANK('Raw sheet'!F351),AVERAGE('Raw sheet'!$F$2:'Raw sheet'!$F$1500),'Raw sheet'!F351)</f>
        <v>5.32</v>
      </c>
      <c r="H351" s="18">
        <v>90.4</v>
      </c>
      <c r="I351" s="9" t="str">
        <f t="shared" si="10"/>
        <v>Good</v>
      </c>
      <c r="J351" s="2">
        <v>0</v>
      </c>
      <c r="K351" s="2">
        <v>24.2</v>
      </c>
      <c r="L351" s="2" t="s">
        <v>4</v>
      </c>
      <c r="M351" s="2" t="s">
        <v>3</v>
      </c>
      <c r="N351" s="5">
        <f>IF(ISBLANK('Raw sheet'!L351),AVERAGE('Raw sheet'!$L$2:'Raw sheet'!$L$1500),'Raw sheet'!L351)</f>
        <v>5.5</v>
      </c>
      <c r="O351" s="5" t="str">
        <f>IF(Table1[[#This Row],[Stress_Index]]&gt;=8,"High",IF(N351&gt;=5,"Medium","Low"))</f>
        <v>Medium</v>
      </c>
      <c r="P351" s="3">
        <v>3.37</v>
      </c>
      <c r="Q351" s="2">
        <v>3.05</v>
      </c>
      <c r="R351" s="3">
        <v>3.09</v>
      </c>
      <c r="S351" s="3" t="str">
        <f>IF(Table1[[#This Row],[CGPA]]&gt;=3,"High",IF(R350&gt;=2,"Medium","Low"))</f>
        <v>High</v>
      </c>
      <c r="T351" s="2" t="s">
        <v>10</v>
      </c>
      <c r="U351" s="2" t="s">
        <v>6</v>
      </c>
      <c r="V351" s="2" t="s">
        <v>15</v>
      </c>
      <c r="W351" s="7">
        <v>0</v>
      </c>
      <c r="X351" t="str">
        <f t="shared" si="11"/>
        <v>Active</v>
      </c>
    </row>
    <row r="352" spans="1:24" x14ac:dyDescent="0.3">
      <c r="A352" s="2">
        <v>351</v>
      </c>
      <c r="B352" s="7">
        <v>21.7</v>
      </c>
      <c r="C352" s="2" t="s">
        <v>5</v>
      </c>
      <c r="D352" s="7">
        <f>IF(ISBLANK('Raw sheet'!D352),AVERAGE('Raw sheet'!$D$2:'Raw sheet'!$D$1500),'Raw sheet'!D352)</f>
        <v>25000</v>
      </c>
      <c r="E352" s="7" t="str">
        <f>IF(Table1[[#This Row],[Family_Income]]&gt;=100000,"Upper",IF(D352&gt;=50000,"Middle","Lower"))</f>
        <v>Lower</v>
      </c>
      <c r="F352" s="2" t="s">
        <v>4</v>
      </c>
      <c r="G352" s="3">
        <f>IF(ISBLANK('Raw sheet'!F352),AVERAGE('Raw sheet'!$F$2:'Raw sheet'!$F$1500),'Raw sheet'!F352)</f>
        <v>4.54</v>
      </c>
      <c r="H352" s="18">
        <v>81.5</v>
      </c>
      <c r="I352" s="9" t="str">
        <f t="shared" si="10"/>
        <v>Good</v>
      </c>
      <c r="J352" s="2">
        <v>2</v>
      </c>
      <c r="K352" s="2">
        <v>50.3</v>
      </c>
      <c r="L352" s="2" t="s">
        <v>4</v>
      </c>
      <c r="M352" s="2" t="s">
        <v>4</v>
      </c>
      <c r="N352" s="5">
        <f>IF(ISBLANK('Raw sheet'!L352),AVERAGE('Raw sheet'!$L$2:'Raw sheet'!$L$1500),'Raw sheet'!L352)</f>
        <v>3.1</v>
      </c>
      <c r="O352" s="5" t="str">
        <f>IF(Table1[[#This Row],[Stress_Index]]&gt;=8,"High",IF(N352&gt;=5,"Medium","Low"))</f>
        <v>Low</v>
      </c>
      <c r="P352" s="3">
        <v>2.78</v>
      </c>
      <c r="Q352" s="2">
        <v>3.22</v>
      </c>
      <c r="R352" s="3">
        <v>3.18</v>
      </c>
      <c r="S352" s="3" t="str">
        <f>IF(Table1[[#This Row],[CGPA]]&gt;=3,"High",IF(R351&gt;=2,"Medium","Low"))</f>
        <v>High</v>
      </c>
      <c r="T352" s="2" t="s">
        <v>7</v>
      </c>
      <c r="U352" s="2" t="s">
        <v>6</v>
      </c>
      <c r="V352" s="2" t="s">
        <v>15</v>
      </c>
      <c r="W352" s="7">
        <v>0</v>
      </c>
      <c r="X352" t="str">
        <f t="shared" si="11"/>
        <v>Active</v>
      </c>
    </row>
    <row r="353" spans="1:24" x14ac:dyDescent="0.3">
      <c r="A353" s="2">
        <v>352</v>
      </c>
      <c r="B353" s="7">
        <v>24.2</v>
      </c>
      <c r="C353" s="2" t="s">
        <v>11</v>
      </c>
      <c r="D353" s="7">
        <f>IF(ISBLANK('Raw sheet'!D353),AVERAGE('Raw sheet'!$D$2:'Raw sheet'!$D$1500),'Raw sheet'!D353)</f>
        <v>39206</v>
      </c>
      <c r="E353" s="7" t="str">
        <f>IF(Table1[[#This Row],[Family_Income]]&gt;=100000,"Upper",IF(D353&gt;=50000,"Middle","Lower"))</f>
        <v>Lower</v>
      </c>
      <c r="F353" s="2" t="s">
        <v>4</v>
      </c>
      <c r="G353" s="3">
        <f>IF(ISBLANK('Raw sheet'!F353),AVERAGE('Raw sheet'!$F$2:'Raw sheet'!$F$1500),'Raw sheet'!F353)</f>
        <v>4.9800000000000004</v>
      </c>
      <c r="H353" s="18">
        <v>85.4</v>
      </c>
      <c r="I353" s="9" t="str">
        <f t="shared" si="10"/>
        <v>Good</v>
      </c>
      <c r="J353" s="2">
        <v>0</v>
      </c>
      <c r="K353" s="2">
        <v>32.299999999999997</v>
      </c>
      <c r="L353" s="2" t="s">
        <v>3</v>
      </c>
      <c r="M353" s="2" t="s">
        <v>3</v>
      </c>
      <c r="N353" s="5">
        <f>IF(ISBLANK('Raw sheet'!L353),AVERAGE('Raw sheet'!$L$2:'Raw sheet'!$L$1500),'Raw sheet'!L353)</f>
        <v>4.0999999999999996</v>
      </c>
      <c r="O353" s="5" t="str">
        <f>IF(Table1[[#This Row],[Stress_Index]]&gt;=8,"High",IF(N353&gt;=5,"Medium","Low"))</f>
        <v>Low</v>
      </c>
      <c r="P353" s="3">
        <v>3.71</v>
      </c>
      <c r="Q353" s="2">
        <v>3.57</v>
      </c>
      <c r="R353" s="3">
        <v>3.6</v>
      </c>
      <c r="S353" s="3" t="str">
        <f>IF(Table1[[#This Row],[CGPA]]&gt;=3,"High",IF(R352&gt;=2,"Medium","Low"))</f>
        <v>High</v>
      </c>
      <c r="T353" s="2" t="s">
        <v>7</v>
      </c>
      <c r="U353" s="2" t="s">
        <v>1</v>
      </c>
      <c r="V353" s="2" t="s">
        <v>9</v>
      </c>
      <c r="W353" s="7">
        <v>0</v>
      </c>
      <c r="X353" t="str">
        <f t="shared" si="11"/>
        <v>Active</v>
      </c>
    </row>
    <row r="354" spans="1:24" x14ac:dyDescent="0.3">
      <c r="A354" s="2">
        <v>353</v>
      </c>
      <c r="B354" s="7">
        <v>22.9</v>
      </c>
      <c r="C354" s="2" t="s">
        <v>11</v>
      </c>
      <c r="D354" s="7">
        <f>IF(ISBLANK('Raw sheet'!D354),AVERAGE('Raw sheet'!$D$2:'Raw sheet'!$D$1500),'Raw sheet'!D354)</f>
        <v>79839</v>
      </c>
      <c r="E354" s="7" t="str">
        <f>IF(Table1[[#This Row],[Family_Income]]&gt;=100000,"Upper",IF(D354&gt;=50000,"Middle","Lower"))</f>
        <v>Middle</v>
      </c>
      <c r="F354" s="2" t="s">
        <v>4</v>
      </c>
      <c r="G354" s="3">
        <f>IF(ISBLANK('Raw sheet'!F354),AVERAGE('Raw sheet'!$F$2:'Raw sheet'!$F$1500),'Raw sheet'!F354)</f>
        <v>2.39</v>
      </c>
      <c r="H354" s="18">
        <v>82.7</v>
      </c>
      <c r="I354" s="9" t="str">
        <f t="shared" si="10"/>
        <v>Good</v>
      </c>
      <c r="J354" s="2">
        <v>2</v>
      </c>
      <c r="K354" s="2">
        <v>21.5</v>
      </c>
      <c r="L354" s="2" t="s">
        <v>4</v>
      </c>
      <c r="M354" s="2" t="s">
        <v>4</v>
      </c>
      <c r="N354" s="5">
        <f>IF(ISBLANK('Raw sheet'!L354),AVERAGE('Raw sheet'!$L$2:'Raw sheet'!$L$1500),'Raw sheet'!L354)</f>
        <v>5.7</v>
      </c>
      <c r="O354" s="5" t="str">
        <f>IF(Table1[[#This Row],[Stress_Index]]&gt;=8,"High",IF(N354&gt;=5,"Medium","Low"))</f>
        <v>Medium</v>
      </c>
      <c r="P354" s="3">
        <v>3.05</v>
      </c>
      <c r="Q354" s="2">
        <v>3.09</v>
      </c>
      <c r="R354" s="3">
        <v>3.08</v>
      </c>
      <c r="S354" s="3" t="str">
        <f>IF(Table1[[#This Row],[CGPA]]&gt;=3,"High",IF(R353&gt;=2,"Medium","Low"))</f>
        <v>High</v>
      </c>
      <c r="T354" s="2" t="s">
        <v>10</v>
      </c>
      <c r="U354" s="2" t="s">
        <v>6</v>
      </c>
      <c r="V354" s="2" t="s">
        <v>9</v>
      </c>
      <c r="W354" s="7">
        <v>0</v>
      </c>
      <c r="X354" t="str">
        <f t="shared" si="11"/>
        <v>Active</v>
      </c>
    </row>
    <row r="355" spans="1:24" x14ac:dyDescent="0.3">
      <c r="A355" s="2">
        <v>354</v>
      </c>
      <c r="B355" s="7">
        <v>20.6</v>
      </c>
      <c r="C355" s="2" t="s">
        <v>11</v>
      </c>
      <c r="D355" s="7">
        <f>IF(ISBLANK('Raw sheet'!D355),AVERAGE('Raw sheet'!$D$2:'Raw sheet'!$D$1500),'Raw sheet'!D355)</f>
        <v>25000</v>
      </c>
      <c r="E355" s="7" t="str">
        <f>IF(Table1[[#This Row],[Family_Income]]&gt;=100000,"Upper",IF(D355&gt;=50000,"Middle","Lower"))</f>
        <v>Lower</v>
      </c>
      <c r="F355" s="2" t="s">
        <v>4</v>
      </c>
      <c r="G355" s="3">
        <f>IF(ISBLANK('Raw sheet'!F355),AVERAGE('Raw sheet'!$F$2:'Raw sheet'!$F$1500),'Raw sheet'!F355)</f>
        <v>3.08</v>
      </c>
      <c r="H355" s="18">
        <v>100</v>
      </c>
      <c r="I355" s="9" t="str">
        <f t="shared" si="10"/>
        <v>Good</v>
      </c>
      <c r="J355" s="2">
        <v>3</v>
      </c>
      <c r="K355" s="2">
        <v>30.3</v>
      </c>
      <c r="L355" s="2" t="s">
        <v>3</v>
      </c>
      <c r="M355" s="2" t="s">
        <v>3</v>
      </c>
      <c r="N355" s="5">
        <f>IF(ISBLANK('Raw sheet'!L355),AVERAGE('Raw sheet'!$L$2:'Raw sheet'!$L$1500),'Raw sheet'!L355)</f>
        <v>6.3</v>
      </c>
      <c r="O355" s="5" t="str">
        <f>IF(Table1[[#This Row],[Stress_Index]]&gt;=8,"High",IF(N355&gt;=5,"Medium","Low"))</f>
        <v>Medium</v>
      </c>
      <c r="P355" s="3">
        <v>2.99</v>
      </c>
      <c r="Q355" s="2">
        <v>3.09</v>
      </c>
      <c r="R355" s="3">
        <v>3.06</v>
      </c>
      <c r="S355" s="3" t="str">
        <f>IF(Table1[[#This Row],[CGPA]]&gt;=3,"High",IF(R354&gt;=2,"Medium","Low"))</f>
        <v>High</v>
      </c>
      <c r="T355" s="2" t="s">
        <v>10</v>
      </c>
      <c r="U355" s="2" t="s">
        <v>8</v>
      </c>
      <c r="V355" s="2" t="s">
        <v>9</v>
      </c>
      <c r="W355" s="7">
        <v>0</v>
      </c>
      <c r="X355" t="str">
        <f t="shared" si="11"/>
        <v>Active</v>
      </c>
    </row>
    <row r="356" spans="1:24" x14ac:dyDescent="0.3">
      <c r="A356" s="2">
        <v>355</v>
      </c>
      <c r="B356" s="7">
        <v>21</v>
      </c>
      <c r="C356" s="2" t="s">
        <v>11</v>
      </c>
      <c r="D356" s="7">
        <f>IF(ISBLANK('Raw sheet'!D356),AVERAGE('Raw sheet'!$D$2:'Raw sheet'!$D$1500),'Raw sheet'!D356)</f>
        <v>39620</v>
      </c>
      <c r="E356" s="7" t="str">
        <f>IF(Table1[[#This Row],[Family_Income]]&gt;=100000,"Upper",IF(D356&gt;=50000,"Middle","Lower"))</f>
        <v>Lower</v>
      </c>
      <c r="F356" s="2" t="s">
        <v>4</v>
      </c>
      <c r="G356" s="3">
        <f>IF(ISBLANK('Raw sheet'!F356),AVERAGE('Raw sheet'!$F$2:'Raw sheet'!$F$1500),'Raw sheet'!F356)</f>
        <v>2.73</v>
      </c>
      <c r="H356" s="18">
        <v>90</v>
      </c>
      <c r="I356" s="9" t="str">
        <f t="shared" si="10"/>
        <v>Good</v>
      </c>
      <c r="J356" s="2">
        <v>0</v>
      </c>
      <c r="K356" s="2">
        <v>47.1</v>
      </c>
      <c r="L356" s="2" t="s">
        <v>3</v>
      </c>
      <c r="M356" s="2" t="s">
        <v>3</v>
      </c>
      <c r="N356" s="5">
        <f>IF(ISBLANK('Raw sheet'!L356),AVERAGE('Raw sheet'!$L$2:'Raw sheet'!$L$1500),'Raw sheet'!L356)</f>
        <v>3.7</v>
      </c>
      <c r="O356" s="5" t="str">
        <f>IF(Table1[[#This Row],[Stress_Index]]&gt;=8,"High",IF(N356&gt;=5,"Medium","Low"))</f>
        <v>Low</v>
      </c>
      <c r="P356" s="3">
        <v>2.5299999999999998</v>
      </c>
      <c r="Q356" s="2">
        <v>2.4500000000000002</v>
      </c>
      <c r="R356" s="3">
        <v>2.4</v>
      </c>
      <c r="S356" s="3" t="str">
        <f>IF(Table1[[#This Row],[CGPA]]&gt;=3,"High",IF(R355&gt;=2,"Medium","Low"))</f>
        <v>Medium</v>
      </c>
      <c r="T356" s="2" t="s">
        <v>12</v>
      </c>
      <c r="U356" s="2" t="s">
        <v>14</v>
      </c>
      <c r="V356" s="2" t="s">
        <v>9</v>
      </c>
      <c r="W356" s="7">
        <v>1</v>
      </c>
      <c r="X356" t="str">
        <f t="shared" si="11"/>
        <v>Dropped Out</v>
      </c>
    </row>
    <row r="357" spans="1:24" x14ac:dyDescent="0.3">
      <c r="A357" s="2">
        <v>356</v>
      </c>
      <c r="B357" s="7">
        <v>18.8</v>
      </c>
      <c r="C357" s="2" t="s">
        <v>11</v>
      </c>
      <c r="D357" s="7">
        <f>IF(ISBLANK('Raw sheet'!D357),AVERAGE('Raw sheet'!$D$2:'Raw sheet'!$D$1500),'Raw sheet'!D357)</f>
        <v>41084</v>
      </c>
      <c r="E357" s="7" t="str">
        <f>IF(Table1[[#This Row],[Family_Income]]&gt;=100000,"Upper",IF(D357&gt;=50000,"Middle","Lower"))</f>
        <v>Lower</v>
      </c>
      <c r="F357" s="2" t="s">
        <v>4</v>
      </c>
      <c r="G357" s="3">
        <f>IF(ISBLANK('Raw sheet'!F357),AVERAGE('Raw sheet'!$F$2:'Raw sheet'!$F$1500),'Raw sheet'!F357)</f>
        <v>0.92</v>
      </c>
      <c r="H357" s="18">
        <v>81.900000000000006</v>
      </c>
      <c r="I357" s="9" t="str">
        <f t="shared" si="10"/>
        <v>Good</v>
      </c>
      <c r="J357" s="2">
        <v>3</v>
      </c>
      <c r="K357" s="2">
        <v>12.2</v>
      </c>
      <c r="L357" s="2" t="s">
        <v>4</v>
      </c>
      <c r="M357" s="2" t="s">
        <v>3</v>
      </c>
      <c r="N357" s="5">
        <f>IF(ISBLANK('Raw sheet'!L357),AVERAGE('Raw sheet'!$L$2:'Raw sheet'!$L$1500),'Raw sheet'!L357)</f>
        <v>3.7</v>
      </c>
      <c r="O357" s="5" t="str">
        <f>IF(Table1[[#This Row],[Stress_Index]]&gt;=8,"High",IF(N357&gt;=5,"Medium","Low"))</f>
        <v>Low</v>
      </c>
      <c r="P357" s="3">
        <v>1.07</v>
      </c>
      <c r="Q357" s="2">
        <v>1.03</v>
      </c>
      <c r="R357" s="3">
        <v>1.07</v>
      </c>
      <c r="S357" s="3" t="str">
        <f>IF(Table1[[#This Row],[CGPA]]&gt;=3,"High",IF(R356&gt;=2,"Medium","Low"))</f>
        <v>Medium</v>
      </c>
      <c r="T357" s="2" t="s">
        <v>12</v>
      </c>
      <c r="U357" s="2" t="s">
        <v>8</v>
      </c>
      <c r="V357" s="2" t="s">
        <v>17</v>
      </c>
      <c r="W357" s="7">
        <v>1</v>
      </c>
      <c r="X357" t="str">
        <f t="shared" si="11"/>
        <v>Dropped Out</v>
      </c>
    </row>
    <row r="358" spans="1:24" x14ac:dyDescent="0.3">
      <c r="A358" s="2">
        <v>357</v>
      </c>
      <c r="B358" s="7">
        <v>21</v>
      </c>
      <c r="C358" s="2" t="s">
        <v>11</v>
      </c>
      <c r="D358" s="7">
        <f>IF(ISBLANK('Raw sheet'!D358),AVERAGE('Raw sheet'!$D$2:'Raw sheet'!$D$1500),'Raw sheet'!D358)</f>
        <v>25000</v>
      </c>
      <c r="E358" s="7" t="str">
        <f>IF(Table1[[#This Row],[Family_Income]]&gt;=100000,"Upper",IF(D358&gt;=50000,"Middle","Lower"))</f>
        <v>Lower</v>
      </c>
      <c r="F358" s="2" t="s">
        <v>4</v>
      </c>
      <c r="G358" s="3">
        <f>IF(ISBLANK('Raw sheet'!F358),AVERAGE('Raw sheet'!$F$2:'Raw sheet'!$F$1500),'Raw sheet'!F358)</f>
        <v>2.78</v>
      </c>
      <c r="H358" s="18">
        <v>79.900000000000006</v>
      </c>
      <c r="I358" s="9" t="str">
        <f t="shared" si="10"/>
        <v>Good</v>
      </c>
      <c r="J358" s="2">
        <v>1</v>
      </c>
      <c r="K358" s="2">
        <v>33.200000000000003</v>
      </c>
      <c r="L358" s="2" t="s">
        <v>3</v>
      </c>
      <c r="M358" s="2" t="s">
        <v>4</v>
      </c>
      <c r="N358" s="5">
        <f>IF(ISBLANK('Raw sheet'!L358),AVERAGE('Raw sheet'!$L$2:'Raw sheet'!$L$1500),'Raw sheet'!L358)</f>
        <v>5.7</v>
      </c>
      <c r="O358" s="5" t="str">
        <f>IF(Table1[[#This Row],[Stress_Index]]&gt;=8,"High",IF(N358&gt;=5,"Medium","Low"))</f>
        <v>Medium</v>
      </c>
      <c r="P358" s="3">
        <v>3.14</v>
      </c>
      <c r="Q358" s="2">
        <v>3.37</v>
      </c>
      <c r="R358" s="3">
        <v>3.32</v>
      </c>
      <c r="S358" s="3" t="str">
        <f>IF(Table1[[#This Row],[CGPA]]&gt;=3,"High",IF(R357&gt;=2,"Medium","Low"))</f>
        <v>High</v>
      </c>
      <c r="T358" s="2" t="s">
        <v>7</v>
      </c>
      <c r="U358" s="2" t="s">
        <v>8</v>
      </c>
      <c r="V358" s="2" t="s">
        <v>15</v>
      </c>
      <c r="W358" s="7">
        <v>0</v>
      </c>
      <c r="X358" t="str">
        <f t="shared" si="11"/>
        <v>Active</v>
      </c>
    </row>
    <row r="359" spans="1:24" x14ac:dyDescent="0.3">
      <c r="A359" s="2">
        <v>358</v>
      </c>
      <c r="B359" s="7">
        <v>20.399999999999999</v>
      </c>
      <c r="C359" s="2" t="s">
        <v>5</v>
      </c>
      <c r="D359" s="7">
        <f>IF(ISBLANK('Raw sheet'!D359),AVERAGE('Raw sheet'!$D$2:'Raw sheet'!$D$1500),'Raw sheet'!D359)</f>
        <v>67005</v>
      </c>
      <c r="E359" s="7" t="str">
        <f>IF(Table1[[#This Row],[Family_Income]]&gt;=100000,"Upper",IF(D359&gt;=50000,"Middle","Lower"))</f>
        <v>Middle</v>
      </c>
      <c r="F359" s="2" t="s">
        <v>4</v>
      </c>
      <c r="G359" s="3">
        <f>IF(ISBLANK('Raw sheet'!F359),AVERAGE('Raw sheet'!$F$2:'Raw sheet'!$F$1500),'Raw sheet'!F359)</f>
        <v>2.65</v>
      </c>
      <c r="H359" s="18">
        <v>76.400000000000006</v>
      </c>
      <c r="I359" s="9" t="str">
        <f t="shared" si="10"/>
        <v>Good</v>
      </c>
      <c r="J359" s="2">
        <v>2</v>
      </c>
      <c r="K359" s="2">
        <v>30.9</v>
      </c>
      <c r="L359" s="2" t="s">
        <v>3</v>
      </c>
      <c r="M359" s="2" t="s">
        <v>4</v>
      </c>
      <c r="N359" s="5">
        <f>IF(ISBLANK('Raw sheet'!L359),AVERAGE('Raw sheet'!$L$2:'Raw sheet'!$L$1500),'Raw sheet'!L359)</f>
        <v>4</v>
      </c>
      <c r="O359" s="5" t="str">
        <f>IF(Table1[[#This Row],[Stress_Index]]&gt;=8,"High",IF(N359&gt;=5,"Medium","Low"))</f>
        <v>Low</v>
      </c>
      <c r="P359" s="3">
        <v>4</v>
      </c>
      <c r="Q359" s="2">
        <v>3.33</v>
      </c>
      <c r="R359" s="3">
        <v>3.31</v>
      </c>
      <c r="S359" s="3" t="str">
        <f>IF(Table1[[#This Row],[CGPA]]&gt;=3,"High",IF(R358&gt;=2,"Medium","Low"))</f>
        <v>High</v>
      </c>
      <c r="T359" s="2" t="s">
        <v>7</v>
      </c>
      <c r="U359" s="2" t="s">
        <v>14</v>
      </c>
      <c r="V359" s="2" t="s">
        <v>15</v>
      </c>
      <c r="W359" s="7">
        <v>0</v>
      </c>
      <c r="X359" t="str">
        <f t="shared" si="11"/>
        <v>Active</v>
      </c>
    </row>
    <row r="360" spans="1:24" x14ac:dyDescent="0.3">
      <c r="A360" s="2">
        <v>359</v>
      </c>
      <c r="B360" s="7">
        <v>21.7</v>
      </c>
      <c r="C360" s="2" t="s">
        <v>5</v>
      </c>
      <c r="D360" s="7">
        <f>IF(ISBLANK('Raw sheet'!D360),AVERAGE('Raw sheet'!$D$2:'Raw sheet'!$D$1500),'Raw sheet'!D360)</f>
        <v>25019</v>
      </c>
      <c r="E360" s="7" t="str">
        <f>IF(Table1[[#This Row],[Family_Income]]&gt;=100000,"Upper",IF(D360&gt;=50000,"Middle","Lower"))</f>
        <v>Lower</v>
      </c>
      <c r="F360" s="2" t="s">
        <v>4</v>
      </c>
      <c r="G360" s="3">
        <f>IF(ISBLANK('Raw sheet'!F360),AVERAGE('Raw sheet'!$F$2:'Raw sheet'!$F$1500),'Raw sheet'!F360)</f>
        <v>2.79</v>
      </c>
      <c r="H360" s="18">
        <v>74.2</v>
      </c>
      <c r="I360" s="9" t="str">
        <f t="shared" si="10"/>
        <v>Low</v>
      </c>
      <c r="J360" s="2">
        <v>3</v>
      </c>
      <c r="K360" s="2">
        <v>11.5</v>
      </c>
      <c r="L360" s="2" t="s">
        <v>4</v>
      </c>
      <c r="M360" s="2" t="s">
        <v>4</v>
      </c>
      <c r="N360" s="5">
        <f>IF(ISBLANK('Raw sheet'!L360),AVERAGE('Raw sheet'!$L$2:'Raw sheet'!$L$1500),'Raw sheet'!L360)</f>
        <v>5.0999999999999996</v>
      </c>
      <c r="O360" s="5" t="str">
        <f>IF(Table1[[#This Row],[Stress_Index]]&gt;=8,"High",IF(N360&gt;=5,"Medium","Low"))</f>
        <v>Medium</v>
      </c>
      <c r="P360" s="3">
        <v>2.19</v>
      </c>
      <c r="Q360" s="2">
        <v>2.23</v>
      </c>
      <c r="R360" s="3">
        <v>2.2400000000000002</v>
      </c>
      <c r="S360" s="3" t="str">
        <f>IF(Table1[[#This Row],[CGPA]]&gt;=3,"High",IF(R359&gt;=2,"Medium","Low"))</f>
        <v>Medium</v>
      </c>
      <c r="T360" s="2" t="s">
        <v>12</v>
      </c>
      <c r="U360" s="2" t="s">
        <v>14</v>
      </c>
      <c r="V360" s="2" t="s">
        <v>9</v>
      </c>
      <c r="W360" s="7">
        <v>0</v>
      </c>
      <c r="X360" t="str">
        <f t="shared" si="11"/>
        <v>Active</v>
      </c>
    </row>
    <row r="361" spans="1:24" x14ac:dyDescent="0.3">
      <c r="A361" s="2">
        <v>360</v>
      </c>
      <c r="B361" s="7">
        <v>19.2</v>
      </c>
      <c r="C361" s="2" t="s">
        <v>5</v>
      </c>
      <c r="D361" s="7">
        <f>IF(ISBLANK('Raw sheet'!D361),AVERAGE('Raw sheet'!$D$2:'Raw sheet'!$D$1500),'Raw sheet'!D361)</f>
        <v>25000</v>
      </c>
      <c r="E361" s="7" t="str">
        <f>IF(Table1[[#This Row],[Family_Income]]&gt;=100000,"Upper",IF(D361&gt;=50000,"Middle","Lower"))</f>
        <v>Lower</v>
      </c>
      <c r="F361" s="2" t="s">
        <v>4</v>
      </c>
      <c r="G361" s="3">
        <f>IF(ISBLANK('Raw sheet'!F361),AVERAGE('Raw sheet'!$F$2:'Raw sheet'!$F$1500),'Raw sheet'!F361)</f>
        <v>4.87</v>
      </c>
      <c r="H361" s="18">
        <v>72.400000000000006</v>
      </c>
      <c r="I361" s="9" t="str">
        <f t="shared" si="10"/>
        <v>Low</v>
      </c>
      <c r="J361" s="2">
        <v>1</v>
      </c>
      <c r="K361" s="2">
        <v>39.200000000000003</v>
      </c>
      <c r="L361" s="2" t="s">
        <v>4</v>
      </c>
      <c r="M361" s="2" t="s">
        <v>3</v>
      </c>
      <c r="N361" s="5">
        <f>IF(ISBLANK('Raw sheet'!L361),AVERAGE('Raw sheet'!$L$2:'Raw sheet'!$L$1500),'Raw sheet'!L361)</f>
        <v>8.6999999999999993</v>
      </c>
      <c r="O361" s="5" t="str">
        <f>IF(Table1[[#This Row],[Stress_Index]]&gt;=8,"High",IF(N361&gt;=5,"Medium","Low"))</f>
        <v>High</v>
      </c>
      <c r="P361" s="3">
        <v>0.78</v>
      </c>
      <c r="Q361" s="2">
        <v>0.99</v>
      </c>
      <c r="R361" s="3">
        <v>0.92</v>
      </c>
      <c r="S361" s="3" t="str">
        <f>IF(Table1[[#This Row],[CGPA]]&gt;=3,"High",IF(R360&gt;=2,"Medium","Low"))</f>
        <v>Medium</v>
      </c>
      <c r="T361" s="2" t="s">
        <v>12</v>
      </c>
      <c r="U361" s="2" t="s">
        <v>8</v>
      </c>
      <c r="V361" s="2" t="s">
        <v>15</v>
      </c>
      <c r="W361" s="7">
        <v>1</v>
      </c>
      <c r="X361" t="str">
        <f t="shared" si="11"/>
        <v>Dropped Out</v>
      </c>
    </row>
    <row r="362" spans="1:24" x14ac:dyDescent="0.3">
      <c r="A362" s="2">
        <v>361</v>
      </c>
      <c r="B362" s="7">
        <v>22.1</v>
      </c>
      <c r="C362" s="2" t="s">
        <v>5</v>
      </c>
      <c r="D362" s="7">
        <f>IF(ISBLANK('Raw sheet'!D362),AVERAGE('Raw sheet'!$D$2:'Raw sheet'!$D$1500),'Raw sheet'!D362)</f>
        <v>38587.00282087447</v>
      </c>
      <c r="E362" s="7" t="str">
        <f>IF(Table1[[#This Row],[Family_Income]]&gt;=100000,"Upper",IF(D362&gt;=50000,"Middle","Lower"))</f>
        <v>Lower</v>
      </c>
      <c r="F362" s="2" t="s">
        <v>3</v>
      </c>
      <c r="G362" s="3">
        <f>IF(ISBLANK('Raw sheet'!F362),AVERAGE('Raw sheet'!$F$2:'Raw sheet'!$F$1500),'Raw sheet'!F362)</f>
        <v>4.0178702397743278</v>
      </c>
      <c r="H362" s="18">
        <v>89.9</v>
      </c>
      <c r="I362" s="9" t="str">
        <f t="shared" si="10"/>
        <v>Good</v>
      </c>
      <c r="J362" s="2">
        <v>2</v>
      </c>
      <c r="K362" s="2">
        <v>33.1</v>
      </c>
      <c r="L362" s="2" t="s">
        <v>3</v>
      </c>
      <c r="M362" s="2" t="s">
        <v>4</v>
      </c>
      <c r="N362" s="5">
        <f>IF(ISBLANK('Raw sheet'!L362),AVERAGE('Raw sheet'!$L$2:'Raw sheet'!$L$1500),'Raw sheet'!L362)</f>
        <v>5.5242595204513369</v>
      </c>
      <c r="O362" s="5" t="str">
        <f>IF(Table1[[#This Row],[Stress_Index]]&gt;=8,"High",IF(N362&gt;=5,"Medium","Low"))</f>
        <v>Medium</v>
      </c>
      <c r="P362" s="3">
        <v>1.61</v>
      </c>
      <c r="Q362" s="2">
        <v>0.95</v>
      </c>
      <c r="R362" s="3">
        <v>0.95</v>
      </c>
      <c r="S362" s="3" t="str">
        <f>IF(Table1[[#This Row],[CGPA]]&gt;=3,"High",IF(R361&gt;=2,"Medium","Low"))</f>
        <v>Low</v>
      </c>
      <c r="T362" s="2" t="s">
        <v>2</v>
      </c>
      <c r="U362" s="2" t="s">
        <v>14</v>
      </c>
      <c r="V362" s="2" t="s">
        <v>17</v>
      </c>
      <c r="W362" s="7">
        <v>0</v>
      </c>
      <c r="X362" t="str">
        <f t="shared" si="11"/>
        <v>Active</v>
      </c>
    </row>
    <row r="363" spans="1:24" x14ac:dyDescent="0.3">
      <c r="A363" s="2">
        <v>362</v>
      </c>
      <c r="B363" s="7">
        <v>24.4</v>
      </c>
      <c r="C363" s="2" t="s">
        <v>5</v>
      </c>
      <c r="D363" s="7">
        <f>IF(ISBLANK('Raw sheet'!D363),AVERAGE('Raw sheet'!$D$2:'Raw sheet'!$D$1500),'Raw sheet'!D363)</f>
        <v>40687</v>
      </c>
      <c r="E363" s="7" t="str">
        <f>IF(Table1[[#This Row],[Family_Income]]&gt;=100000,"Upper",IF(D363&gt;=50000,"Middle","Lower"))</f>
        <v>Lower</v>
      </c>
      <c r="F363" s="2" t="s">
        <v>4</v>
      </c>
      <c r="G363" s="3">
        <f>IF(ISBLANK('Raw sheet'!F363),AVERAGE('Raw sheet'!$F$2:'Raw sheet'!$F$1500),'Raw sheet'!F363)</f>
        <v>5.0999999999999996</v>
      </c>
      <c r="H363" s="18">
        <v>74.8</v>
      </c>
      <c r="I363" s="9" t="str">
        <f t="shared" si="10"/>
        <v>Low</v>
      </c>
      <c r="J363" s="2">
        <v>2</v>
      </c>
      <c r="K363" s="2">
        <v>40.5</v>
      </c>
      <c r="L363" s="2" t="s">
        <v>3</v>
      </c>
      <c r="M363" s="2" t="s">
        <v>4</v>
      </c>
      <c r="N363" s="5">
        <f>IF(ISBLANK('Raw sheet'!L363),AVERAGE('Raw sheet'!$L$2:'Raw sheet'!$L$1500),'Raw sheet'!L363)</f>
        <v>7.3</v>
      </c>
      <c r="O363" s="5" t="str">
        <f>IF(Table1[[#This Row],[Stress_Index]]&gt;=8,"High",IF(N363&gt;=5,"Medium","Low"))</f>
        <v>Medium</v>
      </c>
      <c r="P363" s="3">
        <v>0.99</v>
      </c>
      <c r="Q363" s="2">
        <v>1.51</v>
      </c>
      <c r="R363" s="3">
        <v>1.54</v>
      </c>
      <c r="S363" s="3" t="str">
        <f>IF(Table1[[#This Row],[CGPA]]&gt;=3,"High",IF(R362&gt;=2,"Medium","Low"))</f>
        <v>Low</v>
      </c>
      <c r="T363" s="2" t="s">
        <v>12</v>
      </c>
      <c r="U363" s="2" t="s">
        <v>13</v>
      </c>
      <c r="V363" s="2" t="s">
        <v>9</v>
      </c>
      <c r="W363" s="7">
        <v>1</v>
      </c>
      <c r="X363" t="str">
        <f t="shared" si="11"/>
        <v>Dropped Out</v>
      </c>
    </row>
    <row r="364" spans="1:24" x14ac:dyDescent="0.3">
      <c r="A364" s="2">
        <v>363</v>
      </c>
      <c r="B364" s="7">
        <v>20.8</v>
      </c>
      <c r="C364" s="2" t="s">
        <v>5</v>
      </c>
      <c r="D364" s="7">
        <f>IF(ISBLANK('Raw sheet'!D364),AVERAGE('Raw sheet'!$D$2:'Raw sheet'!$D$1500),'Raw sheet'!D364)</f>
        <v>51801</v>
      </c>
      <c r="E364" s="7" t="str">
        <f>IF(Table1[[#This Row],[Family_Income]]&gt;=100000,"Upper",IF(D364&gt;=50000,"Middle","Lower"))</f>
        <v>Middle</v>
      </c>
      <c r="F364" s="2" t="s">
        <v>3</v>
      </c>
      <c r="G364" s="3">
        <f>IF(ISBLANK('Raw sheet'!F364),AVERAGE('Raw sheet'!$F$2:'Raw sheet'!$F$1500),'Raw sheet'!F364)</f>
        <v>1.96</v>
      </c>
      <c r="H364" s="18">
        <v>87.1</v>
      </c>
      <c r="I364" s="9" t="str">
        <f t="shared" si="10"/>
        <v>Good</v>
      </c>
      <c r="J364" s="2">
        <v>1</v>
      </c>
      <c r="K364" s="2">
        <v>43.7</v>
      </c>
      <c r="L364" s="2" t="s">
        <v>4</v>
      </c>
      <c r="M364" s="2" t="s">
        <v>4</v>
      </c>
      <c r="N364" s="5">
        <f>IF(ISBLANK('Raw sheet'!L364),AVERAGE('Raw sheet'!$L$2:'Raw sheet'!$L$1500),'Raw sheet'!L364)</f>
        <v>3.3</v>
      </c>
      <c r="O364" s="5" t="str">
        <f>IF(Table1[[#This Row],[Stress_Index]]&gt;=8,"High",IF(N364&gt;=5,"Medium","Low"))</f>
        <v>Low</v>
      </c>
      <c r="P364" s="3">
        <v>2.31</v>
      </c>
      <c r="Q364" s="2">
        <v>2.29</v>
      </c>
      <c r="R364" s="3">
        <v>2.3199999999999998</v>
      </c>
      <c r="S364" s="3" t="str">
        <f>IF(Table1[[#This Row],[CGPA]]&gt;=3,"High",IF(R363&gt;=2,"Medium","Low"))</f>
        <v>Low</v>
      </c>
      <c r="T364" s="2" t="s">
        <v>12</v>
      </c>
      <c r="U364" s="2" t="s">
        <v>1</v>
      </c>
      <c r="V364" s="2" t="s">
        <v>15</v>
      </c>
      <c r="W364" s="7">
        <v>0</v>
      </c>
      <c r="X364" t="str">
        <f t="shared" si="11"/>
        <v>Active</v>
      </c>
    </row>
    <row r="365" spans="1:24" x14ac:dyDescent="0.3">
      <c r="A365" s="2">
        <v>364</v>
      </c>
      <c r="B365" s="7">
        <v>21.9</v>
      </c>
      <c r="C365" s="2" t="s">
        <v>5</v>
      </c>
      <c r="D365" s="7">
        <f>IF(ISBLANK('Raw sheet'!D365),AVERAGE('Raw sheet'!$D$2:'Raw sheet'!$D$1500),'Raw sheet'!D365)</f>
        <v>67033</v>
      </c>
      <c r="E365" s="7" t="str">
        <f>IF(Table1[[#This Row],[Family_Income]]&gt;=100000,"Upper",IF(D365&gt;=50000,"Middle","Lower"))</f>
        <v>Middle</v>
      </c>
      <c r="F365" s="2" t="s">
        <v>4</v>
      </c>
      <c r="G365" s="3">
        <f>IF(ISBLANK('Raw sheet'!F365),AVERAGE('Raw sheet'!$F$2:'Raw sheet'!$F$1500),'Raw sheet'!F365)</f>
        <v>3.15</v>
      </c>
      <c r="H365" s="18">
        <v>78</v>
      </c>
      <c r="I365" s="9" t="str">
        <f t="shared" si="10"/>
        <v>Good</v>
      </c>
      <c r="J365" s="2">
        <v>1</v>
      </c>
      <c r="K365" s="2">
        <v>29.3</v>
      </c>
      <c r="L365" s="2" t="s">
        <v>4</v>
      </c>
      <c r="M365" s="2" t="s">
        <v>3</v>
      </c>
      <c r="N365" s="5">
        <f>IF(ISBLANK('Raw sheet'!L365),AVERAGE('Raw sheet'!$L$2:'Raw sheet'!$L$1500),'Raw sheet'!L365)</f>
        <v>4.0999999999999996</v>
      </c>
      <c r="O365" s="5" t="str">
        <f>IF(Table1[[#This Row],[Stress_Index]]&gt;=8,"High",IF(N365&gt;=5,"Medium","Low"))</f>
        <v>Low</v>
      </c>
      <c r="P365" s="3">
        <v>0</v>
      </c>
      <c r="Q365" s="2">
        <v>0</v>
      </c>
      <c r="R365" s="3">
        <v>0</v>
      </c>
      <c r="S365" s="3" t="str">
        <f>IF(Table1[[#This Row],[CGPA]]&gt;=3,"High",IF(R364&gt;=2,"Medium","Low"))</f>
        <v>Medium</v>
      </c>
      <c r="T365" s="2" t="s">
        <v>12</v>
      </c>
      <c r="U365" s="2" t="s">
        <v>1</v>
      </c>
      <c r="V365" s="2" t="s">
        <v>15</v>
      </c>
      <c r="W365" s="7">
        <v>1</v>
      </c>
      <c r="X365" t="str">
        <f t="shared" si="11"/>
        <v>Dropped Out</v>
      </c>
    </row>
    <row r="366" spans="1:24" x14ac:dyDescent="0.3">
      <c r="A366" s="2">
        <v>365</v>
      </c>
      <c r="B366" s="7">
        <v>22.5</v>
      </c>
      <c r="C366" s="2" t="s">
        <v>5</v>
      </c>
      <c r="D366" s="7">
        <f>IF(ISBLANK('Raw sheet'!D366),AVERAGE('Raw sheet'!$D$2:'Raw sheet'!$D$1500),'Raw sheet'!D366)</f>
        <v>25000</v>
      </c>
      <c r="E366" s="7" t="str">
        <f>IF(Table1[[#This Row],[Family_Income]]&gt;=100000,"Upper",IF(D366&gt;=50000,"Middle","Lower"))</f>
        <v>Lower</v>
      </c>
      <c r="F366" s="2" t="s">
        <v>4</v>
      </c>
      <c r="G366" s="3">
        <f>IF(ISBLANK('Raw sheet'!F366),AVERAGE('Raw sheet'!$F$2:'Raw sheet'!$F$1500),'Raw sheet'!F366)</f>
        <v>3.49</v>
      </c>
      <c r="H366" s="18">
        <v>76</v>
      </c>
      <c r="I366" s="9" t="str">
        <f t="shared" si="10"/>
        <v>Good</v>
      </c>
      <c r="J366" s="2">
        <v>1</v>
      </c>
      <c r="K366" s="2">
        <v>23.3</v>
      </c>
      <c r="L366" s="2" t="s">
        <v>4</v>
      </c>
      <c r="M366" s="2" t="s">
        <v>3</v>
      </c>
      <c r="N366" s="5">
        <f>IF(ISBLANK('Raw sheet'!L366),AVERAGE('Raw sheet'!$L$2:'Raw sheet'!$L$1500),'Raw sheet'!L366)</f>
        <v>4.0999999999999996</v>
      </c>
      <c r="O366" s="5" t="str">
        <f>IF(Table1[[#This Row],[Stress_Index]]&gt;=8,"High",IF(N366&gt;=5,"Medium","Low"))</f>
        <v>Low</v>
      </c>
      <c r="P366" s="3">
        <v>2.73</v>
      </c>
      <c r="Q366" s="2">
        <v>3.21</v>
      </c>
      <c r="R366" s="3">
        <v>3.19</v>
      </c>
      <c r="S366" s="3" t="str">
        <f>IF(Table1[[#This Row],[CGPA]]&gt;=3,"High",IF(R365&gt;=2,"Medium","Low"))</f>
        <v>High</v>
      </c>
      <c r="T366" s="2" t="s">
        <v>10</v>
      </c>
      <c r="U366" s="2" t="s">
        <v>13</v>
      </c>
      <c r="V366" s="2" t="s">
        <v>9</v>
      </c>
      <c r="W366" s="7">
        <v>0</v>
      </c>
      <c r="X366" t="str">
        <f t="shared" si="11"/>
        <v>Active</v>
      </c>
    </row>
    <row r="367" spans="1:24" x14ac:dyDescent="0.3">
      <c r="A367" s="2">
        <v>366</v>
      </c>
      <c r="B367" s="7">
        <v>20.100000000000001</v>
      </c>
      <c r="C367" s="2" t="s">
        <v>5</v>
      </c>
      <c r="D367" s="7">
        <f>IF(ISBLANK('Raw sheet'!D367),AVERAGE('Raw sheet'!$D$2:'Raw sheet'!$D$1500),'Raw sheet'!D367)</f>
        <v>62937</v>
      </c>
      <c r="E367" s="7" t="str">
        <f>IF(Table1[[#This Row],[Family_Income]]&gt;=100000,"Upper",IF(D367&gt;=50000,"Middle","Lower"))</f>
        <v>Middle</v>
      </c>
      <c r="F367" s="2" t="s">
        <v>4</v>
      </c>
      <c r="G367" s="3">
        <f>IF(ISBLANK('Raw sheet'!F367),AVERAGE('Raw sheet'!$F$2:'Raw sheet'!$F$1500),'Raw sheet'!F367)</f>
        <v>5.54</v>
      </c>
      <c r="H367" s="18">
        <v>79.400000000000006</v>
      </c>
      <c r="I367" s="9" t="str">
        <f t="shared" si="10"/>
        <v>Good</v>
      </c>
      <c r="J367" s="2">
        <v>0</v>
      </c>
      <c r="K367" s="2">
        <v>12.9</v>
      </c>
      <c r="L367" s="2" t="s">
        <v>4</v>
      </c>
      <c r="M367" s="2" t="s">
        <v>3</v>
      </c>
      <c r="N367" s="5">
        <f>IF(ISBLANK('Raw sheet'!L367),AVERAGE('Raw sheet'!$L$2:'Raw sheet'!$L$1500),'Raw sheet'!L367)</f>
        <v>3.5</v>
      </c>
      <c r="O367" s="5" t="str">
        <f>IF(Table1[[#This Row],[Stress_Index]]&gt;=8,"High",IF(N367&gt;=5,"Medium","Low"))</f>
        <v>Low</v>
      </c>
      <c r="P367" s="3">
        <v>4</v>
      </c>
      <c r="Q367" s="2">
        <v>3.77</v>
      </c>
      <c r="R367" s="3">
        <v>3.82</v>
      </c>
      <c r="S367" s="3" t="str">
        <f>IF(Table1[[#This Row],[CGPA]]&gt;=3,"High",IF(R366&gt;=2,"Medium","Low"))</f>
        <v>High</v>
      </c>
      <c r="T367" s="2" t="s">
        <v>12</v>
      </c>
      <c r="U367" s="2" t="s">
        <v>14</v>
      </c>
      <c r="V367" s="2" t="s">
        <v>9</v>
      </c>
      <c r="W367" s="7">
        <v>0</v>
      </c>
      <c r="X367" t="str">
        <f t="shared" si="11"/>
        <v>Active</v>
      </c>
    </row>
    <row r="368" spans="1:24" x14ac:dyDescent="0.3">
      <c r="A368" s="2">
        <v>367</v>
      </c>
      <c r="B368" s="7">
        <v>21.5</v>
      </c>
      <c r="C368" s="2" t="s">
        <v>5</v>
      </c>
      <c r="D368" s="7">
        <f>IF(ISBLANK('Raw sheet'!D368),AVERAGE('Raw sheet'!$D$2:'Raw sheet'!$D$1500),'Raw sheet'!D368)</f>
        <v>25000</v>
      </c>
      <c r="E368" s="7" t="str">
        <f>IF(Table1[[#This Row],[Family_Income]]&gt;=100000,"Upper",IF(D368&gt;=50000,"Middle","Lower"))</f>
        <v>Lower</v>
      </c>
      <c r="F368" s="2" t="s">
        <v>4</v>
      </c>
      <c r="G368" s="3">
        <f>IF(ISBLANK('Raw sheet'!F368),AVERAGE('Raw sheet'!$F$2:'Raw sheet'!$F$1500),'Raw sheet'!F368)</f>
        <v>4.08</v>
      </c>
      <c r="H368" s="18">
        <v>96.3</v>
      </c>
      <c r="I368" s="9" t="str">
        <f t="shared" si="10"/>
        <v>Good</v>
      </c>
      <c r="J368" s="2">
        <v>3</v>
      </c>
      <c r="K368" s="2">
        <v>22.3</v>
      </c>
      <c r="L368" s="2" t="s">
        <v>4</v>
      </c>
      <c r="M368" s="2" t="s">
        <v>3</v>
      </c>
      <c r="N368" s="5">
        <f>IF(ISBLANK('Raw sheet'!L368),AVERAGE('Raw sheet'!$L$2:'Raw sheet'!$L$1500),'Raw sheet'!L368)</f>
        <v>2.2999999999999998</v>
      </c>
      <c r="O368" s="5" t="str">
        <f>IF(Table1[[#This Row],[Stress_Index]]&gt;=8,"High",IF(N368&gt;=5,"Medium","Low"))</f>
        <v>Low</v>
      </c>
      <c r="P368" s="3">
        <v>4</v>
      </c>
      <c r="Q368" s="2">
        <v>4</v>
      </c>
      <c r="R368" s="3">
        <v>3.96</v>
      </c>
      <c r="S368" s="3" t="str">
        <f>IF(Table1[[#This Row],[CGPA]]&gt;=3,"High",IF(R367&gt;=2,"Medium","Low"))</f>
        <v>High</v>
      </c>
      <c r="T368" s="2" t="s">
        <v>7</v>
      </c>
      <c r="U368" s="2" t="s">
        <v>13</v>
      </c>
      <c r="V368" s="2" t="s">
        <v>17</v>
      </c>
      <c r="W368" s="7">
        <v>0</v>
      </c>
      <c r="X368" t="str">
        <f t="shared" si="11"/>
        <v>Active</v>
      </c>
    </row>
    <row r="369" spans="1:24" x14ac:dyDescent="0.3">
      <c r="A369" s="2">
        <v>368</v>
      </c>
      <c r="B369" s="7">
        <v>21</v>
      </c>
      <c r="C369" s="2" t="s">
        <v>11</v>
      </c>
      <c r="D369" s="7">
        <f>IF(ISBLANK('Raw sheet'!D369),AVERAGE('Raw sheet'!$D$2:'Raw sheet'!$D$1500),'Raw sheet'!D369)</f>
        <v>38587.00282087447</v>
      </c>
      <c r="E369" s="7" t="str">
        <f>IF(Table1[[#This Row],[Family_Income]]&gt;=100000,"Upper",IF(D369&gt;=50000,"Middle","Lower"))</f>
        <v>Lower</v>
      </c>
      <c r="F369" s="2" t="s">
        <v>4</v>
      </c>
      <c r="G369" s="3">
        <f>IF(ISBLANK('Raw sheet'!F369),AVERAGE('Raw sheet'!$F$2:'Raw sheet'!$F$1500),'Raw sheet'!F369)</f>
        <v>4.0178702397743278</v>
      </c>
      <c r="H369" s="18">
        <v>100</v>
      </c>
      <c r="I369" s="9" t="str">
        <f t="shared" si="10"/>
        <v>Good</v>
      </c>
      <c r="J369" s="2">
        <v>1</v>
      </c>
      <c r="K369" s="2">
        <v>30.1</v>
      </c>
      <c r="L369" s="2" t="s">
        <v>4</v>
      </c>
      <c r="M369" s="2" t="s">
        <v>4</v>
      </c>
      <c r="N369" s="5">
        <f>IF(ISBLANK('Raw sheet'!L369),AVERAGE('Raw sheet'!$L$2:'Raw sheet'!$L$1500),'Raw sheet'!L369)</f>
        <v>5.5242595204513369</v>
      </c>
      <c r="O369" s="5" t="str">
        <f>IF(Table1[[#This Row],[Stress_Index]]&gt;=8,"High",IF(N369&gt;=5,"Medium","Low"))</f>
        <v>Medium</v>
      </c>
      <c r="P369" s="3">
        <v>2.94</v>
      </c>
      <c r="Q369" s="2">
        <v>3.1</v>
      </c>
      <c r="R369" s="3">
        <v>3.07</v>
      </c>
      <c r="S369" s="3" t="str">
        <f>IF(Table1[[#This Row],[CGPA]]&gt;=3,"High",IF(R368&gt;=2,"Medium","Low"))</f>
        <v>High</v>
      </c>
      <c r="T369" s="2" t="s">
        <v>7</v>
      </c>
      <c r="U369" s="2" t="s">
        <v>1</v>
      </c>
      <c r="V369" s="2" t="s">
        <v>15</v>
      </c>
      <c r="W369" s="7">
        <v>0</v>
      </c>
      <c r="X369" t="str">
        <f t="shared" si="11"/>
        <v>Active</v>
      </c>
    </row>
    <row r="370" spans="1:24" x14ac:dyDescent="0.3">
      <c r="A370" s="2">
        <v>369</v>
      </c>
      <c r="B370" s="7">
        <v>21.2</v>
      </c>
      <c r="C370" s="2" t="s">
        <v>11</v>
      </c>
      <c r="D370" s="7">
        <f>IF(ISBLANK('Raw sheet'!D370),AVERAGE('Raw sheet'!$D$2:'Raw sheet'!$D$1500),'Raw sheet'!D370)</f>
        <v>25256</v>
      </c>
      <c r="E370" s="7" t="str">
        <f>IF(Table1[[#This Row],[Family_Income]]&gt;=100000,"Upper",IF(D370&gt;=50000,"Middle","Lower"))</f>
        <v>Lower</v>
      </c>
      <c r="F370" s="2" t="s">
        <v>4</v>
      </c>
      <c r="G370" s="3">
        <f>IF(ISBLANK('Raw sheet'!F370),AVERAGE('Raw sheet'!$F$2:'Raw sheet'!$F$1500),'Raw sheet'!F370)</f>
        <v>2.57</v>
      </c>
      <c r="H370" s="18">
        <v>79.099999999999994</v>
      </c>
      <c r="I370" s="9" t="str">
        <f t="shared" si="10"/>
        <v>Good</v>
      </c>
      <c r="J370" s="2">
        <v>0</v>
      </c>
      <c r="K370" s="2">
        <v>18.399999999999999</v>
      </c>
      <c r="L370" s="2" t="s">
        <v>3</v>
      </c>
      <c r="M370" s="2" t="s">
        <v>3</v>
      </c>
      <c r="N370" s="5">
        <f>IF(ISBLANK('Raw sheet'!L370),AVERAGE('Raw sheet'!$L$2:'Raw sheet'!$L$1500),'Raw sheet'!L370)</f>
        <v>6.2</v>
      </c>
      <c r="O370" s="5" t="str">
        <f>IF(Table1[[#This Row],[Stress_Index]]&gt;=8,"High",IF(N370&gt;=5,"Medium","Low"))</f>
        <v>Medium</v>
      </c>
      <c r="P370" s="3">
        <v>1.54</v>
      </c>
      <c r="Q370" s="2">
        <v>1.64</v>
      </c>
      <c r="R370" s="3">
        <v>1.6</v>
      </c>
      <c r="S370" s="3" t="str">
        <f>IF(Table1[[#This Row],[CGPA]]&gt;=3,"High",IF(R369&gt;=2,"Medium","Low"))</f>
        <v>Medium</v>
      </c>
      <c r="T370" s="2" t="s">
        <v>7</v>
      </c>
      <c r="U370" s="2" t="s">
        <v>1</v>
      </c>
      <c r="V370" s="2" t="s">
        <v>9</v>
      </c>
      <c r="W370" s="7">
        <v>1</v>
      </c>
      <c r="X370" t="str">
        <f t="shared" si="11"/>
        <v>Dropped Out</v>
      </c>
    </row>
    <row r="371" spans="1:24" x14ac:dyDescent="0.3">
      <c r="A371" s="2">
        <v>370</v>
      </c>
      <c r="B371" s="7">
        <v>19.3</v>
      </c>
      <c r="C371" s="2" t="s">
        <v>5</v>
      </c>
      <c r="D371" s="7">
        <f>IF(ISBLANK('Raw sheet'!D371),AVERAGE('Raw sheet'!$D$2:'Raw sheet'!$D$1500),'Raw sheet'!D371)</f>
        <v>25000</v>
      </c>
      <c r="E371" s="7" t="str">
        <f>IF(Table1[[#This Row],[Family_Income]]&gt;=100000,"Upper",IF(D371&gt;=50000,"Middle","Lower"))</f>
        <v>Lower</v>
      </c>
      <c r="F371" s="2" t="s">
        <v>4</v>
      </c>
      <c r="G371" s="3">
        <f>IF(ISBLANK('Raw sheet'!F371),AVERAGE('Raw sheet'!$F$2:'Raw sheet'!$F$1500),'Raw sheet'!F371)</f>
        <v>5.1100000000000003</v>
      </c>
      <c r="H371" s="18">
        <v>78.3</v>
      </c>
      <c r="I371" s="9" t="str">
        <f t="shared" si="10"/>
        <v>Good</v>
      </c>
      <c r="J371" s="2">
        <v>4</v>
      </c>
      <c r="K371" s="2">
        <v>37</v>
      </c>
      <c r="L371" s="2" t="s">
        <v>3</v>
      </c>
      <c r="M371" s="2" t="s">
        <v>3</v>
      </c>
      <c r="N371" s="5">
        <f>IF(ISBLANK('Raw sheet'!L371),AVERAGE('Raw sheet'!$L$2:'Raw sheet'!$L$1500),'Raw sheet'!L371)</f>
        <v>3.8</v>
      </c>
      <c r="O371" s="5" t="str">
        <f>IF(Table1[[#This Row],[Stress_Index]]&gt;=8,"High",IF(N371&gt;=5,"Medium","Low"))</f>
        <v>Low</v>
      </c>
      <c r="P371" s="3">
        <v>3.18</v>
      </c>
      <c r="Q371" s="2">
        <v>3.65</v>
      </c>
      <c r="R371" s="3">
        <v>3.54</v>
      </c>
      <c r="S371" s="3" t="str">
        <f>IF(Table1[[#This Row],[CGPA]]&gt;=3,"High",IF(R370&gt;=2,"Medium","Low"))</f>
        <v>High</v>
      </c>
      <c r="T371" s="2" t="s">
        <v>7</v>
      </c>
      <c r="U371" s="2" t="s">
        <v>6</v>
      </c>
      <c r="V371" s="2" t="s">
        <v>0</v>
      </c>
      <c r="W371" s="7">
        <v>0</v>
      </c>
      <c r="X371" t="str">
        <f t="shared" si="11"/>
        <v>Active</v>
      </c>
    </row>
    <row r="372" spans="1:24" x14ac:dyDescent="0.3">
      <c r="A372" s="2">
        <v>371</v>
      </c>
      <c r="B372" s="7">
        <v>21.1</v>
      </c>
      <c r="C372" s="2" t="s">
        <v>11</v>
      </c>
      <c r="D372" s="7">
        <f>IF(ISBLANK('Raw sheet'!D372),AVERAGE('Raw sheet'!$D$2:'Raw sheet'!$D$1500),'Raw sheet'!D372)</f>
        <v>48693</v>
      </c>
      <c r="E372" s="7" t="str">
        <f>IF(Table1[[#This Row],[Family_Income]]&gt;=100000,"Upper",IF(D372&gt;=50000,"Middle","Lower"))</f>
        <v>Lower</v>
      </c>
      <c r="F372" s="2" t="s">
        <v>4</v>
      </c>
      <c r="G372" s="3">
        <f>IF(ISBLANK('Raw sheet'!F372),AVERAGE('Raw sheet'!$F$2:'Raw sheet'!$F$1500),'Raw sheet'!F372)</f>
        <v>3.92</v>
      </c>
      <c r="H372" s="18">
        <v>89.6</v>
      </c>
      <c r="I372" s="9" t="str">
        <f t="shared" si="10"/>
        <v>Good</v>
      </c>
      <c r="J372" s="2">
        <v>2</v>
      </c>
      <c r="K372" s="2">
        <v>19.2</v>
      </c>
      <c r="L372" s="2" t="s">
        <v>3</v>
      </c>
      <c r="M372" s="2" t="s">
        <v>3</v>
      </c>
      <c r="N372" s="5">
        <f>IF(ISBLANK('Raw sheet'!L372),AVERAGE('Raw sheet'!$L$2:'Raw sheet'!$L$1500),'Raw sheet'!L372)</f>
        <v>4.2</v>
      </c>
      <c r="O372" s="5" t="str">
        <f>IF(Table1[[#This Row],[Stress_Index]]&gt;=8,"High",IF(N372&gt;=5,"Medium","Low"))</f>
        <v>Low</v>
      </c>
      <c r="P372" s="3">
        <v>2.66</v>
      </c>
      <c r="Q372" s="2">
        <v>2.61</v>
      </c>
      <c r="R372" s="3">
        <v>2.67</v>
      </c>
      <c r="S372" s="3" t="str">
        <f>IF(Table1[[#This Row],[CGPA]]&gt;=3,"High",IF(R371&gt;=2,"Medium","Low"))</f>
        <v>Medium</v>
      </c>
      <c r="T372" s="2" t="s">
        <v>10</v>
      </c>
      <c r="U372" s="2" t="s">
        <v>8</v>
      </c>
      <c r="V372" s="2" t="s">
        <v>15</v>
      </c>
      <c r="W372" s="7">
        <v>0</v>
      </c>
      <c r="X372" t="str">
        <f t="shared" si="11"/>
        <v>Active</v>
      </c>
    </row>
    <row r="373" spans="1:24" x14ac:dyDescent="0.3">
      <c r="A373" s="2">
        <v>372</v>
      </c>
      <c r="B373" s="7">
        <v>22.1</v>
      </c>
      <c r="C373" s="2" t="s">
        <v>11</v>
      </c>
      <c r="D373" s="7">
        <f>IF(ISBLANK('Raw sheet'!D373),AVERAGE('Raw sheet'!$D$2:'Raw sheet'!$D$1500),'Raw sheet'!D373)</f>
        <v>34903</v>
      </c>
      <c r="E373" s="7" t="str">
        <f>IF(Table1[[#This Row],[Family_Income]]&gt;=100000,"Upper",IF(D373&gt;=50000,"Middle","Lower"))</f>
        <v>Lower</v>
      </c>
      <c r="F373" s="2" t="s">
        <v>4</v>
      </c>
      <c r="G373" s="3">
        <f>IF(ISBLANK('Raw sheet'!F373),AVERAGE('Raw sheet'!$F$2:'Raw sheet'!$F$1500),'Raw sheet'!F373)</f>
        <v>1.72</v>
      </c>
      <c r="H373" s="18">
        <v>83.2</v>
      </c>
      <c r="I373" s="9" t="str">
        <f t="shared" si="10"/>
        <v>Good</v>
      </c>
      <c r="J373" s="2">
        <v>0</v>
      </c>
      <c r="K373" s="2">
        <v>8.8000000000000007</v>
      </c>
      <c r="L373" s="2" t="s">
        <v>3</v>
      </c>
      <c r="M373" s="2" t="s">
        <v>3</v>
      </c>
      <c r="N373" s="5">
        <f>IF(ISBLANK('Raw sheet'!L373),AVERAGE('Raw sheet'!$L$2:'Raw sheet'!$L$1500),'Raw sheet'!L373)</f>
        <v>5.6</v>
      </c>
      <c r="O373" s="5" t="str">
        <f>IF(Table1[[#This Row],[Stress_Index]]&gt;=8,"High",IF(N373&gt;=5,"Medium","Low"))</f>
        <v>Medium</v>
      </c>
      <c r="P373" s="3">
        <v>2.29</v>
      </c>
      <c r="Q373" s="2">
        <v>1.7</v>
      </c>
      <c r="R373" s="3">
        <v>1.69</v>
      </c>
      <c r="S373" s="3" t="str">
        <f>IF(Table1[[#This Row],[CGPA]]&gt;=3,"High",IF(R372&gt;=2,"Medium","Low"))</f>
        <v>Medium</v>
      </c>
      <c r="T373" s="2" t="s">
        <v>10</v>
      </c>
      <c r="U373" s="2" t="s">
        <v>6</v>
      </c>
      <c r="V373" s="2" t="s">
        <v>15</v>
      </c>
      <c r="W373" s="7">
        <v>1</v>
      </c>
      <c r="X373" t="str">
        <f t="shared" si="11"/>
        <v>Dropped Out</v>
      </c>
    </row>
    <row r="374" spans="1:24" x14ac:dyDescent="0.3">
      <c r="A374" s="2">
        <v>373</v>
      </c>
      <c r="B374" s="7">
        <v>24.2</v>
      </c>
      <c r="C374" s="2" t="s">
        <v>5</v>
      </c>
      <c r="D374" s="7">
        <f>IF(ISBLANK('Raw sheet'!D374),AVERAGE('Raw sheet'!$D$2:'Raw sheet'!$D$1500),'Raw sheet'!D374)</f>
        <v>25000</v>
      </c>
      <c r="E374" s="7" t="str">
        <f>IF(Table1[[#This Row],[Family_Income]]&gt;=100000,"Upper",IF(D374&gt;=50000,"Middle","Lower"))</f>
        <v>Lower</v>
      </c>
      <c r="F374" s="2" t="s">
        <v>4</v>
      </c>
      <c r="G374" s="3">
        <f>IF(ISBLANK('Raw sheet'!F374),AVERAGE('Raw sheet'!$F$2:'Raw sheet'!$F$1500),'Raw sheet'!F374)</f>
        <v>4.91</v>
      </c>
      <c r="H374" s="18">
        <v>76.8</v>
      </c>
      <c r="I374" s="9" t="str">
        <f t="shared" si="10"/>
        <v>Good</v>
      </c>
      <c r="J374" s="2">
        <v>0</v>
      </c>
      <c r="K374" s="2">
        <v>23.1</v>
      </c>
      <c r="L374" s="2" t="s">
        <v>4</v>
      </c>
      <c r="M374" s="2" t="s">
        <v>3</v>
      </c>
      <c r="N374" s="5">
        <f>IF(ISBLANK('Raw sheet'!L374),AVERAGE('Raw sheet'!$L$2:'Raw sheet'!$L$1500),'Raw sheet'!L374)</f>
        <v>5.5</v>
      </c>
      <c r="O374" s="5" t="str">
        <f>IF(Table1[[#This Row],[Stress_Index]]&gt;=8,"High",IF(N374&gt;=5,"Medium","Low"))</f>
        <v>Medium</v>
      </c>
      <c r="P374" s="3">
        <v>1.25</v>
      </c>
      <c r="Q374" s="2">
        <v>1.1499999999999999</v>
      </c>
      <c r="R374" s="3">
        <v>1.1499999999999999</v>
      </c>
      <c r="S374" s="3" t="str">
        <f>IF(Table1[[#This Row],[CGPA]]&gt;=3,"High",IF(R373&gt;=2,"Medium","Low"))</f>
        <v>Low</v>
      </c>
      <c r="T374" s="2" t="s">
        <v>2</v>
      </c>
      <c r="U374" s="2" t="s">
        <v>14</v>
      </c>
      <c r="V374" s="2" t="s">
        <v>0</v>
      </c>
      <c r="W374" s="7">
        <v>0</v>
      </c>
      <c r="X374" t="str">
        <f t="shared" si="11"/>
        <v>Active</v>
      </c>
    </row>
    <row r="375" spans="1:24" x14ac:dyDescent="0.3">
      <c r="A375" s="2">
        <v>374</v>
      </c>
      <c r="B375" s="7">
        <v>23.1</v>
      </c>
      <c r="C375" s="2" t="s">
        <v>11</v>
      </c>
      <c r="D375" s="7">
        <f>IF(ISBLANK('Raw sheet'!D375),AVERAGE('Raw sheet'!$D$2:'Raw sheet'!$D$1500),'Raw sheet'!D375)</f>
        <v>44565</v>
      </c>
      <c r="E375" s="7" t="str">
        <f>IF(Table1[[#This Row],[Family_Income]]&gt;=100000,"Upper",IF(D375&gt;=50000,"Middle","Lower"))</f>
        <v>Lower</v>
      </c>
      <c r="F375" s="2" t="s">
        <v>4</v>
      </c>
      <c r="G375" s="3">
        <f>IF(ISBLANK('Raw sheet'!F375),AVERAGE('Raw sheet'!$F$2:'Raw sheet'!$F$1500),'Raw sheet'!F375)</f>
        <v>4.38</v>
      </c>
      <c r="H375" s="18">
        <v>85.9</v>
      </c>
      <c r="I375" s="9" t="str">
        <f t="shared" si="10"/>
        <v>Good</v>
      </c>
      <c r="J375" s="2">
        <v>2</v>
      </c>
      <c r="K375" s="2">
        <v>32.200000000000003</v>
      </c>
      <c r="L375" s="2" t="s">
        <v>4</v>
      </c>
      <c r="M375" s="2" t="s">
        <v>3</v>
      </c>
      <c r="N375" s="5">
        <f>IF(ISBLANK('Raw sheet'!L375),AVERAGE('Raw sheet'!$L$2:'Raw sheet'!$L$1500),'Raw sheet'!L375)</f>
        <v>7.4</v>
      </c>
      <c r="O375" s="5" t="str">
        <f>IF(Table1[[#This Row],[Stress_Index]]&gt;=8,"High",IF(N375&gt;=5,"Medium","Low"))</f>
        <v>Medium</v>
      </c>
      <c r="P375" s="3">
        <v>2.79</v>
      </c>
      <c r="Q375" s="2">
        <v>2.4300000000000002</v>
      </c>
      <c r="R375" s="3">
        <v>2.4300000000000002</v>
      </c>
      <c r="S375" s="3" t="str">
        <f>IF(Table1[[#This Row],[CGPA]]&gt;=3,"High",IF(R374&gt;=2,"Medium","Low"))</f>
        <v>Low</v>
      </c>
      <c r="T375" s="2" t="s">
        <v>2</v>
      </c>
      <c r="U375" s="2" t="s">
        <v>1</v>
      </c>
      <c r="V375" s="2" t="s">
        <v>9</v>
      </c>
      <c r="W375" s="7">
        <v>0</v>
      </c>
      <c r="X375" t="str">
        <f t="shared" si="11"/>
        <v>Active</v>
      </c>
    </row>
    <row r="376" spans="1:24" x14ac:dyDescent="0.3">
      <c r="A376" s="2">
        <v>375</v>
      </c>
      <c r="B376" s="7">
        <v>25.7</v>
      </c>
      <c r="C376" s="2" t="s">
        <v>11</v>
      </c>
      <c r="D376" s="7">
        <f>IF(ISBLANK('Raw sheet'!D376),AVERAGE('Raw sheet'!$D$2:'Raw sheet'!$D$1500),'Raw sheet'!D376)</f>
        <v>25207</v>
      </c>
      <c r="E376" s="7" t="str">
        <f>IF(Table1[[#This Row],[Family_Income]]&gt;=100000,"Upper",IF(D376&gt;=50000,"Middle","Lower"))</f>
        <v>Lower</v>
      </c>
      <c r="F376" s="2" t="s">
        <v>4</v>
      </c>
      <c r="G376" s="3">
        <f>IF(ISBLANK('Raw sheet'!F376),AVERAGE('Raw sheet'!$F$2:'Raw sheet'!$F$1500),'Raw sheet'!F376)</f>
        <v>3.55</v>
      </c>
      <c r="H376" s="18">
        <v>88.1</v>
      </c>
      <c r="I376" s="9" t="str">
        <f t="shared" si="10"/>
        <v>Good</v>
      </c>
      <c r="J376" s="2">
        <v>0</v>
      </c>
      <c r="K376" s="2">
        <v>14.9</v>
      </c>
      <c r="L376" s="2" t="s">
        <v>3</v>
      </c>
      <c r="M376" s="2" t="s">
        <v>3</v>
      </c>
      <c r="N376" s="5">
        <f>IF(ISBLANK('Raw sheet'!L376),AVERAGE('Raw sheet'!$L$2:'Raw sheet'!$L$1500),'Raw sheet'!L376)</f>
        <v>7.5</v>
      </c>
      <c r="O376" s="5" t="str">
        <f>IF(Table1[[#This Row],[Stress_Index]]&gt;=8,"High",IF(N376&gt;=5,"Medium","Low"))</f>
        <v>Medium</v>
      </c>
      <c r="P376" s="3">
        <v>1.85</v>
      </c>
      <c r="Q376" s="2">
        <v>1.56</v>
      </c>
      <c r="R376" s="3">
        <v>1.52</v>
      </c>
      <c r="S376" s="3" t="str">
        <f>IF(Table1[[#This Row],[CGPA]]&gt;=3,"High",IF(R375&gt;=2,"Medium","Low"))</f>
        <v>Medium</v>
      </c>
      <c r="T376" s="2" t="s">
        <v>12</v>
      </c>
      <c r="U376" s="2" t="s">
        <v>14</v>
      </c>
      <c r="V376" s="2" t="s">
        <v>9</v>
      </c>
      <c r="W376" s="7">
        <v>0</v>
      </c>
      <c r="X376" t="str">
        <f t="shared" si="11"/>
        <v>Active</v>
      </c>
    </row>
    <row r="377" spans="1:24" x14ac:dyDescent="0.3">
      <c r="A377" s="2">
        <v>376</v>
      </c>
      <c r="B377" s="7">
        <v>19.3</v>
      </c>
      <c r="C377" s="2" t="s">
        <v>11</v>
      </c>
      <c r="D377" s="7">
        <f>IF(ISBLANK('Raw sheet'!D377),AVERAGE('Raw sheet'!$D$2:'Raw sheet'!$D$1500),'Raw sheet'!D377)</f>
        <v>25000</v>
      </c>
      <c r="E377" s="7" t="str">
        <f>IF(Table1[[#This Row],[Family_Income]]&gt;=100000,"Upper",IF(D377&gt;=50000,"Middle","Lower"))</f>
        <v>Lower</v>
      </c>
      <c r="F377" s="2" t="s">
        <v>4</v>
      </c>
      <c r="G377" s="3">
        <f>IF(ISBLANK('Raw sheet'!F377),AVERAGE('Raw sheet'!$F$2:'Raw sheet'!$F$1500),'Raw sheet'!F377)</f>
        <v>3.55</v>
      </c>
      <c r="H377" s="18">
        <v>80.099999999999994</v>
      </c>
      <c r="I377" s="9" t="str">
        <f t="shared" si="10"/>
        <v>Good</v>
      </c>
      <c r="J377" s="2">
        <v>3</v>
      </c>
      <c r="K377" s="2">
        <v>19.3</v>
      </c>
      <c r="L377" s="2" t="s">
        <v>3</v>
      </c>
      <c r="M377" s="2" t="s">
        <v>3</v>
      </c>
      <c r="N377" s="5">
        <f>IF(ISBLANK('Raw sheet'!L377),AVERAGE('Raw sheet'!$L$2:'Raw sheet'!$L$1500),'Raw sheet'!L377)</f>
        <v>4.3</v>
      </c>
      <c r="O377" s="5" t="str">
        <f>IF(Table1[[#This Row],[Stress_Index]]&gt;=8,"High",IF(N377&gt;=5,"Medium","Low"))</f>
        <v>Low</v>
      </c>
      <c r="P377" s="3">
        <v>3.33</v>
      </c>
      <c r="Q377" s="2">
        <v>3.75</v>
      </c>
      <c r="R377" s="3">
        <v>3.89</v>
      </c>
      <c r="S377" s="3" t="str">
        <f>IF(Table1[[#This Row],[CGPA]]&gt;=3,"High",IF(R376&gt;=2,"Medium","Low"))</f>
        <v>High</v>
      </c>
      <c r="T377" s="2" t="s">
        <v>10</v>
      </c>
      <c r="U377" s="2" t="s">
        <v>1</v>
      </c>
      <c r="V377" s="2" t="s">
        <v>9</v>
      </c>
      <c r="W377" s="7">
        <v>0</v>
      </c>
      <c r="X377" t="str">
        <f t="shared" si="11"/>
        <v>Active</v>
      </c>
    </row>
    <row r="378" spans="1:24" x14ac:dyDescent="0.3">
      <c r="A378" s="2">
        <v>377</v>
      </c>
      <c r="B378" s="7">
        <v>22.9</v>
      </c>
      <c r="C378" s="2" t="s">
        <v>5</v>
      </c>
      <c r="D378" s="7">
        <f>IF(ISBLANK('Raw sheet'!D378),AVERAGE('Raw sheet'!$D$2:'Raw sheet'!$D$1500),'Raw sheet'!D378)</f>
        <v>30614</v>
      </c>
      <c r="E378" s="7" t="str">
        <f>IF(Table1[[#This Row],[Family_Income]]&gt;=100000,"Upper",IF(D378&gt;=50000,"Middle","Lower"))</f>
        <v>Lower</v>
      </c>
      <c r="F378" s="2" t="s">
        <v>4</v>
      </c>
      <c r="G378" s="3">
        <f>IF(ISBLANK('Raw sheet'!F378),AVERAGE('Raw sheet'!$F$2:'Raw sheet'!$F$1500),'Raw sheet'!F378)</f>
        <v>2.61</v>
      </c>
      <c r="H378" s="18">
        <v>80.3</v>
      </c>
      <c r="I378" s="9" t="str">
        <f t="shared" si="10"/>
        <v>Good</v>
      </c>
      <c r="J378" s="2">
        <v>0</v>
      </c>
      <c r="K378" s="2">
        <v>22.4</v>
      </c>
      <c r="L378" s="2" t="s">
        <v>3</v>
      </c>
      <c r="M378" s="2" t="s">
        <v>3</v>
      </c>
      <c r="N378" s="5">
        <f>IF(ISBLANK('Raw sheet'!L378),AVERAGE('Raw sheet'!$L$2:'Raw sheet'!$L$1500),'Raw sheet'!L378)</f>
        <v>5.4</v>
      </c>
      <c r="O378" s="5" t="str">
        <f>IF(Table1[[#This Row],[Stress_Index]]&gt;=8,"High",IF(N378&gt;=5,"Medium","Low"))</f>
        <v>Medium</v>
      </c>
      <c r="P378" s="3">
        <v>0.15</v>
      </c>
      <c r="Q378" s="2">
        <v>0.44</v>
      </c>
      <c r="R378" s="3">
        <v>0.45</v>
      </c>
      <c r="S378" s="3" t="str">
        <f>IF(Table1[[#This Row],[CGPA]]&gt;=3,"High",IF(R377&gt;=2,"Medium","Low"))</f>
        <v>Medium</v>
      </c>
      <c r="T378" s="2" t="s">
        <v>12</v>
      </c>
      <c r="U378" s="2" t="s">
        <v>1</v>
      </c>
      <c r="V378" s="2" t="s">
        <v>15</v>
      </c>
      <c r="W378" s="7">
        <v>1</v>
      </c>
      <c r="X378" t="str">
        <f t="shared" si="11"/>
        <v>Dropped Out</v>
      </c>
    </row>
    <row r="379" spans="1:24" x14ac:dyDescent="0.3">
      <c r="A379" s="2">
        <v>378</v>
      </c>
      <c r="B379" s="7">
        <v>21.4</v>
      </c>
      <c r="C379" s="2" t="s">
        <v>11</v>
      </c>
      <c r="D379" s="7">
        <f>IF(ISBLANK('Raw sheet'!D379),AVERAGE('Raw sheet'!$D$2:'Raw sheet'!$D$1500),'Raw sheet'!D379)</f>
        <v>39265</v>
      </c>
      <c r="E379" s="7" t="str">
        <f>IF(Table1[[#This Row],[Family_Income]]&gt;=100000,"Upper",IF(D379&gt;=50000,"Middle","Lower"))</f>
        <v>Lower</v>
      </c>
      <c r="F379" s="2" t="s">
        <v>3</v>
      </c>
      <c r="G379" s="3">
        <f>IF(ISBLANK('Raw sheet'!F379),AVERAGE('Raw sheet'!$F$2:'Raw sheet'!$F$1500),'Raw sheet'!F379)</f>
        <v>5.51</v>
      </c>
      <c r="H379" s="18">
        <v>95.7</v>
      </c>
      <c r="I379" s="9" t="str">
        <f t="shared" si="10"/>
        <v>Good</v>
      </c>
      <c r="J379" s="2">
        <v>0</v>
      </c>
      <c r="K379" s="2">
        <v>24</v>
      </c>
      <c r="L379" s="2" t="s">
        <v>4</v>
      </c>
      <c r="M379" s="2" t="s">
        <v>4</v>
      </c>
      <c r="N379" s="5">
        <f>IF(ISBLANK('Raw sheet'!L379),AVERAGE('Raw sheet'!$L$2:'Raw sheet'!$L$1500),'Raw sheet'!L379)</f>
        <v>3.7</v>
      </c>
      <c r="O379" s="5" t="str">
        <f>IF(Table1[[#This Row],[Stress_Index]]&gt;=8,"High",IF(N379&gt;=5,"Medium","Low"))</f>
        <v>Low</v>
      </c>
      <c r="P379" s="3">
        <v>2.15</v>
      </c>
      <c r="Q379" s="2">
        <v>2.06</v>
      </c>
      <c r="R379" s="3">
        <v>2.04</v>
      </c>
      <c r="S379" s="3" t="str">
        <f>IF(Table1[[#This Row],[CGPA]]&gt;=3,"High",IF(R378&gt;=2,"Medium","Low"))</f>
        <v>Low</v>
      </c>
      <c r="T379" s="2" t="s">
        <v>10</v>
      </c>
      <c r="U379" s="2" t="s">
        <v>1</v>
      </c>
      <c r="V379" s="2" t="s">
        <v>15</v>
      </c>
      <c r="W379" s="7">
        <v>0</v>
      </c>
      <c r="X379" t="str">
        <f t="shared" si="11"/>
        <v>Active</v>
      </c>
    </row>
    <row r="380" spans="1:24" x14ac:dyDescent="0.3">
      <c r="A380" s="2">
        <v>379</v>
      </c>
      <c r="B380" s="7">
        <v>25.8</v>
      </c>
      <c r="C380" s="2" t="s">
        <v>5</v>
      </c>
      <c r="D380" s="7">
        <f>IF(ISBLANK('Raw sheet'!D380),AVERAGE('Raw sheet'!$D$2:'Raw sheet'!$D$1500),'Raw sheet'!D380)</f>
        <v>37568</v>
      </c>
      <c r="E380" s="7" t="str">
        <f>IF(Table1[[#This Row],[Family_Income]]&gt;=100000,"Upper",IF(D380&gt;=50000,"Middle","Lower"))</f>
        <v>Lower</v>
      </c>
      <c r="F380" s="2" t="s">
        <v>4</v>
      </c>
      <c r="G380" s="3">
        <f>IF(ISBLANK('Raw sheet'!F380),AVERAGE('Raw sheet'!$F$2:'Raw sheet'!$F$1500),'Raw sheet'!F380)</f>
        <v>4.95</v>
      </c>
      <c r="H380" s="18">
        <v>75.400000000000006</v>
      </c>
      <c r="I380" s="9" t="str">
        <f t="shared" si="10"/>
        <v>Good</v>
      </c>
      <c r="J380" s="2">
        <v>2</v>
      </c>
      <c r="K380" s="2">
        <v>33.6</v>
      </c>
      <c r="L380" s="2" t="s">
        <v>3</v>
      </c>
      <c r="M380" s="2" t="s">
        <v>3</v>
      </c>
      <c r="N380" s="5">
        <f>IF(ISBLANK('Raw sheet'!L380),AVERAGE('Raw sheet'!$L$2:'Raw sheet'!$L$1500),'Raw sheet'!L380)</f>
        <v>8.1999999999999993</v>
      </c>
      <c r="O380" s="5" t="str">
        <f>IF(Table1[[#This Row],[Stress_Index]]&gt;=8,"High",IF(N380&gt;=5,"Medium","Low"))</f>
        <v>High</v>
      </c>
      <c r="P380" s="3">
        <v>1.28</v>
      </c>
      <c r="Q380" s="2">
        <v>1.22</v>
      </c>
      <c r="R380" s="3">
        <v>1.22</v>
      </c>
      <c r="S380" s="3" t="str">
        <f>IF(Table1[[#This Row],[CGPA]]&gt;=3,"High",IF(R379&gt;=2,"Medium","Low"))</f>
        <v>Medium</v>
      </c>
      <c r="T380" s="2" t="s">
        <v>2</v>
      </c>
      <c r="U380" s="2" t="s">
        <v>6</v>
      </c>
      <c r="V380" s="2" t="s">
        <v>9</v>
      </c>
      <c r="W380" s="7">
        <v>0</v>
      </c>
      <c r="X380" t="str">
        <f t="shared" si="11"/>
        <v>Active</v>
      </c>
    </row>
    <row r="381" spans="1:24" x14ac:dyDescent="0.3">
      <c r="A381" s="2">
        <v>380</v>
      </c>
      <c r="B381" s="7">
        <v>19.2</v>
      </c>
      <c r="C381" s="2" t="s">
        <v>11</v>
      </c>
      <c r="D381" s="7">
        <f>IF(ISBLANK('Raw sheet'!D381),AVERAGE('Raw sheet'!$D$2:'Raw sheet'!$D$1500),'Raw sheet'!D381)</f>
        <v>25000</v>
      </c>
      <c r="E381" s="7" t="str">
        <f>IF(Table1[[#This Row],[Family_Income]]&gt;=100000,"Upper",IF(D381&gt;=50000,"Middle","Lower"))</f>
        <v>Lower</v>
      </c>
      <c r="F381" s="2" t="s">
        <v>3</v>
      </c>
      <c r="G381" s="3">
        <f>IF(ISBLANK('Raw sheet'!F381),AVERAGE('Raw sheet'!$F$2:'Raw sheet'!$F$1500),'Raw sheet'!F381)</f>
        <v>2.62</v>
      </c>
      <c r="H381" s="18">
        <v>77.7</v>
      </c>
      <c r="I381" s="9" t="str">
        <f t="shared" si="10"/>
        <v>Good</v>
      </c>
      <c r="J381" s="2">
        <v>4</v>
      </c>
      <c r="K381" s="2">
        <v>37.700000000000003</v>
      </c>
      <c r="L381" s="2" t="s">
        <v>4</v>
      </c>
      <c r="M381" s="2" t="s">
        <v>3</v>
      </c>
      <c r="N381" s="5">
        <f>IF(ISBLANK('Raw sheet'!L381),AVERAGE('Raw sheet'!$L$2:'Raw sheet'!$L$1500),'Raw sheet'!L381)</f>
        <v>6</v>
      </c>
      <c r="O381" s="5" t="str">
        <f>IF(Table1[[#This Row],[Stress_Index]]&gt;=8,"High",IF(N381&gt;=5,"Medium","Low"))</f>
        <v>Medium</v>
      </c>
      <c r="P381" s="3">
        <v>1.7</v>
      </c>
      <c r="Q381" s="2">
        <v>1.72</v>
      </c>
      <c r="R381" s="3">
        <v>1.77</v>
      </c>
      <c r="S381" s="3" t="str">
        <f>IF(Table1[[#This Row],[CGPA]]&gt;=3,"High",IF(R380&gt;=2,"Medium","Low"))</f>
        <v>Low</v>
      </c>
      <c r="T381" s="2" t="s">
        <v>12</v>
      </c>
      <c r="U381" s="2" t="s">
        <v>8</v>
      </c>
      <c r="V381" s="2" t="s">
        <v>9</v>
      </c>
      <c r="W381" s="7">
        <v>1</v>
      </c>
      <c r="X381" t="str">
        <f t="shared" si="11"/>
        <v>Dropped Out</v>
      </c>
    </row>
    <row r="382" spans="1:24" x14ac:dyDescent="0.3">
      <c r="A382" s="2">
        <v>381</v>
      </c>
      <c r="B382" s="7">
        <v>19.2</v>
      </c>
      <c r="C382" s="2" t="s">
        <v>11</v>
      </c>
      <c r="D382" s="7">
        <f>IF(ISBLANK('Raw sheet'!D382),AVERAGE('Raw sheet'!$D$2:'Raw sheet'!$D$1500),'Raw sheet'!D382)</f>
        <v>49428</v>
      </c>
      <c r="E382" s="7" t="str">
        <f>IF(Table1[[#This Row],[Family_Income]]&gt;=100000,"Upper",IF(D382&gt;=50000,"Middle","Lower"))</f>
        <v>Lower</v>
      </c>
      <c r="F382" s="2" t="s">
        <v>4</v>
      </c>
      <c r="G382" s="3">
        <f>IF(ISBLANK('Raw sheet'!F382),AVERAGE('Raw sheet'!$F$2:'Raw sheet'!$F$1500),'Raw sheet'!F382)</f>
        <v>4.07</v>
      </c>
      <c r="H382" s="18">
        <v>78.3</v>
      </c>
      <c r="I382" s="9" t="str">
        <f t="shared" si="10"/>
        <v>Good</v>
      </c>
      <c r="J382" s="2">
        <v>3</v>
      </c>
      <c r="K382" s="2">
        <v>24.3</v>
      </c>
      <c r="L382" s="2" t="s">
        <v>3</v>
      </c>
      <c r="M382" s="2" t="s">
        <v>4</v>
      </c>
      <c r="N382" s="5">
        <f>IF(ISBLANK('Raw sheet'!L382),AVERAGE('Raw sheet'!$L$2:'Raw sheet'!$L$1500),'Raw sheet'!L382)</f>
        <v>7.3</v>
      </c>
      <c r="O382" s="5" t="str">
        <f>IF(Table1[[#This Row],[Stress_Index]]&gt;=8,"High",IF(N382&gt;=5,"Medium","Low"))</f>
        <v>Medium</v>
      </c>
      <c r="P382" s="3">
        <v>3.92</v>
      </c>
      <c r="Q382" s="2">
        <v>3.91</v>
      </c>
      <c r="R382" s="3">
        <v>3.85</v>
      </c>
      <c r="S382" s="3" t="str">
        <f>IF(Table1[[#This Row],[CGPA]]&gt;=3,"High",IF(R381&gt;=2,"Medium","Low"))</f>
        <v>High</v>
      </c>
      <c r="T382" s="2" t="s">
        <v>7</v>
      </c>
      <c r="U382" s="2" t="s">
        <v>1</v>
      </c>
      <c r="V382" s="2" t="s">
        <v>15</v>
      </c>
      <c r="W382" s="7">
        <v>0</v>
      </c>
      <c r="X382" t="str">
        <f t="shared" si="11"/>
        <v>Active</v>
      </c>
    </row>
    <row r="383" spans="1:24" x14ac:dyDescent="0.3">
      <c r="A383" s="2">
        <v>382</v>
      </c>
      <c r="B383" s="7">
        <v>19.7</v>
      </c>
      <c r="C383" s="2" t="s">
        <v>11</v>
      </c>
      <c r="D383" s="7">
        <f>IF(ISBLANK('Raw sheet'!D383),AVERAGE('Raw sheet'!$D$2:'Raw sheet'!$D$1500),'Raw sheet'!D383)</f>
        <v>26019</v>
      </c>
      <c r="E383" s="7" t="str">
        <f>IF(Table1[[#This Row],[Family_Income]]&gt;=100000,"Upper",IF(D383&gt;=50000,"Middle","Lower"))</f>
        <v>Lower</v>
      </c>
      <c r="F383" s="2" t="s">
        <v>3</v>
      </c>
      <c r="G383" s="3">
        <f>IF(ISBLANK('Raw sheet'!F383),AVERAGE('Raw sheet'!$F$2:'Raw sheet'!$F$1500),'Raw sheet'!F383)</f>
        <v>3.08</v>
      </c>
      <c r="H383" s="18">
        <v>95.6</v>
      </c>
      <c r="I383" s="9" t="str">
        <f t="shared" si="10"/>
        <v>Good</v>
      </c>
      <c r="J383" s="2">
        <v>2</v>
      </c>
      <c r="K383" s="2">
        <v>17.5</v>
      </c>
      <c r="L383" s="2" t="s">
        <v>4</v>
      </c>
      <c r="M383" s="2" t="s">
        <v>3</v>
      </c>
      <c r="N383" s="5">
        <f>IF(ISBLANK('Raw sheet'!L383),AVERAGE('Raw sheet'!$L$2:'Raw sheet'!$L$1500),'Raw sheet'!L383)</f>
        <v>4.8</v>
      </c>
      <c r="O383" s="5" t="str">
        <f>IF(Table1[[#This Row],[Stress_Index]]&gt;=8,"High",IF(N383&gt;=5,"Medium","Low"))</f>
        <v>Low</v>
      </c>
      <c r="P383" s="3">
        <v>3.45</v>
      </c>
      <c r="Q383" s="2">
        <v>3.34</v>
      </c>
      <c r="R383" s="3">
        <v>3.44</v>
      </c>
      <c r="S383" s="3" t="str">
        <f>IF(Table1[[#This Row],[CGPA]]&gt;=3,"High",IF(R382&gt;=2,"Medium","Low"))</f>
        <v>High</v>
      </c>
      <c r="T383" s="2" t="s">
        <v>7</v>
      </c>
      <c r="U383" s="2" t="s">
        <v>8</v>
      </c>
      <c r="V383" s="2" t="s">
        <v>15</v>
      </c>
      <c r="W383" s="7">
        <v>0</v>
      </c>
      <c r="X383" t="str">
        <f t="shared" si="11"/>
        <v>Active</v>
      </c>
    </row>
    <row r="384" spans="1:24" x14ac:dyDescent="0.3">
      <c r="A384" s="2">
        <v>383</v>
      </c>
      <c r="B384" s="7">
        <v>17</v>
      </c>
      <c r="C384" s="2" t="s">
        <v>11</v>
      </c>
      <c r="D384" s="7">
        <f>IF(ISBLANK('Raw sheet'!D384),AVERAGE('Raw sheet'!$D$2:'Raw sheet'!$D$1500),'Raw sheet'!D384)</f>
        <v>25000</v>
      </c>
      <c r="E384" s="7" t="str">
        <f>IF(Table1[[#This Row],[Family_Income]]&gt;=100000,"Upper",IF(D384&gt;=50000,"Middle","Lower"))</f>
        <v>Lower</v>
      </c>
      <c r="F384" s="2" t="s">
        <v>4</v>
      </c>
      <c r="G384" s="3">
        <f>IF(ISBLANK('Raw sheet'!F384),AVERAGE('Raw sheet'!$F$2:'Raw sheet'!$F$1500),'Raw sheet'!F384)</f>
        <v>2.34</v>
      </c>
      <c r="H384" s="18">
        <v>66.2</v>
      </c>
      <c r="I384" s="9" t="str">
        <f t="shared" si="10"/>
        <v>Low</v>
      </c>
      <c r="J384" s="2">
        <v>1</v>
      </c>
      <c r="K384" s="2">
        <v>31.6</v>
      </c>
      <c r="L384" s="2" t="s">
        <v>3</v>
      </c>
      <c r="M384" s="2" t="s">
        <v>3</v>
      </c>
      <c r="N384" s="5">
        <f>IF(ISBLANK('Raw sheet'!L384),AVERAGE('Raw sheet'!$L$2:'Raw sheet'!$L$1500),'Raw sheet'!L384)</f>
        <v>7.3</v>
      </c>
      <c r="O384" s="5" t="str">
        <f>IF(Table1[[#This Row],[Stress_Index]]&gt;=8,"High",IF(N384&gt;=5,"Medium","Low"))</f>
        <v>Medium</v>
      </c>
      <c r="P384" s="3">
        <v>1.71</v>
      </c>
      <c r="Q384" s="2">
        <v>1.37</v>
      </c>
      <c r="R384" s="3">
        <v>1.33</v>
      </c>
      <c r="S384" s="3" t="str">
        <f>IF(Table1[[#This Row],[CGPA]]&gt;=3,"High",IF(R383&gt;=2,"Medium","Low"))</f>
        <v>Medium</v>
      </c>
      <c r="T384" s="2" t="s">
        <v>7</v>
      </c>
      <c r="U384" s="2" t="s">
        <v>13</v>
      </c>
      <c r="V384" s="2" t="s">
        <v>15</v>
      </c>
      <c r="W384" s="7">
        <v>0</v>
      </c>
      <c r="X384" t="str">
        <f t="shared" si="11"/>
        <v>Active</v>
      </c>
    </row>
    <row r="385" spans="1:24" x14ac:dyDescent="0.3">
      <c r="A385" s="2">
        <v>384</v>
      </c>
      <c r="B385" s="7">
        <v>19.8</v>
      </c>
      <c r="C385" s="2" t="s">
        <v>5</v>
      </c>
      <c r="D385" s="7">
        <f>IF(ISBLANK('Raw sheet'!D385),AVERAGE('Raw sheet'!$D$2:'Raw sheet'!$D$1500),'Raw sheet'!D385)</f>
        <v>25000</v>
      </c>
      <c r="E385" s="7" t="str">
        <f>IF(Table1[[#This Row],[Family_Income]]&gt;=100000,"Upper",IF(D385&gt;=50000,"Middle","Lower"))</f>
        <v>Lower</v>
      </c>
      <c r="F385" s="2" t="s">
        <v>3</v>
      </c>
      <c r="G385" s="3">
        <f>IF(ISBLANK('Raw sheet'!F385),AVERAGE('Raw sheet'!$F$2:'Raw sheet'!$F$1500),'Raw sheet'!F385)</f>
        <v>6.02</v>
      </c>
      <c r="H385" s="18">
        <v>88.6</v>
      </c>
      <c r="I385" s="9" t="str">
        <f t="shared" si="10"/>
        <v>Good</v>
      </c>
      <c r="J385" s="2">
        <v>0</v>
      </c>
      <c r="K385" s="2">
        <v>36.200000000000003</v>
      </c>
      <c r="L385" s="2" t="s">
        <v>4</v>
      </c>
      <c r="M385" s="2" t="s">
        <v>4</v>
      </c>
      <c r="N385" s="5">
        <f>IF(ISBLANK('Raw sheet'!L385),AVERAGE('Raw sheet'!$L$2:'Raw sheet'!$L$1500),'Raw sheet'!L385)</f>
        <v>6.8</v>
      </c>
      <c r="O385" s="5" t="str">
        <f>IF(Table1[[#This Row],[Stress_Index]]&gt;=8,"High",IF(N385&gt;=5,"Medium","Low"))</f>
        <v>Medium</v>
      </c>
      <c r="P385" s="3">
        <v>2.63</v>
      </c>
      <c r="Q385" s="2">
        <v>2.5299999999999998</v>
      </c>
      <c r="R385" s="3">
        <v>2.52</v>
      </c>
      <c r="S385" s="3" t="str">
        <f>IF(Table1[[#This Row],[CGPA]]&gt;=3,"High",IF(R384&gt;=2,"Medium","Low"))</f>
        <v>Low</v>
      </c>
      <c r="T385" s="2" t="s">
        <v>7</v>
      </c>
      <c r="U385" s="2" t="s">
        <v>8</v>
      </c>
      <c r="V385" s="2" t="s">
        <v>15</v>
      </c>
      <c r="W385" s="7">
        <v>1</v>
      </c>
      <c r="X385" t="str">
        <f t="shared" si="11"/>
        <v>Dropped Out</v>
      </c>
    </row>
    <row r="386" spans="1:24" x14ac:dyDescent="0.3">
      <c r="A386" s="2">
        <v>385</v>
      </c>
      <c r="B386" s="7">
        <v>19.3</v>
      </c>
      <c r="C386" s="2" t="s">
        <v>11</v>
      </c>
      <c r="D386" s="7">
        <f>IF(ISBLANK('Raw sheet'!D386),AVERAGE('Raw sheet'!$D$2:'Raw sheet'!$D$1500),'Raw sheet'!D386)</f>
        <v>53632</v>
      </c>
      <c r="E386" s="7" t="str">
        <f>IF(Table1[[#This Row],[Family_Income]]&gt;=100000,"Upper",IF(D386&gt;=50000,"Middle","Lower"))</f>
        <v>Middle</v>
      </c>
      <c r="F386" s="2" t="s">
        <v>4</v>
      </c>
      <c r="G386" s="3">
        <f>IF(ISBLANK('Raw sheet'!F386),AVERAGE('Raw sheet'!$F$2:'Raw sheet'!$F$1500),'Raw sheet'!F386)</f>
        <v>3.54</v>
      </c>
      <c r="H386" s="18">
        <v>81.8</v>
      </c>
      <c r="I386" s="9" t="str">
        <f t="shared" ref="I386:I449" si="12">IF(H386&gt;=75,"Good","Low")</f>
        <v>Good</v>
      </c>
      <c r="J386" s="2">
        <v>2</v>
      </c>
      <c r="K386" s="2">
        <v>49.4</v>
      </c>
      <c r="L386" s="2" t="s">
        <v>3</v>
      </c>
      <c r="M386" s="2" t="s">
        <v>4</v>
      </c>
      <c r="N386" s="5">
        <f>IF(ISBLANK('Raw sheet'!L386),AVERAGE('Raw sheet'!$L$2:'Raw sheet'!$L$1500),'Raw sheet'!L386)</f>
        <v>7.8</v>
      </c>
      <c r="O386" s="5" t="str">
        <f>IF(Table1[[#This Row],[Stress_Index]]&gt;=8,"High",IF(N386&gt;=5,"Medium","Low"))</f>
        <v>Medium</v>
      </c>
      <c r="P386" s="3">
        <v>0.83</v>
      </c>
      <c r="Q386" s="2">
        <v>0.53</v>
      </c>
      <c r="R386" s="3">
        <v>0.41</v>
      </c>
      <c r="S386" s="3" t="str">
        <f>IF(Table1[[#This Row],[CGPA]]&gt;=3,"High",IF(R385&gt;=2,"Medium","Low"))</f>
        <v>Medium</v>
      </c>
      <c r="T386" s="2" t="s">
        <v>10</v>
      </c>
      <c r="U386" s="2" t="s">
        <v>14</v>
      </c>
      <c r="V386" s="2" t="s">
        <v>9</v>
      </c>
      <c r="W386" s="7">
        <v>0</v>
      </c>
      <c r="X386" t="str">
        <f t="shared" ref="X386:X449" si="13">IF(W386=1,"Dropped Out","Active")</f>
        <v>Active</v>
      </c>
    </row>
    <row r="387" spans="1:24" x14ac:dyDescent="0.3">
      <c r="A387" s="2">
        <v>386</v>
      </c>
      <c r="B387" s="7">
        <v>21.3</v>
      </c>
      <c r="C387" s="2" t="s">
        <v>11</v>
      </c>
      <c r="D387" s="7">
        <f>IF(ISBLANK('Raw sheet'!D387),AVERAGE('Raw sheet'!$D$2:'Raw sheet'!$D$1500),'Raw sheet'!D387)</f>
        <v>29954</v>
      </c>
      <c r="E387" s="7" t="str">
        <f>IF(Table1[[#This Row],[Family_Income]]&gt;=100000,"Upper",IF(D387&gt;=50000,"Middle","Lower"))</f>
        <v>Lower</v>
      </c>
      <c r="F387" s="2" t="s">
        <v>4</v>
      </c>
      <c r="G387" s="3">
        <f>IF(ISBLANK('Raw sheet'!F387),AVERAGE('Raw sheet'!$F$2:'Raw sheet'!$F$1500),'Raw sheet'!F387)</f>
        <v>2.91</v>
      </c>
      <c r="H387" s="18">
        <v>96.5</v>
      </c>
      <c r="I387" s="9" t="str">
        <f t="shared" si="12"/>
        <v>Good</v>
      </c>
      <c r="J387" s="2">
        <v>1</v>
      </c>
      <c r="K387" s="2">
        <v>43.8</v>
      </c>
      <c r="L387" s="2" t="s">
        <v>3</v>
      </c>
      <c r="M387" s="2" t="s">
        <v>3</v>
      </c>
      <c r="N387" s="5">
        <f>IF(ISBLANK('Raw sheet'!L387),AVERAGE('Raw sheet'!$L$2:'Raw sheet'!$L$1500),'Raw sheet'!L387)</f>
        <v>3.1</v>
      </c>
      <c r="O387" s="5" t="str">
        <f>IF(Table1[[#This Row],[Stress_Index]]&gt;=8,"High",IF(N387&gt;=5,"Medium","Low"))</f>
        <v>Low</v>
      </c>
      <c r="P387" s="3">
        <v>2.64</v>
      </c>
      <c r="Q387" s="2">
        <v>2.75</v>
      </c>
      <c r="R387" s="3">
        <v>2.75</v>
      </c>
      <c r="S387" s="3" t="str">
        <f>IF(Table1[[#This Row],[CGPA]]&gt;=3,"High",IF(R386&gt;=2,"Medium","Low"))</f>
        <v>Low</v>
      </c>
      <c r="T387" s="2" t="s">
        <v>2</v>
      </c>
      <c r="U387" s="2" t="s">
        <v>6</v>
      </c>
      <c r="V387" s="2" t="s">
        <v>0</v>
      </c>
      <c r="W387" s="7">
        <v>1</v>
      </c>
      <c r="X387" t="str">
        <f t="shared" si="13"/>
        <v>Dropped Out</v>
      </c>
    </row>
    <row r="388" spans="1:24" x14ac:dyDescent="0.3">
      <c r="A388" s="2">
        <v>387</v>
      </c>
      <c r="B388" s="7">
        <v>21.8</v>
      </c>
      <c r="C388" s="2" t="s">
        <v>5</v>
      </c>
      <c r="D388" s="7">
        <f>IF(ISBLANK('Raw sheet'!D388),AVERAGE('Raw sheet'!$D$2:'Raw sheet'!$D$1500),'Raw sheet'!D388)</f>
        <v>33743</v>
      </c>
      <c r="E388" s="7" t="str">
        <f>IF(Table1[[#This Row],[Family_Income]]&gt;=100000,"Upper",IF(D388&gt;=50000,"Middle","Lower"))</f>
        <v>Lower</v>
      </c>
      <c r="F388" s="2" t="s">
        <v>4</v>
      </c>
      <c r="G388" s="3">
        <f>IF(ISBLANK('Raw sheet'!F388),AVERAGE('Raw sheet'!$F$2:'Raw sheet'!$F$1500),'Raw sheet'!F388)</f>
        <v>2.4500000000000002</v>
      </c>
      <c r="H388" s="18">
        <v>84.8</v>
      </c>
      <c r="I388" s="9" t="str">
        <f t="shared" si="12"/>
        <v>Good</v>
      </c>
      <c r="J388" s="2">
        <v>2</v>
      </c>
      <c r="K388" s="2">
        <v>14.9</v>
      </c>
      <c r="L388" s="2" t="s">
        <v>3</v>
      </c>
      <c r="M388" s="2" t="s">
        <v>4</v>
      </c>
      <c r="N388" s="5">
        <f>IF(ISBLANK('Raw sheet'!L388),AVERAGE('Raw sheet'!$L$2:'Raw sheet'!$L$1500),'Raw sheet'!L388)</f>
        <v>5.6</v>
      </c>
      <c r="O388" s="5" t="str">
        <f>IF(Table1[[#This Row],[Stress_Index]]&gt;=8,"High",IF(N388&gt;=5,"Medium","Low"))</f>
        <v>Medium</v>
      </c>
      <c r="P388" s="3">
        <v>2.27</v>
      </c>
      <c r="Q388" s="2">
        <v>2.72</v>
      </c>
      <c r="R388" s="3">
        <v>2.79</v>
      </c>
      <c r="S388" s="3" t="str">
        <f>IF(Table1[[#This Row],[CGPA]]&gt;=3,"High",IF(R387&gt;=2,"Medium","Low"))</f>
        <v>Medium</v>
      </c>
      <c r="T388" s="2" t="s">
        <v>12</v>
      </c>
      <c r="U388" s="2" t="s">
        <v>13</v>
      </c>
      <c r="V388" s="2" t="s">
        <v>0</v>
      </c>
      <c r="W388" s="7">
        <v>0</v>
      </c>
      <c r="X388" t="str">
        <f t="shared" si="13"/>
        <v>Active</v>
      </c>
    </row>
    <row r="389" spans="1:24" x14ac:dyDescent="0.3">
      <c r="A389" s="2">
        <v>388</v>
      </c>
      <c r="B389" s="7">
        <v>25.1</v>
      </c>
      <c r="C389" s="2" t="s">
        <v>11</v>
      </c>
      <c r="D389" s="7">
        <f>IF(ISBLANK('Raw sheet'!D389),AVERAGE('Raw sheet'!$D$2:'Raw sheet'!$D$1500),'Raw sheet'!D389)</f>
        <v>55686</v>
      </c>
      <c r="E389" s="7" t="str">
        <f>IF(Table1[[#This Row],[Family_Income]]&gt;=100000,"Upper",IF(D389&gt;=50000,"Middle","Lower"))</f>
        <v>Middle</v>
      </c>
      <c r="F389" s="2" t="s">
        <v>4</v>
      </c>
      <c r="G389" s="3">
        <f>IF(ISBLANK('Raw sheet'!F389),AVERAGE('Raw sheet'!$F$2:'Raw sheet'!$F$1500),'Raw sheet'!F389)</f>
        <v>3.69</v>
      </c>
      <c r="H389" s="18">
        <v>64.8</v>
      </c>
      <c r="I389" s="9" t="str">
        <f t="shared" si="12"/>
        <v>Low</v>
      </c>
      <c r="J389" s="2">
        <v>1</v>
      </c>
      <c r="K389" s="2">
        <v>28.3</v>
      </c>
      <c r="L389" s="2" t="s">
        <v>3</v>
      </c>
      <c r="M389" s="2" t="s">
        <v>4</v>
      </c>
      <c r="N389" s="5">
        <f>IF(ISBLANK('Raw sheet'!L389),AVERAGE('Raw sheet'!$L$2:'Raw sheet'!$L$1500),'Raw sheet'!L389)</f>
        <v>7.5</v>
      </c>
      <c r="O389" s="5" t="str">
        <f>IF(Table1[[#This Row],[Stress_Index]]&gt;=8,"High",IF(N389&gt;=5,"Medium","Low"))</f>
        <v>Medium</v>
      </c>
      <c r="P389" s="3">
        <v>0.86</v>
      </c>
      <c r="Q389" s="2">
        <v>1.02</v>
      </c>
      <c r="R389" s="3">
        <v>1.08</v>
      </c>
      <c r="S389" s="3" t="str">
        <f>IF(Table1[[#This Row],[CGPA]]&gt;=3,"High",IF(R388&gt;=2,"Medium","Low"))</f>
        <v>Medium</v>
      </c>
      <c r="T389" s="2" t="s">
        <v>10</v>
      </c>
      <c r="U389" s="2" t="s">
        <v>14</v>
      </c>
      <c r="V389" s="2" t="s">
        <v>0</v>
      </c>
      <c r="W389" s="7">
        <v>1</v>
      </c>
      <c r="X389" t="str">
        <f t="shared" si="13"/>
        <v>Dropped Out</v>
      </c>
    </row>
    <row r="390" spans="1:24" x14ac:dyDescent="0.3">
      <c r="A390" s="2">
        <v>389</v>
      </c>
      <c r="B390" s="7">
        <v>23.1</v>
      </c>
      <c r="C390" s="2" t="s">
        <v>5</v>
      </c>
      <c r="D390" s="7">
        <f>IF(ISBLANK('Raw sheet'!D390),AVERAGE('Raw sheet'!$D$2:'Raw sheet'!$D$1500),'Raw sheet'!D390)</f>
        <v>38587.00282087447</v>
      </c>
      <c r="E390" s="7" t="str">
        <f>IF(Table1[[#This Row],[Family_Income]]&gt;=100000,"Upper",IF(D390&gt;=50000,"Middle","Lower"))</f>
        <v>Lower</v>
      </c>
      <c r="F390" s="2" t="s">
        <v>4</v>
      </c>
      <c r="G390" s="3">
        <f>IF(ISBLANK('Raw sheet'!F390),AVERAGE('Raw sheet'!$F$2:'Raw sheet'!$F$1500),'Raw sheet'!F390)</f>
        <v>4.0178702397743278</v>
      </c>
      <c r="H390" s="18">
        <v>94.9</v>
      </c>
      <c r="I390" s="9" t="str">
        <f t="shared" si="12"/>
        <v>Good</v>
      </c>
      <c r="J390" s="2">
        <v>1</v>
      </c>
      <c r="K390" s="2">
        <v>35.5</v>
      </c>
      <c r="L390" s="2" t="s">
        <v>4</v>
      </c>
      <c r="M390" s="2" t="s">
        <v>3</v>
      </c>
      <c r="N390" s="5">
        <f>IF(ISBLANK('Raw sheet'!L390),AVERAGE('Raw sheet'!$L$2:'Raw sheet'!$L$1500),'Raw sheet'!L390)</f>
        <v>5.5242595204513369</v>
      </c>
      <c r="O390" s="5" t="str">
        <f>IF(Table1[[#This Row],[Stress_Index]]&gt;=8,"High",IF(N390&gt;=5,"Medium","Low"))</f>
        <v>Medium</v>
      </c>
      <c r="P390" s="3">
        <v>2.4500000000000002</v>
      </c>
      <c r="Q390" s="2">
        <v>2.11</v>
      </c>
      <c r="R390" s="3">
        <v>2.11</v>
      </c>
      <c r="S390" s="3" t="str">
        <f>IF(Table1[[#This Row],[CGPA]]&gt;=3,"High",IF(R389&gt;=2,"Medium","Low"))</f>
        <v>Low</v>
      </c>
      <c r="T390" s="2" t="s">
        <v>2</v>
      </c>
      <c r="U390" s="2" t="s">
        <v>6</v>
      </c>
      <c r="V390" s="2" t="s">
        <v>9</v>
      </c>
      <c r="W390" s="7">
        <v>0</v>
      </c>
      <c r="X390" t="str">
        <f t="shared" si="13"/>
        <v>Active</v>
      </c>
    </row>
    <row r="391" spans="1:24" x14ac:dyDescent="0.3">
      <c r="A391" s="2">
        <v>390</v>
      </c>
      <c r="B391" s="7">
        <v>19.7</v>
      </c>
      <c r="C391" s="2" t="s">
        <v>5</v>
      </c>
      <c r="D391" s="7">
        <f>IF(ISBLANK('Raw sheet'!D391),AVERAGE('Raw sheet'!$D$2:'Raw sheet'!$D$1500),'Raw sheet'!D391)</f>
        <v>25000</v>
      </c>
      <c r="E391" s="7" t="str">
        <f>IF(Table1[[#This Row],[Family_Income]]&gt;=100000,"Upper",IF(D391&gt;=50000,"Middle","Lower"))</f>
        <v>Lower</v>
      </c>
      <c r="F391" s="2" t="s">
        <v>4</v>
      </c>
      <c r="G391" s="3">
        <f>IF(ISBLANK('Raw sheet'!F391),AVERAGE('Raw sheet'!$F$2:'Raw sheet'!$F$1500),'Raw sheet'!F391)</f>
        <v>3.8</v>
      </c>
      <c r="H391" s="18">
        <v>80.099999999999994</v>
      </c>
      <c r="I391" s="9" t="str">
        <f t="shared" si="12"/>
        <v>Good</v>
      </c>
      <c r="J391" s="2">
        <v>2</v>
      </c>
      <c r="K391" s="2">
        <v>19.8</v>
      </c>
      <c r="L391" s="2" t="s">
        <v>3</v>
      </c>
      <c r="M391" s="2" t="s">
        <v>3</v>
      </c>
      <c r="N391" s="5">
        <f>IF(ISBLANK('Raw sheet'!L391),AVERAGE('Raw sheet'!$L$2:'Raw sheet'!$L$1500),'Raw sheet'!L391)</f>
        <v>6.4</v>
      </c>
      <c r="O391" s="5" t="str">
        <f>IF(Table1[[#This Row],[Stress_Index]]&gt;=8,"High",IF(N391&gt;=5,"Medium","Low"))</f>
        <v>Medium</v>
      </c>
      <c r="P391" s="3">
        <v>1.1599999999999999</v>
      </c>
      <c r="Q391" s="2">
        <v>0.92</v>
      </c>
      <c r="R391" s="3">
        <v>0.83</v>
      </c>
      <c r="S391" s="3" t="str">
        <f>IF(Table1[[#This Row],[CGPA]]&gt;=3,"High",IF(R390&gt;=2,"Medium","Low"))</f>
        <v>Medium</v>
      </c>
      <c r="T391" s="2" t="s">
        <v>7</v>
      </c>
      <c r="U391" s="2" t="s">
        <v>8</v>
      </c>
      <c r="V391" s="2" t="s">
        <v>9</v>
      </c>
      <c r="W391" s="7">
        <v>0</v>
      </c>
      <c r="X391" t="str">
        <f t="shared" si="13"/>
        <v>Active</v>
      </c>
    </row>
    <row r="392" spans="1:24" x14ac:dyDescent="0.3">
      <c r="A392" s="2">
        <v>391</v>
      </c>
      <c r="B392" s="7">
        <v>19</v>
      </c>
      <c r="C392" s="2" t="s">
        <v>11</v>
      </c>
      <c r="D392" s="7">
        <f>IF(ISBLANK('Raw sheet'!D392),AVERAGE('Raw sheet'!$D$2:'Raw sheet'!$D$1500),'Raw sheet'!D392)</f>
        <v>31004</v>
      </c>
      <c r="E392" s="7" t="str">
        <f>IF(Table1[[#This Row],[Family_Income]]&gt;=100000,"Upper",IF(D392&gt;=50000,"Middle","Lower"))</f>
        <v>Lower</v>
      </c>
      <c r="F392" s="2" t="s">
        <v>3</v>
      </c>
      <c r="G392" s="3">
        <f>IF(ISBLANK('Raw sheet'!F392),AVERAGE('Raw sheet'!$F$2:'Raw sheet'!$F$1500),'Raw sheet'!F392)</f>
        <v>5.57</v>
      </c>
      <c r="H392" s="18">
        <v>65.7</v>
      </c>
      <c r="I392" s="9" t="str">
        <f t="shared" si="12"/>
        <v>Low</v>
      </c>
      <c r="J392" s="2">
        <v>0</v>
      </c>
      <c r="K392" s="2">
        <v>25.8</v>
      </c>
      <c r="L392" s="2" t="s">
        <v>3</v>
      </c>
      <c r="M392" s="2" t="s">
        <v>3</v>
      </c>
      <c r="N392" s="5">
        <f>IF(ISBLANK('Raw sheet'!L392),AVERAGE('Raw sheet'!$L$2:'Raw sheet'!$L$1500),'Raw sheet'!L392)</f>
        <v>6.5</v>
      </c>
      <c r="O392" s="5" t="str">
        <f>IF(Table1[[#This Row],[Stress_Index]]&gt;=8,"High",IF(N392&gt;=5,"Medium","Low"))</f>
        <v>Medium</v>
      </c>
      <c r="P392" s="3">
        <v>2.4700000000000002</v>
      </c>
      <c r="Q392" s="2">
        <v>2.2999999999999998</v>
      </c>
      <c r="R392" s="3">
        <v>2.2999999999999998</v>
      </c>
      <c r="S392" s="3" t="str">
        <f>IF(Table1[[#This Row],[CGPA]]&gt;=3,"High",IF(R391&gt;=2,"Medium","Low"))</f>
        <v>Low</v>
      </c>
      <c r="T392" s="2" t="s">
        <v>10</v>
      </c>
      <c r="U392" s="2" t="s">
        <v>13</v>
      </c>
      <c r="V392" s="2" t="s">
        <v>15</v>
      </c>
      <c r="W392" s="7">
        <v>0</v>
      </c>
      <c r="X392" t="str">
        <f t="shared" si="13"/>
        <v>Active</v>
      </c>
    </row>
    <row r="393" spans="1:24" x14ac:dyDescent="0.3">
      <c r="A393" s="2">
        <v>392</v>
      </c>
      <c r="B393" s="7">
        <v>22.1</v>
      </c>
      <c r="C393" s="2" t="s">
        <v>5</v>
      </c>
      <c r="D393" s="7">
        <f>IF(ISBLANK('Raw sheet'!D393),AVERAGE('Raw sheet'!$D$2:'Raw sheet'!$D$1500),'Raw sheet'!D393)</f>
        <v>35767</v>
      </c>
      <c r="E393" s="7" t="str">
        <f>IF(Table1[[#This Row],[Family_Income]]&gt;=100000,"Upper",IF(D393&gt;=50000,"Middle","Lower"))</f>
        <v>Lower</v>
      </c>
      <c r="F393" s="2" t="s">
        <v>4</v>
      </c>
      <c r="G393" s="3">
        <f>IF(ISBLANK('Raw sheet'!F393),AVERAGE('Raw sheet'!$F$2:'Raw sheet'!$F$1500),'Raw sheet'!F393)</f>
        <v>5.21</v>
      </c>
      <c r="H393" s="18">
        <v>78.8</v>
      </c>
      <c r="I393" s="9" t="str">
        <f t="shared" si="12"/>
        <v>Good</v>
      </c>
      <c r="J393" s="2">
        <v>2</v>
      </c>
      <c r="K393" s="2">
        <v>38.1</v>
      </c>
      <c r="L393" s="2" t="s">
        <v>4</v>
      </c>
      <c r="M393" s="2" t="s">
        <v>3</v>
      </c>
      <c r="N393" s="5">
        <f>IF(ISBLANK('Raw sheet'!L393),AVERAGE('Raw sheet'!$L$2:'Raw sheet'!$L$1500),'Raw sheet'!L393)</f>
        <v>6.8</v>
      </c>
      <c r="O393" s="5" t="str">
        <f>IF(Table1[[#This Row],[Stress_Index]]&gt;=8,"High",IF(N393&gt;=5,"Medium","Low"))</f>
        <v>Medium</v>
      </c>
      <c r="P393" s="3">
        <v>1.78</v>
      </c>
      <c r="Q393" s="2">
        <v>1.52</v>
      </c>
      <c r="R393" s="3">
        <v>1.52</v>
      </c>
      <c r="S393" s="3" t="str">
        <f>IF(Table1[[#This Row],[CGPA]]&gt;=3,"High",IF(R392&gt;=2,"Medium","Low"))</f>
        <v>Medium</v>
      </c>
      <c r="T393" s="2" t="s">
        <v>2</v>
      </c>
      <c r="U393" s="2" t="s">
        <v>6</v>
      </c>
      <c r="V393" s="2" t="s">
        <v>0</v>
      </c>
      <c r="W393" s="7">
        <v>0</v>
      </c>
      <c r="X393" t="str">
        <f t="shared" si="13"/>
        <v>Active</v>
      </c>
    </row>
    <row r="394" spans="1:24" x14ac:dyDescent="0.3">
      <c r="A394" s="2">
        <v>393</v>
      </c>
      <c r="B394" s="7">
        <v>18.100000000000001</v>
      </c>
      <c r="C394" s="2" t="s">
        <v>11</v>
      </c>
      <c r="D394" s="7">
        <f>IF(ISBLANK('Raw sheet'!D394),AVERAGE('Raw sheet'!$D$2:'Raw sheet'!$D$1500),'Raw sheet'!D394)</f>
        <v>25395</v>
      </c>
      <c r="E394" s="7" t="str">
        <f>IF(Table1[[#This Row],[Family_Income]]&gt;=100000,"Upper",IF(D394&gt;=50000,"Middle","Lower"))</f>
        <v>Lower</v>
      </c>
      <c r="F394" s="2" t="s">
        <v>4</v>
      </c>
      <c r="G394" s="3">
        <f>IF(ISBLANK('Raw sheet'!F394),AVERAGE('Raw sheet'!$F$2:'Raw sheet'!$F$1500),'Raw sheet'!F394)</f>
        <v>4.63</v>
      </c>
      <c r="H394" s="18">
        <v>82.3</v>
      </c>
      <c r="I394" s="9" t="str">
        <f t="shared" si="12"/>
        <v>Good</v>
      </c>
      <c r="J394" s="2">
        <v>2</v>
      </c>
      <c r="K394" s="2">
        <v>33</v>
      </c>
      <c r="L394" s="2" t="s">
        <v>3</v>
      </c>
      <c r="M394" s="2" t="s">
        <v>3</v>
      </c>
      <c r="N394" s="5">
        <f>IF(ISBLANK('Raw sheet'!L394),AVERAGE('Raw sheet'!$L$2:'Raw sheet'!$L$1500),'Raw sheet'!L394)</f>
        <v>6.1</v>
      </c>
      <c r="O394" s="5" t="str">
        <f>IF(Table1[[#This Row],[Stress_Index]]&gt;=8,"High",IF(N394&gt;=5,"Medium","Low"))</f>
        <v>Medium</v>
      </c>
      <c r="P394" s="3">
        <v>3.22</v>
      </c>
      <c r="Q394" s="2">
        <v>3.23</v>
      </c>
      <c r="R394" s="3">
        <v>3.28</v>
      </c>
      <c r="S394" s="3" t="str">
        <f>IF(Table1[[#This Row],[CGPA]]&gt;=3,"High",IF(R393&gt;=2,"Medium","Low"))</f>
        <v>High</v>
      </c>
      <c r="T394" s="2" t="s">
        <v>7</v>
      </c>
      <c r="U394" s="2" t="s">
        <v>14</v>
      </c>
      <c r="V394" s="2" t="s">
        <v>0</v>
      </c>
      <c r="W394" s="7">
        <v>0</v>
      </c>
      <c r="X394" t="str">
        <f t="shared" si="13"/>
        <v>Active</v>
      </c>
    </row>
    <row r="395" spans="1:24" x14ac:dyDescent="0.3">
      <c r="A395" s="2">
        <v>394</v>
      </c>
      <c r="B395" s="7">
        <v>25</v>
      </c>
      <c r="C395" s="2" t="s">
        <v>5</v>
      </c>
      <c r="D395" s="7">
        <f>IF(ISBLANK('Raw sheet'!D395),AVERAGE('Raw sheet'!$D$2:'Raw sheet'!$D$1500),'Raw sheet'!D395)</f>
        <v>71987</v>
      </c>
      <c r="E395" s="7" t="str">
        <f>IF(Table1[[#This Row],[Family_Income]]&gt;=100000,"Upper",IF(D395&gt;=50000,"Middle","Lower"))</f>
        <v>Middle</v>
      </c>
      <c r="F395" s="2" t="s">
        <v>4</v>
      </c>
      <c r="G395" s="3">
        <f>IF(ISBLANK('Raw sheet'!F395),AVERAGE('Raw sheet'!$F$2:'Raw sheet'!$F$1500),'Raw sheet'!F395)</f>
        <v>7.13</v>
      </c>
      <c r="H395" s="18">
        <v>73.599999999999994</v>
      </c>
      <c r="I395" s="9" t="str">
        <f t="shared" si="12"/>
        <v>Low</v>
      </c>
      <c r="J395" s="2">
        <v>1</v>
      </c>
      <c r="K395" s="2">
        <v>30</v>
      </c>
      <c r="L395" s="2" t="s">
        <v>4</v>
      </c>
      <c r="M395" s="2" t="s">
        <v>3</v>
      </c>
      <c r="N395" s="5">
        <f>IF(ISBLANK('Raw sheet'!L395),AVERAGE('Raw sheet'!$L$2:'Raw sheet'!$L$1500),'Raw sheet'!L395)</f>
        <v>6.6</v>
      </c>
      <c r="O395" s="5" t="str">
        <f>IF(Table1[[#This Row],[Stress_Index]]&gt;=8,"High",IF(N395&gt;=5,"Medium","Low"))</f>
        <v>Medium</v>
      </c>
      <c r="P395" s="3">
        <v>2.48</v>
      </c>
      <c r="Q395" s="2">
        <v>2.38</v>
      </c>
      <c r="R395" s="3">
        <v>2.38</v>
      </c>
      <c r="S395" s="3" t="str">
        <f>IF(Table1[[#This Row],[CGPA]]&gt;=3,"High",IF(R394&gt;=2,"Medium","Low"))</f>
        <v>Medium</v>
      </c>
      <c r="T395" s="2" t="s">
        <v>2</v>
      </c>
      <c r="U395" s="2" t="s">
        <v>1</v>
      </c>
      <c r="V395" s="2" t="s">
        <v>15</v>
      </c>
      <c r="W395" s="7">
        <v>0</v>
      </c>
      <c r="X395" t="str">
        <f t="shared" si="13"/>
        <v>Active</v>
      </c>
    </row>
    <row r="396" spans="1:24" x14ac:dyDescent="0.3">
      <c r="A396" s="2">
        <v>395</v>
      </c>
      <c r="B396" s="7">
        <v>23.6</v>
      </c>
      <c r="C396" s="2" t="s">
        <v>5</v>
      </c>
      <c r="D396" s="7">
        <f>IF(ISBLANK('Raw sheet'!D396),AVERAGE('Raw sheet'!$D$2:'Raw sheet'!$D$1500),'Raw sheet'!D396)</f>
        <v>25000</v>
      </c>
      <c r="E396" s="7" t="str">
        <f>IF(Table1[[#This Row],[Family_Income]]&gt;=100000,"Upper",IF(D396&gt;=50000,"Middle","Lower"))</f>
        <v>Lower</v>
      </c>
      <c r="F396" s="2" t="s">
        <v>4</v>
      </c>
      <c r="G396" s="3">
        <f>IF(ISBLANK('Raw sheet'!F396),AVERAGE('Raw sheet'!$F$2:'Raw sheet'!$F$1500),'Raw sheet'!F396)</f>
        <v>4.33</v>
      </c>
      <c r="H396" s="18">
        <v>69.7</v>
      </c>
      <c r="I396" s="9" t="str">
        <f t="shared" si="12"/>
        <v>Low</v>
      </c>
      <c r="J396" s="2">
        <v>1</v>
      </c>
      <c r="K396" s="2">
        <v>22.2</v>
      </c>
      <c r="L396" s="2" t="s">
        <v>3</v>
      </c>
      <c r="M396" s="2" t="s">
        <v>3</v>
      </c>
      <c r="N396" s="5">
        <f>IF(ISBLANK('Raw sheet'!L396),AVERAGE('Raw sheet'!$L$2:'Raw sheet'!$L$1500),'Raw sheet'!L396)</f>
        <v>6.3</v>
      </c>
      <c r="O396" s="5" t="str">
        <f>IF(Table1[[#This Row],[Stress_Index]]&gt;=8,"High",IF(N396&gt;=5,"Medium","Low"))</f>
        <v>Medium</v>
      </c>
      <c r="P396" s="3">
        <v>1.24</v>
      </c>
      <c r="Q396" s="2">
        <v>1</v>
      </c>
      <c r="R396" s="3">
        <v>0.97</v>
      </c>
      <c r="S396" s="3" t="str">
        <f>IF(Table1[[#This Row],[CGPA]]&gt;=3,"High",IF(R395&gt;=2,"Medium","Low"))</f>
        <v>Medium</v>
      </c>
      <c r="T396" s="2" t="s">
        <v>12</v>
      </c>
      <c r="U396" s="2" t="s">
        <v>8</v>
      </c>
      <c r="V396" s="2" t="s">
        <v>16</v>
      </c>
      <c r="W396" s="7">
        <v>1</v>
      </c>
      <c r="X396" t="str">
        <f t="shared" si="13"/>
        <v>Dropped Out</v>
      </c>
    </row>
    <row r="397" spans="1:24" x14ac:dyDescent="0.3">
      <c r="A397" s="2">
        <v>396</v>
      </c>
      <c r="B397" s="7">
        <v>20</v>
      </c>
      <c r="C397" s="2" t="s">
        <v>11</v>
      </c>
      <c r="D397" s="7">
        <f>IF(ISBLANK('Raw sheet'!D397),AVERAGE('Raw sheet'!$D$2:'Raw sheet'!$D$1500),'Raw sheet'!D397)</f>
        <v>58223</v>
      </c>
      <c r="E397" s="7" t="str">
        <f>IF(Table1[[#This Row],[Family_Income]]&gt;=100000,"Upper",IF(D397&gt;=50000,"Middle","Lower"))</f>
        <v>Middle</v>
      </c>
      <c r="F397" s="2" t="s">
        <v>4</v>
      </c>
      <c r="G397" s="3">
        <f>IF(ISBLANK('Raw sheet'!F397),AVERAGE('Raw sheet'!$F$2:'Raw sheet'!$F$1500),'Raw sheet'!F397)</f>
        <v>2.82</v>
      </c>
      <c r="H397" s="18">
        <v>84.4</v>
      </c>
      <c r="I397" s="9" t="str">
        <f t="shared" si="12"/>
        <v>Good</v>
      </c>
      <c r="J397" s="2">
        <v>2</v>
      </c>
      <c r="K397" s="2">
        <v>12.7</v>
      </c>
      <c r="L397" s="2" t="s">
        <v>3</v>
      </c>
      <c r="M397" s="2" t="s">
        <v>3</v>
      </c>
      <c r="N397" s="5">
        <f>IF(ISBLANK('Raw sheet'!L397),AVERAGE('Raw sheet'!$L$2:'Raw sheet'!$L$1500),'Raw sheet'!L397)</f>
        <v>7.6</v>
      </c>
      <c r="O397" s="5" t="str">
        <f>IF(Table1[[#This Row],[Stress_Index]]&gt;=8,"High",IF(N397&gt;=5,"Medium","Low"))</f>
        <v>Medium</v>
      </c>
      <c r="P397" s="3">
        <v>2.52</v>
      </c>
      <c r="Q397" s="2">
        <v>2.82</v>
      </c>
      <c r="R397" s="3">
        <v>2.82</v>
      </c>
      <c r="S397" s="3" t="str">
        <f>IF(Table1[[#This Row],[CGPA]]&gt;=3,"High",IF(R396&gt;=2,"Medium","Low"))</f>
        <v>Low</v>
      </c>
      <c r="T397" s="2" t="s">
        <v>2</v>
      </c>
      <c r="U397" s="2" t="s">
        <v>14</v>
      </c>
      <c r="V397" s="2" t="s">
        <v>0</v>
      </c>
      <c r="W397" s="7">
        <v>0</v>
      </c>
      <c r="X397" t="str">
        <f t="shared" si="13"/>
        <v>Active</v>
      </c>
    </row>
    <row r="398" spans="1:24" x14ac:dyDescent="0.3">
      <c r="A398" s="2">
        <v>397</v>
      </c>
      <c r="B398" s="7">
        <v>17.2</v>
      </c>
      <c r="C398" s="2" t="s">
        <v>5</v>
      </c>
      <c r="D398" s="7">
        <f>IF(ISBLANK('Raw sheet'!D398),AVERAGE('Raw sheet'!$D$2:'Raw sheet'!$D$1500),'Raw sheet'!D398)</f>
        <v>47796</v>
      </c>
      <c r="E398" s="7" t="str">
        <f>IF(Table1[[#This Row],[Family_Income]]&gt;=100000,"Upper",IF(D398&gt;=50000,"Middle","Lower"))</f>
        <v>Lower</v>
      </c>
      <c r="F398" s="2" t="s">
        <v>4</v>
      </c>
      <c r="G398" s="3">
        <f>IF(ISBLANK('Raw sheet'!F398),AVERAGE('Raw sheet'!$F$2:'Raw sheet'!$F$1500),'Raw sheet'!F398)</f>
        <v>5.09</v>
      </c>
      <c r="H398" s="18">
        <v>72</v>
      </c>
      <c r="I398" s="9" t="str">
        <f t="shared" si="12"/>
        <v>Low</v>
      </c>
      <c r="J398" s="2">
        <v>4</v>
      </c>
      <c r="K398" s="2">
        <v>26.3</v>
      </c>
      <c r="L398" s="2" t="s">
        <v>3</v>
      </c>
      <c r="M398" s="2" t="s">
        <v>3</v>
      </c>
      <c r="N398" s="5">
        <f>IF(ISBLANK('Raw sheet'!L398),AVERAGE('Raw sheet'!$L$2:'Raw sheet'!$L$1500),'Raw sheet'!L398)</f>
        <v>4.2</v>
      </c>
      <c r="O398" s="5" t="str">
        <f>IF(Table1[[#This Row],[Stress_Index]]&gt;=8,"High",IF(N398&gt;=5,"Medium","Low"))</f>
        <v>Low</v>
      </c>
      <c r="P398" s="3">
        <v>3.03</v>
      </c>
      <c r="Q398" s="2">
        <v>3.6</v>
      </c>
      <c r="R398" s="3">
        <v>3.6</v>
      </c>
      <c r="S398" s="3" t="str">
        <f>IF(Table1[[#This Row],[CGPA]]&gt;=3,"High",IF(R397&gt;=2,"Medium","Low"))</f>
        <v>High</v>
      </c>
      <c r="T398" s="2" t="s">
        <v>2</v>
      </c>
      <c r="U398" s="2" t="s">
        <v>14</v>
      </c>
      <c r="V398" s="2" t="s">
        <v>9</v>
      </c>
      <c r="W398" s="7">
        <v>0</v>
      </c>
      <c r="X398" t="str">
        <f t="shared" si="13"/>
        <v>Active</v>
      </c>
    </row>
    <row r="399" spans="1:24" x14ac:dyDescent="0.3">
      <c r="A399" s="2">
        <v>398</v>
      </c>
      <c r="B399" s="7">
        <v>24</v>
      </c>
      <c r="C399" s="2" t="s">
        <v>11</v>
      </c>
      <c r="D399" s="7">
        <f>IF(ISBLANK('Raw sheet'!D399),AVERAGE('Raw sheet'!$D$2:'Raw sheet'!$D$1500),'Raw sheet'!D399)</f>
        <v>39107</v>
      </c>
      <c r="E399" s="7" t="str">
        <f>IF(Table1[[#This Row],[Family_Income]]&gt;=100000,"Upper",IF(D399&gt;=50000,"Middle","Lower"))</f>
        <v>Lower</v>
      </c>
      <c r="F399" s="2" t="s">
        <v>4</v>
      </c>
      <c r="G399" s="3">
        <f>IF(ISBLANK('Raw sheet'!F399),AVERAGE('Raw sheet'!$F$2:'Raw sheet'!$F$1500),'Raw sheet'!F399)</f>
        <v>4.18</v>
      </c>
      <c r="H399" s="18">
        <v>73.8</v>
      </c>
      <c r="I399" s="9" t="str">
        <f t="shared" si="12"/>
        <v>Low</v>
      </c>
      <c r="J399" s="2">
        <v>3</v>
      </c>
      <c r="K399" s="2">
        <v>28.9</v>
      </c>
      <c r="L399" s="2" t="s">
        <v>4</v>
      </c>
      <c r="M399" s="2" t="s">
        <v>3</v>
      </c>
      <c r="N399" s="5">
        <f>IF(ISBLANK('Raw sheet'!L399),AVERAGE('Raw sheet'!$L$2:'Raw sheet'!$L$1500),'Raw sheet'!L399)</f>
        <v>6.1</v>
      </c>
      <c r="O399" s="5" t="str">
        <f>IF(Table1[[#This Row],[Stress_Index]]&gt;=8,"High",IF(N399&gt;=5,"Medium","Low"))</f>
        <v>Medium</v>
      </c>
      <c r="P399" s="3">
        <v>1.97</v>
      </c>
      <c r="Q399" s="2">
        <v>2.42</v>
      </c>
      <c r="R399" s="3">
        <v>2.35</v>
      </c>
      <c r="S399" s="3" t="str">
        <f>IF(Table1[[#This Row],[CGPA]]&gt;=3,"High",IF(R398&gt;=2,"Medium","Low"))</f>
        <v>Medium</v>
      </c>
      <c r="T399" s="2" t="s">
        <v>7</v>
      </c>
      <c r="U399" s="2" t="s">
        <v>14</v>
      </c>
      <c r="V399" s="2" t="s">
        <v>9</v>
      </c>
      <c r="W399" s="7">
        <v>0</v>
      </c>
      <c r="X399" t="str">
        <f t="shared" si="13"/>
        <v>Active</v>
      </c>
    </row>
    <row r="400" spans="1:24" x14ac:dyDescent="0.3">
      <c r="A400" s="2">
        <v>399</v>
      </c>
      <c r="B400" s="7">
        <v>20.7</v>
      </c>
      <c r="C400" s="2" t="s">
        <v>11</v>
      </c>
      <c r="D400" s="7">
        <f>IF(ISBLANK('Raw sheet'!D400),AVERAGE('Raw sheet'!$D$2:'Raw sheet'!$D$1500),'Raw sheet'!D400)</f>
        <v>25000</v>
      </c>
      <c r="E400" s="7" t="str">
        <f>IF(Table1[[#This Row],[Family_Income]]&gt;=100000,"Upper",IF(D400&gt;=50000,"Middle","Lower"))</f>
        <v>Lower</v>
      </c>
      <c r="F400" s="2" t="s">
        <v>4</v>
      </c>
      <c r="G400" s="3">
        <f>IF(ISBLANK('Raw sheet'!F400),AVERAGE('Raw sheet'!$F$2:'Raw sheet'!$F$1500),'Raw sheet'!F400)</f>
        <v>4.05</v>
      </c>
      <c r="H400" s="18">
        <v>92.9</v>
      </c>
      <c r="I400" s="9" t="str">
        <f t="shared" si="12"/>
        <v>Good</v>
      </c>
      <c r="J400" s="2">
        <v>2</v>
      </c>
      <c r="K400" s="2">
        <v>12.4</v>
      </c>
      <c r="L400" s="2" t="s">
        <v>3</v>
      </c>
      <c r="M400" s="2" t="s">
        <v>3</v>
      </c>
      <c r="N400" s="5">
        <f>IF(ISBLANK('Raw sheet'!L400),AVERAGE('Raw sheet'!$L$2:'Raw sheet'!$L$1500),'Raw sheet'!L400)</f>
        <v>7.7</v>
      </c>
      <c r="O400" s="5" t="str">
        <f>IF(Table1[[#This Row],[Stress_Index]]&gt;=8,"High",IF(N400&gt;=5,"Medium","Low"))</f>
        <v>Medium</v>
      </c>
      <c r="P400" s="3">
        <v>2.35</v>
      </c>
      <c r="Q400" s="2">
        <v>2.41</v>
      </c>
      <c r="R400" s="3">
        <v>2.38</v>
      </c>
      <c r="S400" s="3" t="str">
        <f>IF(Table1[[#This Row],[CGPA]]&gt;=3,"High",IF(R399&gt;=2,"Medium","Low"))</f>
        <v>Medium</v>
      </c>
      <c r="T400" s="2" t="s">
        <v>12</v>
      </c>
      <c r="U400" s="2" t="s">
        <v>6</v>
      </c>
      <c r="V400" s="2" t="s">
        <v>9</v>
      </c>
      <c r="W400" s="7">
        <v>0</v>
      </c>
      <c r="X400" t="str">
        <f t="shared" si="13"/>
        <v>Active</v>
      </c>
    </row>
    <row r="401" spans="1:24" x14ac:dyDescent="0.3">
      <c r="A401" s="2">
        <v>400</v>
      </c>
      <c r="B401" s="7">
        <v>23.7</v>
      </c>
      <c r="C401" s="2" t="s">
        <v>11</v>
      </c>
      <c r="D401" s="7">
        <f>IF(ISBLANK('Raw sheet'!D401),AVERAGE('Raw sheet'!$D$2:'Raw sheet'!$D$1500),'Raw sheet'!D401)</f>
        <v>64237</v>
      </c>
      <c r="E401" s="7" t="str">
        <f>IF(Table1[[#This Row],[Family_Income]]&gt;=100000,"Upper",IF(D401&gt;=50000,"Middle","Lower"))</f>
        <v>Middle</v>
      </c>
      <c r="F401" s="2" t="s">
        <v>4</v>
      </c>
      <c r="G401" s="3">
        <f>IF(ISBLANK('Raw sheet'!F401),AVERAGE('Raw sheet'!$F$2:'Raw sheet'!$F$1500),'Raw sheet'!F401)</f>
        <v>4.38</v>
      </c>
      <c r="H401" s="18">
        <v>79.400000000000006</v>
      </c>
      <c r="I401" s="9" t="str">
        <f t="shared" si="12"/>
        <v>Good</v>
      </c>
      <c r="J401" s="2">
        <v>3</v>
      </c>
      <c r="K401" s="2">
        <v>30.6</v>
      </c>
      <c r="L401" s="2" t="s">
        <v>4</v>
      </c>
      <c r="M401" s="2" t="s">
        <v>3</v>
      </c>
      <c r="N401" s="5">
        <f>IF(ISBLANK('Raw sheet'!L401),AVERAGE('Raw sheet'!$L$2:'Raw sheet'!$L$1500),'Raw sheet'!L401)</f>
        <v>4.0999999999999996</v>
      </c>
      <c r="O401" s="5" t="str">
        <f>IF(Table1[[#This Row],[Stress_Index]]&gt;=8,"High",IF(N401&gt;=5,"Medium","Low"))</f>
        <v>Low</v>
      </c>
      <c r="P401" s="3">
        <v>1.97</v>
      </c>
      <c r="Q401" s="2">
        <v>1.59</v>
      </c>
      <c r="R401" s="3">
        <v>1.53</v>
      </c>
      <c r="S401" s="3" t="str">
        <f>IF(Table1[[#This Row],[CGPA]]&gt;=3,"High",IF(R400&gt;=2,"Medium","Low"))</f>
        <v>Medium</v>
      </c>
      <c r="T401" s="2" t="s">
        <v>10</v>
      </c>
      <c r="U401" s="2" t="s">
        <v>8</v>
      </c>
      <c r="V401" s="2" t="s">
        <v>15</v>
      </c>
      <c r="W401" s="7">
        <v>0</v>
      </c>
      <c r="X401" t="str">
        <f t="shared" si="13"/>
        <v>Active</v>
      </c>
    </row>
    <row r="402" spans="1:24" x14ac:dyDescent="0.3">
      <c r="A402" s="2">
        <v>401</v>
      </c>
      <c r="B402" s="7">
        <v>17.5</v>
      </c>
      <c r="C402" s="2" t="s">
        <v>11</v>
      </c>
      <c r="D402" s="7">
        <f>IF(ISBLANK('Raw sheet'!D402),AVERAGE('Raw sheet'!$D$2:'Raw sheet'!$D$1500),'Raw sheet'!D402)</f>
        <v>25000</v>
      </c>
      <c r="E402" s="7" t="str">
        <f>IF(Table1[[#This Row],[Family_Income]]&gt;=100000,"Upper",IF(D402&gt;=50000,"Middle","Lower"))</f>
        <v>Lower</v>
      </c>
      <c r="F402" s="2" t="s">
        <v>4</v>
      </c>
      <c r="G402" s="3">
        <f>IF(ISBLANK('Raw sheet'!F402),AVERAGE('Raw sheet'!$F$2:'Raw sheet'!$F$1500),'Raw sheet'!F402)</f>
        <v>3.49</v>
      </c>
      <c r="H402" s="18">
        <v>72.3</v>
      </c>
      <c r="I402" s="9" t="str">
        <f t="shared" si="12"/>
        <v>Low</v>
      </c>
      <c r="J402" s="2">
        <v>0</v>
      </c>
      <c r="K402" s="2">
        <v>34.700000000000003</v>
      </c>
      <c r="L402" s="2" t="s">
        <v>3</v>
      </c>
      <c r="M402" s="2" t="s">
        <v>4</v>
      </c>
      <c r="N402" s="5">
        <f>IF(ISBLANK('Raw sheet'!L402),AVERAGE('Raw sheet'!$L$2:'Raw sheet'!$L$1500),'Raw sheet'!L402)</f>
        <v>4.3</v>
      </c>
      <c r="O402" s="5" t="str">
        <f>IF(Table1[[#This Row],[Stress_Index]]&gt;=8,"High",IF(N402&gt;=5,"Medium","Low"))</f>
        <v>Low</v>
      </c>
      <c r="P402" s="3">
        <v>3.91</v>
      </c>
      <c r="Q402" s="2">
        <v>3.93</v>
      </c>
      <c r="R402" s="3">
        <v>4</v>
      </c>
      <c r="S402" s="3" t="str">
        <f>IF(Table1[[#This Row],[CGPA]]&gt;=3,"High",IF(R401&gt;=2,"Medium","Low"))</f>
        <v>High</v>
      </c>
      <c r="T402" s="2" t="s">
        <v>7</v>
      </c>
      <c r="U402" s="2" t="s">
        <v>1</v>
      </c>
      <c r="V402" s="2" t="s">
        <v>15</v>
      </c>
      <c r="W402" s="7">
        <v>0</v>
      </c>
      <c r="X402" t="str">
        <f t="shared" si="13"/>
        <v>Active</v>
      </c>
    </row>
    <row r="403" spans="1:24" x14ac:dyDescent="0.3">
      <c r="A403" s="2">
        <v>402</v>
      </c>
      <c r="B403" s="7">
        <v>19.7</v>
      </c>
      <c r="C403" s="2" t="s">
        <v>11</v>
      </c>
      <c r="D403" s="7">
        <f>IF(ISBLANK('Raw sheet'!D403),AVERAGE('Raw sheet'!$D$2:'Raw sheet'!$D$1500),'Raw sheet'!D403)</f>
        <v>25000</v>
      </c>
      <c r="E403" s="7" t="str">
        <f>IF(Table1[[#This Row],[Family_Income]]&gt;=100000,"Upper",IF(D403&gt;=50000,"Middle","Lower"))</f>
        <v>Lower</v>
      </c>
      <c r="F403" s="2" t="s">
        <v>4</v>
      </c>
      <c r="G403" s="3">
        <f>IF(ISBLANK('Raw sheet'!F403),AVERAGE('Raw sheet'!$F$2:'Raw sheet'!$F$1500),'Raw sheet'!F403)</f>
        <v>6.43</v>
      </c>
      <c r="H403" s="18">
        <v>74.8</v>
      </c>
      <c r="I403" s="9" t="str">
        <f t="shared" si="12"/>
        <v>Low</v>
      </c>
      <c r="J403" s="2">
        <v>3</v>
      </c>
      <c r="K403" s="2">
        <v>21.7</v>
      </c>
      <c r="L403" s="2" t="s">
        <v>3</v>
      </c>
      <c r="M403" s="2" t="s">
        <v>4</v>
      </c>
      <c r="N403" s="5">
        <f>IF(ISBLANK('Raw sheet'!L403),AVERAGE('Raw sheet'!$L$2:'Raw sheet'!$L$1500),'Raw sheet'!L403)</f>
        <v>6.4</v>
      </c>
      <c r="O403" s="5" t="str">
        <f>IF(Table1[[#This Row],[Stress_Index]]&gt;=8,"High",IF(N403&gt;=5,"Medium","Low"))</f>
        <v>Medium</v>
      </c>
      <c r="P403" s="3">
        <v>4</v>
      </c>
      <c r="Q403" s="2">
        <v>3.75</v>
      </c>
      <c r="R403" s="3">
        <v>3.75</v>
      </c>
      <c r="S403" s="3" t="str">
        <f>IF(Table1[[#This Row],[CGPA]]&gt;=3,"High",IF(R402&gt;=2,"Medium","Low"))</f>
        <v>High</v>
      </c>
      <c r="T403" s="2" t="s">
        <v>2</v>
      </c>
      <c r="U403" s="2" t="s">
        <v>8</v>
      </c>
      <c r="V403" s="2" t="s">
        <v>15</v>
      </c>
      <c r="W403" s="7">
        <v>0</v>
      </c>
      <c r="X403" t="str">
        <f t="shared" si="13"/>
        <v>Active</v>
      </c>
    </row>
    <row r="404" spans="1:24" x14ac:dyDescent="0.3">
      <c r="A404" s="2">
        <v>403</v>
      </c>
      <c r="B404" s="7">
        <v>21</v>
      </c>
      <c r="C404" s="2" t="s">
        <v>5</v>
      </c>
      <c r="D404" s="7">
        <f>IF(ISBLANK('Raw sheet'!D404),AVERAGE('Raw sheet'!$D$2:'Raw sheet'!$D$1500),'Raw sheet'!D404)</f>
        <v>26840</v>
      </c>
      <c r="E404" s="7" t="str">
        <f>IF(Table1[[#This Row],[Family_Income]]&gt;=100000,"Upper",IF(D404&gt;=50000,"Middle","Lower"))</f>
        <v>Lower</v>
      </c>
      <c r="F404" s="2" t="s">
        <v>4</v>
      </c>
      <c r="G404" s="3">
        <f>IF(ISBLANK('Raw sheet'!F404),AVERAGE('Raw sheet'!$F$2:'Raw sheet'!$F$1500),'Raw sheet'!F404)</f>
        <v>1.88</v>
      </c>
      <c r="H404" s="18">
        <v>85.1</v>
      </c>
      <c r="I404" s="9" t="str">
        <f t="shared" si="12"/>
        <v>Good</v>
      </c>
      <c r="J404" s="2">
        <v>2</v>
      </c>
      <c r="K404" s="2">
        <v>34.799999999999997</v>
      </c>
      <c r="L404" s="2" t="s">
        <v>3</v>
      </c>
      <c r="M404" s="2" t="s">
        <v>4</v>
      </c>
      <c r="N404" s="5">
        <f>IF(ISBLANK('Raw sheet'!L404),AVERAGE('Raw sheet'!$L$2:'Raw sheet'!$L$1500),'Raw sheet'!L404)</f>
        <v>8</v>
      </c>
      <c r="O404" s="5" t="str">
        <f>IF(Table1[[#This Row],[Stress_Index]]&gt;=8,"High",IF(N404&gt;=5,"Medium","Low"))</f>
        <v>High</v>
      </c>
      <c r="P404" s="3">
        <v>2.8</v>
      </c>
      <c r="Q404" s="2">
        <v>2.4900000000000002</v>
      </c>
      <c r="R404" s="3">
        <v>2.5099999999999998</v>
      </c>
      <c r="S404" s="3" t="str">
        <f>IF(Table1[[#This Row],[CGPA]]&gt;=3,"High",IF(R403&gt;=2,"Medium","Low"))</f>
        <v>Medium</v>
      </c>
      <c r="T404" s="2" t="s">
        <v>12</v>
      </c>
      <c r="U404" s="2" t="s">
        <v>13</v>
      </c>
      <c r="V404" s="2" t="s">
        <v>9</v>
      </c>
      <c r="W404" s="7">
        <v>0</v>
      </c>
      <c r="X404" t="str">
        <f t="shared" si="13"/>
        <v>Active</v>
      </c>
    </row>
    <row r="405" spans="1:24" x14ac:dyDescent="0.3">
      <c r="A405" s="2">
        <v>404</v>
      </c>
      <c r="B405" s="7">
        <v>21.1</v>
      </c>
      <c r="C405" s="2" t="s">
        <v>11</v>
      </c>
      <c r="D405" s="7">
        <f>IF(ISBLANK('Raw sheet'!D405),AVERAGE('Raw sheet'!$D$2:'Raw sheet'!$D$1500),'Raw sheet'!D405)</f>
        <v>37966</v>
      </c>
      <c r="E405" s="7" t="str">
        <f>IF(Table1[[#This Row],[Family_Income]]&gt;=100000,"Upper",IF(D405&gt;=50000,"Middle","Lower"))</f>
        <v>Lower</v>
      </c>
      <c r="F405" s="2" t="s">
        <v>4</v>
      </c>
      <c r="G405" s="3">
        <f>IF(ISBLANK('Raw sheet'!F405),AVERAGE('Raw sheet'!$F$2:'Raw sheet'!$F$1500),'Raw sheet'!F405)</f>
        <v>5.0599999999999996</v>
      </c>
      <c r="H405" s="18">
        <v>85.4</v>
      </c>
      <c r="I405" s="9" t="str">
        <f t="shared" si="12"/>
        <v>Good</v>
      </c>
      <c r="J405" s="2">
        <v>3</v>
      </c>
      <c r="K405" s="2">
        <v>33.299999999999997</v>
      </c>
      <c r="L405" s="2" t="s">
        <v>3</v>
      </c>
      <c r="M405" s="2" t="s">
        <v>4</v>
      </c>
      <c r="N405" s="5">
        <f>IF(ISBLANK('Raw sheet'!L405),AVERAGE('Raw sheet'!$L$2:'Raw sheet'!$L$1500),'Raw sheet'!L405)</f>
        <v>5.3</v>
      </c>
      <c r="O405" s="5" t="str">
        <f>IF(Table1[[#This Row],[Stress_Index]]&gt;=8,"High",IF(N405&gt;=5,"Medium","Low"))</f>
        <v>Medium</v>
      </c>
      <c r="P405" s="3">
        <v>2.57</v>
      </c>
      <c r="Q405" s="2">
        <v>2.37</v>
      </c>
      <c r="R405" s="3">
        <v>2.29</v>
      </c>
      <c r="S405" s="3" t="str">
        <f>IF(Table1[[#This Row],[CGPA]]&gt;=3,"High",IF(R404&gt;=2,"Medium","Low"))</f>
        <v>Medium</v>
      </c>
      <c r="T405" s="2" t="s">
        <v>12</v>
      </c>
      <c r="U405" s="2" t="s">
        <v>14</v>
      </c>
      <c r="V405" s="2" t="s">
        <v>0</v>
      </c>
      <c r="W405" s="7">
        <v>0</v>
      </c>
      <c r="X405" t="str">
        <f t="shared" si="13"/>
        <v>Active</v>
      </c>
    </row>
    <row r="406" spans="1:24" x14ac:dyDescent="0.3">
      <c r="A406" s="2">
        <v>405</v>
      </c>
      <c r="B406" s="7">
        <v>20</v>
      </c>
      <c r="C406" s="2" t="s">
        <v>5</v>
      </c>
      <c r="D406" s="7">
        <f>IF(ISBLANK('Raw sheet'!D406),AVERAGE('Raw sheet'!$D$2:'Raw sheet'!$D$1500),'Raw sheet'!D406)</f>
        <v>43637</v>
      </c>
      <c r="E406" s="7" t="str">
        <f>IF(Table1[[#This Row],[Family_Income]]&gt;=100000,"Upper",IF(D406&gt;=50000,"Middle","Lower"))</f>
        <v>Lower</v>
      </c>
      <c r="F406" s="2" t="s">
        <v>4</v>
      </c>
      <c r="G406" s="3">
        <f>IF(ISBLANK('Raw sheet'!F406),AVERAGE('Raw sheet'!$F$2:'Raw sheet'!$F$1500),'Raw sheet'!F406)</f>
        <v>4.17</v>
      </c>
      <c r="H406" s="18">
        <v>87.3</v>
      </c>
      <c r="I406" s="9" t="str">
        <f t="shared" si="12"/>
        <v>Good</v>
      </c>
      <c r="J406" s="2">
        <v>2</v>
      </c>
      <c r="K406" s="2">
        <v>26.3</v>
      </c>
      <c r="L406" s="2" t="s">
        <v>3</v>
      </c>
      <c r="M406" s="2" t="s">
        <v>4</v>
      </c>
      <c r="N406" s="5">
        <f>IF(ISBLANK('Raw sheet'!L406),AVERAGE('Raw sheet'!$L$2:'Raw sheet'!$L$1500),'Raw sheet'!L406)</f>
        <v>5.7</v>
      </c>
      <c r="O406" s="5" t="str">
        <f>IF(Table1[[#This Row],[Stress_Index]]&gt;=8,"High",IF(N406&gt;=5,"Medium","Low"))</f>
        <v>Medium</v>
      </c>
      <c r="P406" s="3">
        <v>1.73</v>
      </c>
      <c r="Q406" s="2">
        <v>1.67</v>
      </c>
      <c r="R406" s="3">
        <v>1.67</v>
      </c>
      <c r="S406" s="3" t="str">
        <f>IF(Table1[[#This Row],[CGPA]]&gt;=3,"High",IF(R405&gt;=2,"Medium","Low"))</f>
        <v>Medium</v>
      </c>
      <c r="T406" s="2" t="s">
        <v>10</v>
      </c>
      <c r="U406" s="2" t="s">
        <v>1</v>
      </c>
      <c r="V406" s="2" t="s">
        <v>9</v>
      </c>
      <c r="W406" s="7">
        <v>0</v>
      </c>
      <c r="X406" t="str">
        <f t="shared" si="13"/>
        <v>Active</v>
      </c>
    </row>
    <row r="407" spans="1:24" x14ac:dyDescent="0.3">
      <c r="A407" s="2">
        <v>406</v>
      </c>
      <c r="B407" s="7">
        <v>22.4</v>
      </c>
      <c r="C407" s="2" t="s">
        <v>11</v>
      </c>
      <c r="D407" s="7">
        <f>IF(ISBLANK('Raw sheet'!D407),AVERAGE('Raw sheet'!$D$2:'Raw sheet'!$D$1500),'Raw sheet'!D407)</f>
        <v>50803</v>
      </c>
      <c r="E407" s="7" t="str">
        <f>IF(Table1[[#This Row],[Family_Income]]&gt;=100000,"Upper",IF(D407&gt;=50000,"Middle","Lower"))</f>
        <v>Middle</v>
      </c>
      <c r="F407" s="2" t="s">
        <v>4</v>
      </c>
      <c r="G407" s="3">
        <f>IF(ISBLANK('Raw sheet'!F407),AVERAGE('Raw sheet'!$F$2:'Raw sheet'!$F$1500),'Raw sheet'!F407)</f>
        <v>4.59</v>
      </c>
      <c r="H407" s="18">
        <v>88.4</v>
      </c>
      <c r="I407" s="9" t="str">
        <f t="shared" si="12"/>
        <v>Good</v>
      </c>
      <c r="J407" s="2">
        <v>4</v>
      </c>
      <c r="K407" s="2">
        <v>25</v>
      </c>
      <c r="L407" s="2" t="s">
        <v>3</v>
      </c>
      <c r="M407" s="2" t="s">
        <v>4</v>
      </c>
      <c r="N407" s="5">
        <f>IF(ISBLANK('Raw sheet'!L407),AVERAGE('Raw sheet'!$L$2:'Raw sheet'!$L$1500),'Raw sheet'!L407)</f>
        <v>6.2</v>
      </c>
      <c r="O407" s="5" t="str">
        <f>IF(Table1[[#This Row],[Stress_Index]]&gt;=8,"High",IF(N407&gt;=5,"Medium","Low"))</f>
        <v>Medium</v>
      </c>
      <c r="P407" s="3">
        <v>1.96</v>
      </c>
      <c r="Q407" s="2">
        <v>2.38</v>
      </c>
      <c r="R407" s="3">
        <v>2.39</v>
      </c>
      <c r="S407" s="3" t="str">
        <f>IF(Table1[[#This Row],[CGPA]]&gt;=3,"High",IF(R406&gt;=2,"Medium","Low"))</f>
        <v>Low</v>
      </c>
      <c r="T407" s="2" t="s">
        <v>7</v>
      </c>
      <c r="U407" s="2" t="s">
        <v>13</v>
      </c>
      <c r="V407" s="2" t="s">
        <v>17</v>
      </c>
      <c r="W407" s="7">
        <v>0</v>
      </c>
      <c r="X407" t="str">
        <f t="shared" si="13"/>
        <v>Active</v>
      </c>
    </row>
    <row r="408" spans="1:24" x14ac:dyDescent="0.3">
      <c r="A408" s="2">
        <v>407</v>
      </c>
      <c r="B408" s="7">
        <v>18.7</v>
      </c>
      <c r="C408" s="2" t="s">
        <v>11</v>
      </c>
      <c r="D408" s="7">
        <f>IF(ISBLANK('Raw sheet'!D408),AVERAGE('Raw sheet'!$D$2:'Raw sheet'!$D$1500),'Raw sheet'!D408)</f>
        <v>48509</v>
      </c>
      <c r="E408" s="7" t="str">
        <f>IF(Table1[[#This Row],[Family_Income]]&gt;=100000,"Upper",IF(D408&gt;=50000,"Middle","Lower"))</f>
        <v>Lower</v>
      </c>
      <c r="F408" s="2" t="s">
        <v>4</v>
      </c>
      <c r="G408" s="3">
        <f>IF(ISBLANK('Raw sheet'!F408),AVERAGE('Raw sheet'!$F$2:'Raw sheet'!$F$1500),'Raw sheet'!F408)</f>
        <v>3.51</v>
      </c>
      <c r="H408" s="18">
        <v>84.7</v>
      </c>
      <c r="I408" s="9" t="str">
        <f t="shared" si="12"/>
        <v>Good</v>
      </c>
      <c r="J408" s="2">
        <v>3</v>
      </c>
      <c r="K408" s="2">
        <v>26</v>
      </c>
      <c r="L408" s="2" t="s">
        <v>3</v>
      </c>
      <c r="M408" s="2" t="s">
        <v>3</v>
      </c>
      <c r="N408" s="5">
        <f>IF(ISBLANK('Raw sheet'!L408),AVERAGE('Raw sheet'!$L$2:'Raw sheet'!$L$1500),'Raw sheet'!L408)</f>
        <v>4.5999999999999996</v>
      </c>
      <c r="O408" s="5" t="str">
        <f>IF(Table1[[#This Row],[Stress_Index]]&gt;=8,"High",IF(N408&gt;=5,"Medium","Low"))</f>
        <v>Low</v>
      </c>
      <c r="P408" s="3">
        <v>3.6</v>
      </c>
      <c r="Q408" s="2">
        <v>3.67</v>
      </c>
      <c r="R408" s="3">
        <v>3.71</v>
      </c>
      <c r="S408" s="3" t="str">
        <f>IF(Table1[[#This Row],[CGPA]]&gt;=3,"High",IF(R407&gt;=2,"Medium","Low"))</f>
        <v>High</v>
      </c>
      <c r="T408" s="2" t="s">
        <v>10</v>
      </c>
      <c r="U408" s="2" t="s">
        <v>1</v>
      </c>
      <c r="V408" s="2" t="s">
        <v>0</v>
      </c>
      <c r="W408" s="7">
        <v>0</v>
      </c>
      <c r="X408" t="str">
        <f t="shared" si="13"/>
        <v>Active</v>
      </c>
    </row>
    <row r="409" spans="1:24" x14ac:dyDescent="0.3">
      <c r="A409" s="2">
        <v>408</v>
      </c>
      <c r="B409" s="7">
        <v>20.7</v>
      </c>
      <c r="C409" s="2" t="s">
        <v>11</v>
      </c>
      <c r="D409" s="7">
        <f>IF(ISBLANK('Raw sheet'!D409),AVERAGE('Raw sheet'!$D$2:'Raw sheet'!$D$1500),'Raw sheet'!D409)</f>
        <v>34605</v>
      </c>
      <c r="E409" s="7" t="str">
        <f>IF(Table1[[#This Row],[Family_Income]]&gt;=100000,"Upper",IF(D409&gt;=50000,"Middle","Lower"))</f>
        <v>Lower</v>
      </c>
      <c r="F409" s="2" t="s">
        <v>4</v>
      </c>
      <c r="G409" s="3">
        <f>IF(ISBLANK('Raw sheet'!F409),AVERAGE('Raw sheet'!$F$2:'Raw sheet'!$F$1500),'Raw sheet'!F409)</f>
        <v>5.97</v>
      </c>
      <c r="H409" s="18">
        <v>86.9</v>
      </c>
      <c r="I409" s="9" t="str">
        <f t="shared" si="12"/>
        <v>Good</v>
      </c>
      <c r="J409" s="2">
        <v>1</v>
      </c>
      <c r="K409" s="2">
        <v>19.7</v>
      </c>
      <c r="L409" s="2" t="s">
        <v>4</v>
      </c>
      <c r="M409" s="2" t="s">
        <v>4</v>
      </c>
      <c r="N409" s="5">
        <f>IF(ISBLANK('Raw sheet'!L409),AVERAGE('Raw sheet'!$L$2:'Raw sheet'!$L$1500),'Raw sheet'!L409)</f>
        <v>9.4</v>
      </c>
      <c r="O409" s="5" t="str">
        <f>IF(Table1[[#This Row],[Stress_Index]]&gt;=8,"High",IF(N409&gt;=5,"Medium","Low"))</f>
        <v>High</v>
      </c>
      <c r="P409" s="3">
        <v>2.63</v>
      </c>
      <c r="Q409" s="2">
        <v>2.19</v>
      </c>
      <c r="R409" s="3">
        <v>2.19</v>
      </c>
      <c r="S409" s="3" t="str">
        <f>IF(Table1[[#This Row],[CGPA]]&gt;=3,"High",IF(R408&gt;=2,"Medium","Low"))</f>
        <v>Medium</v>
      </c>
      <c r="T409" s="2" t="s">
        <v>2</v>
      </c>
      <c r="U409" s="2" t="s">
        <v>6</v>
      </c>
      <c r="V409" s="2" t="s">
        <v>0</v>
      </c>
      <c r="W409" s="7">
        <v>0</v>
      </c>
      <c r="X409" t="str">
        <f t="shared" si="13"/>
        <v>Active</v>
      </c>
    </row>
    <row r="410" spans="1:24" x14ac:dyDescent="0.3">
      <c r="A410" s="2">
        <v>409</v>
      </c>
      <c r="B410" s="7">
        <v>21.3</v>
      </c>
      <c r="C410" s="2" t="s">
        <v>11</v>
      </c>
      <c r="D410" s="7">
        <f>IF(ISBLANK('Raw sheet'!D410),AVERAGE('Raw sheet'!$D$2:'Raw sheet'!$D$1500),'Raw sheet'!D410)</f>
        <v>38160</v>
      </c>
      <c r="E410" s="7" t="str">
        <f>IF(Table1[[#This Row],[Family_Income]]&gt;=100000,"Upper",IF(D410&gt;=50000,"Middle","Lower"))</f>
        <v>Lower</v>
      </c>
      <c r="F410" s="2" t="s">
        <v>4</v>
      </c>
      <c r="G410" s="3">
        <f>IF(ISBLANK('Raw sheet'!F410),AVERAGE('Raw sheet'!$F$2:'Raw sheet'!$F$1500),'Raw sheet'!F410)</f>
        <v>5.15</v>
      </c>
      <c r="H410" s="18">
        <v>78.2</v>
      </c>
      <c r="I410" s="9" t="str">
        <f t="shared" si="12"/>
        <v>Good</v>
      </c>
      <c r="J410" s="2">
        <v>1</v>
      </c>
      <c r="K410" s="2">
        <v>34.1</v>
      </c>
      <c r="L410" s="2" t="s">
        <v>4</v>
      </c>
      <c r="M410" s="2" t="s">
        <v>3</v>
      </c>
      <c r="N410" s="5">
        <f>IF(ISBLANK('Raw sheet'!L410),AVERAGE('Raw sheet'!$L$2:'Raw sheet'!$L$1500),'Raw sheet'!L410)</f>
        <v>3.8</v>
      </c>
      <c r="O410" s="5" t="str">
        <f>IF(Table1[[#This Row],[Stress_Index]]&gt;=8,"High",IF(N410&gt;=5,"Medium","Low"))</f>
        <v>Low</v>
      </c>
      <c r="P410" s="3">
        <v>2.96</v>
      </c>
      <c r="Q410" s="2">
        <v>2.62</v>
      </c>
      <c r="R410" s="3">
        <v>2.5</v>
      </c>
      <c r="S410" s="3" t="str">
        <f>IF(Table1[[#This Row],[CGPA]]&gt;=3,"High",IF(R409&gt;=2,"Medium","Low"))</f>
        <v>Medium</v>
      </c>
      <c r="T410" s="2" t="s">
        <v>7</v>
      </c>
      <c r="U410" s="2" t="s">
        <v>13</v>
      </c>
      <c r="V410" s="2" t="s">
        <v>9</v>
      </c>
      <c r="W410" s="7">
        <v>0</v>
      </c>
      <c r="X410" t="str">
        <f t="shared" si="13"/>
        <v>Active</v>
      </c>
    </row>
    <row r="411" spans="1:24" x14ac:dyDescent="0.3">
      <c r="A411" s="2">
        <v>410</v>
      </c>
      <c r="B411" s="7">
        <v>22.1</v>
      </c>
      <c r="C411" s="2" t="s">
        <v>11</v>
      </c>
      <c r="D411" s="7">
        <f>IF(ISBLANK('Raw sheet'!D411),AVERAGE('Raw sheet'!$D$2:'Raw sheet'!$D$1500),'Raw sheet'!D411)</f>
        <v>25000</v>
      </c>
      <c r="E411" s="7" t="str">
        <f>IF(Table1[[#This Row],[Family_Income]]&gt;=100000,"Upper",IF(D411&gt;=50000,"Middle","Lower"))</f>
        <v>Lower</v>
      </c>
      <c r="F411" s="2" t="s">
        <v>4</v>
      </c>
      <c r="G411" s="3">
        <f>IF(ISBLANK('Raw sheet'!F411),AVERAGE('Raw sheet'!$F$2:'Raw sheet'!$F$1500),'Raw sheet'!F411)</f>
        <v>3</v>
      </c>
      <c r="H411" s="18">
        <v>73.099999999999994</v>
      </c>
      <c r="I411" s="9" t="str">
        <f t="shared" si="12"/>
        <v>Low</v>
      </c>
      <c r="J411" s="2">
        <v>1</v>
      </c>
      <c r="K411" s="2">
        <v>19.899999999999999</v>
      </c>
      <c r="L411" s="2" t="s">
        <v>3</v>
      </c>
      <c r="M411" s="2" t="s">
        <v>3</v>
      </c>
      <c r="N411" s="5">
        <f>IF(ISBLANK('Raw sheet'!L411),AVERAGE('Raw sheet'!$L$2:'Raw sheet'!$L$1500),'Raw sheet'!L411)</f>
        <v>5.7</v>
      </c>
      <c r="O411" s="5" t="str">
        <f>IF(Table1[[#This Row],[Stress_Index]]&gt;=8,"High",IF(N411&gt;=5,"Medium","Low"))</f>
        <v>Medium</v>
      </c>
      <c r="P411" s="3">
        <v>1.46</v>
      </c>
      <c r="Q411" s="2">
        <v>1.56</v>
      </c>
      <c r="R411" s="3">
        <v>1.58</v>
      </c>
      <c r="S411" s="3" t="str">
        <f>IF(Table1[[#This Row],[CGPA]]&gt;=3,"High",IF(R410&gt;=2,"Medium","Low"))</f>
        <v>Medium</v>
      </c>
      <c r="T411" s="2" t="s">
        <v>12</v>
      </c>
      <c r="U411" s="2" t="s">
        <v>6</v>
      </c>
      <c r="V411" s="2" t="s">
        <v>15</v>
      </c>
      <c r="W411" s="7">
        <v>0</v>
      </c>
      <c r="X411" t="str">
        <f t="shared" si="13"/>
        <v>Active</v>
      </c>
    </row>
    <row r="412" spans="1:24" x14ac:dyDescent="0.3">
      <c r="A412" s="2">
        <v>411</v>
      </c>
      <c r="B412" s="7">
        <v>22.6</v>
      </c>
      <c r="C412" s="2" t="s">
        <v>11</v>
      </c>
      <c r="D412" s="7">
        <f>IF(ISBLANK('Raw sheet'!D412),AVERAGE('Raw sheet'!$D$2:'Raw sheet'!$D$1500),'Raw sheet'!D412)</f>
        <v>25000</v>
      </c>
      <c r="E412" s="7" t="str">
        <f>IF(Table1[[#This Row],[Family_Income]]&gt;=100000,"Upper",IF(D412&gt;=50000,"Middle","Lower"))</f>
        <v>Lower</v>
      </c>
      <c r="F412" s="2" t="s">
        <v>4</v>
      </c>
      <c r="G412" s="3">
        <f>IF(ISBLANK('Raw sheet'!F412),AVERAGE('Raw sheet'!$F$2:'Raw sheet'!$F$1500),'Raw sheet'!F412)</f>
        <v>5.46</v>
      </c>
      <c r="H412" s="18">
        <v>92.9</v>
      </c>
      <c r="I412" s="9" t="str">
        <f t="shared" si="12"/>
        <v>Good</v>
      </c>
      <c r="J412" s="2">
        <v>2</v>
      </c>
      <c r="K412" s="2">
        <v>20.6</v>
      </c>
      <c r="L412" s="2" t="s">
        <v>3</v>
      </c>
      <c r="M412" s="2" t="s">
        <v>4</v>
      </c>
      <c r="N412" s="5">
        <f>IF(ISBLANK('Raw sheet'!L412),AVERAGE('Raw sheet'!$L$2:'Raw sheet'!$L$1500),'Raw sheet'!L412)</f>
        <v>5.7</v>
      </c>
      <c r="O412" s="5" t="str">
        <f>IF(Table1[[#This Row],[Stress_Index]]&gt;=8,"High",IF(N412&gt;=5,"Medium","Low"))</f>
        <v>Medium</v>
      </c>
      <c r="P412" s="3">
        <v>2.4700000000000002</v>
      </c>
      <c r="Q412" s="2">
        <v>2.19</v>
      </c>
      <c r="R412" s="3">
        <v>2.19</v>
      </c>
      <c r="S412" s="3" t="str">
        <f>IF(Table1[[#This Row],[CGPA]]&gt;=3,"High",IF(R411&gt;=2,"Medium","Low"))</f>
        <v>Low</v>
      </c>
      <c r="T412" s="2" t="s">
        <v>2</v>
      </c>
      <c r="U412" s="2" t="s">
        <v>14</v>
      </c>
      <c r="V412" s="2" t="s">
        <v>9</v>
      </c>
      <c r="W412" s="7">
        <v>0</v>
      </c>
      <c r="X412" t="str">
        <f t="shared" si="13"/>
        <v>Active</v>
      </c>
    </row>
    <row r="413" spans="1:24" x14ac:dyDescent="0.3">
      <c r="A413" s="2">
        <v>412</v>
      </c>
      <c r="B413" s="7">
        <v>18.5</v>
      </c>
      <c r="C413" s="2" t="s">
        <v>11</v>
      </c>
      <c r="D413" s="7">
        <f>IF(ISBLANK('Raw sheet'!D413),AVERAGE('Raw sheet'!$D$2:'Raw sheet'!$D$1500),'Raw sheet'!D413)</f>
        <v>50883</v>
      </c>
      <c r="E413" s="7" t="str">
        <f>IF(Table1[[#This Row],[Family_Income]]&gt;=100000,"Upper",IF(D413&gt;=50000,"Middle","Lower"))</f>
        <v>Middle</v>
      </c>
      <c r="F413" s="2" t="s">
        <v>4</v>
      </c>
      <c r="G413" s="3">
        <f>IF(ISBLANK('Raw sheet'!F413),AVERAGE('Raw sheet'!$F$2:'Raw sheet'!$F$1500),'Raw sheet'!F413)</f>
        <v>4.3899999999999997</v>
      </c>
      <c r="H413" s="18">
        <v>89</v>
      </c>
      <c r="I413" s="9" t="str">
        <f t="shared" si="12"/>
        <v>Good</v>
      </c>
      <c r="J413" s="2">
        <v>2</v>
      </c>
      <c r="K413" s="2">
        <v>36</v>
      </c>
      <c r="L413" s="2" t="s">
        <v>3</v>
      </c>
      <c r="M413" s="2" t="s">
        <v>4</v>
      </c>
      <c r="N413" s="5">
        <f>IF(ISBLANK('Raw sheet'!L413),AVERAGE('Raw sheet'!$L$2:'Raw sheet'!$L$1500),'Raw sheet'!L413)</f>
        <v>1.6</v>
      </c>
      <c r="O413" s="5" t="str">
        <f>IF(Table1[[#This Row],[Stress_Index]]&gt;=8,"High",IF(N413&gt;=5,"Medium","Low"))</f>
        <v>Low</v>
      </c>
      <c r="P413" s="3">
        <v>3.63</v>
      </c>
      <c r="Q413" s="2">
        <v>3.9</v>
      </c>
      <c r="R413" s="3">
        <v>3.9</v>
      </c>
      <c r="S413" s="3" t="str">
        <f>IF(Table1[[#This Row],[CGPA]]&gt;=3,"High",IF(R412&gt;=2,"Medium","Low"))</f>
        <v>High</v>
      </c>
      <c r="T413" s="2" t="s">
        <v>2</v>
      </c>
      <c r="U413" s="2" t="s">
        <v>6</v>
      </c>
      <c r="V413" s="2" t="s">
        <v>17</v>
      </c>
      <c r="W413" s="7">
        <v>0</v>
      </c>
      <c r="X413" t="str">
        <f t="shared" si="13"/>
        <v>Active</v>
      </c>
    </row>
    <row r="414" spans="1:24" x14ac:dyDescent="0.3">
      <c r="A414" s="2">
        <v>413</v>
      </c>
      <c r="B414" s="7">
        <v>17.600000000000001</v>
      </c>
      <c r="C414" s="2" t="s">
        <v>5</v>
      </c>
      <c r="D414" s="7">
        <f>IF(ISBLANK('Raw sheet'!D414),AVERAGE('Raw sheet'!$D$2:'Raw sheet'!$D$1500),'Raw sheet'!D414)</f>
        <v>49135</v>
      </c>
      <c r="E414" s="7" t="str">
        <f>IF(Table1[[#This Row],[Family_Income]]&gt;=100000,"Upper",IF(D414&gt;=50000,"Middle","Lower"))</f>
        <v>Lower</v>
      </c>
      <c r="F414" s="2" t="s">
        <v>4</v>
      </c>
      <c r="G414" s="3">
        <f>IF(ISBLANK('Raw sheet'!F414),AVERAGE('Raw sheet'!$F$2:'Raw sheet'!$F$1500),'Raw sheet'!F414)</f>
        <v>3.24</v>
      </c>
      <c r="H414" s="18">
        <v>79.7</v>
      </c>
      <c r="I414" s="9" t="str">
        <f t="shared" si="12"/>
        <v>Good</v>
      </c>
      <c r="J414" s="2">
        <v>2</v>
      </c>
      <c r="K414" s="2">
        <v>27.1</v>
      </c>
      <c r="L414" s="2" t="s">
        <v>3</v>
      </c>
      <c r="M414" s="2" t="s">
        <v>4</v>
      </c>
      <c r="N414" s="5">
        <f>IF(ISBLANK('Raw sheet'!L414),AVERAGE('Raw sheet'!$L$2:'Raw sheet'!$L$1500),'Raw sheet'!L414)</f>
        <v>4</v>
      </c>
      <c r="O414" s="5" t="str">
        <f>IF(Table1[[#This Row],[Stress_Index]]&gt;=8,"High",IF(N414&gt;=5,"Medium","Low"))</f>
        <v>Low</v>
      </c>
      <c r="P414" s="3">
        <v>3.78</v>
      </c>
      <c r="Q414" s="2">
        <v>3.69</v>
      </c>
      <c r="R414" s="3">
        <v>3.64</v>
      </c>
      <c r="S414" s="3" t="str">
        <f>IF(Table1[[#This Row],[CGPA]]&gt;=3,"High",IF(R413&gt;=2,"Medium","Low"))</f>
        <v>High</v>
      </c>
      <c r="T414" s="2" t="s">
        <v>12</v>
      </c>
      <c r="U414" s="2" t="s">
        <v>13</v>
      </c>
      <c r="V414" s="2" t="s">
        <v>15</v>
      </c>
      <c r="W414" s="7">
        <v>0</v>
      </c>
      <c r="X414" t="str">
        <f t="shared" si="13"/>
        <v>Active</v>
      </c>
    </row>
    <row r="415" spans="1:24" x14ac:dyDescent="0.3">
      <c r="A415" s="2">
        <v>414</v>
      </c>
      <c r="B415" s="7">
        <v>23.8</v>
      </c>
      <c r="C415" s="2" t="s">
        <v>5</v>
      </c>
      <c r="D415" s="7">
        <f>IF(ISBLANK('Raw sheet'!D415),AVERAGE('Raw sheet'!$D$2:'Raw sheet'!$D$1500),'Raw sheet'!D415)</f>
        <v>45903</v>
      </c>
      <c r="E415" s="7" t="str">
        <f>IF(Table1[[#This Row],[Family_Income]]&gt;=100000,"Upper",IF(D415&gt;=50000,"Middle","Lower"))</f>
        <v>Lower</v>
      </c>
      <c r="F415" s="2" t="s">
        <v>3</v>
      </c>
      <c r="G415" s="3">
        <f>IF(ISBLANK('Raw sheet'!F415),AVERAGE('Raw sheet'!$F$2:'Raw sheet'!$F$1500),'Raw sheet'!F415)</f>
        <v>1.8</v>
      </c>
      <c r="H415" s="18">
        <v>76.7</v>
      </c>
      <c r="I415" s="9" t="str">
        <f t="shared" si="12"/>
        <v>Good</v>
      </c>
      <c r="J415" s="2">
        <v>3</v>
      </c>
      <c r="K415" s="2">
        <v>30.7</v>
      </c>
      <c r="L415" s="2" t="s">
        <v>3</v>
      </c>
      <c r="M415" s="2" t="s">
        <v>4</v>
      </c>
      <c r="N415" s="5">
        <f>IF(ISBLANK('Raw sheet'!L415),AVERAGE('Raw sheet'!$L$2:'Raw sheet'!$L$1500),'Raw sheet'!L415)</f>
        <v>3.1</v>
      </c>
      <c r="O415" s="5" t="str">
        <f>IF(Table1[[#This Row],[Stress_Index]]&gt;=8,"High",IF(N415&gt;=5,"Medium","Low"))</f>
        <v>Low</v>
      </c>
      <c r="P415" s="3">
        <v>1.87</v>
      </c>
      <c r="Q415" s="2">
        <v>1.77</v>
      </c>
      <c r="R415" s="3">
        <v>1.77</v>
      </c>
      <c r="S415" s="3" t="str">
        <f>IF(Table1[[#This Row],[CGPA]]&gt;=3,"High",IF(R414&gt;=2,"Medium","Low"))</f>
        <v>Medium</v>
      </c>
      <c r="T415" s="2" t="s">
        <v>12</v>
      </c>
      <c r="U415" s="2" t="s">
        <v>13</v>
      </c>
      <c r="V415" s="2" t="s">
        <v>15</v>
      </c>
      <c r="W415" s="7">
        <v>0</v>
      </c>
      <c r="X415" t="str">
        <f t="shared" si="13"/>
        <v>Active</v>
      </c>
    </row>
    <row r="416" spans="1:24" x14ac:dyDescent="0.3">
      <c r="A416" s="2">
        <v>415</v>
      </c>
      <c r="B416" s="7">
        <v>21.7</v>
      </c>
      <c r="C416" s="2" t="s">
        <v>5</v>
      </c>
      <c r="D416" s="7">
        <f>IF(ISBLANK('Raw sheet'!D416),AVERAGE('Raw sheet'!$D$2:'Raw sheet'!$D$1500),'Raw sheet'!D416)</f>
        <v>25000</v>
      </c>
      <c r="E416" s="7" t="str">
        <f>IF(Table1[[#This Row],[Family_Income]]&gt;=100000,"Upper",IF(D416&gt;=50000,"Middle","Lower"))</f>
        <v>Lower</v>
      </c>
      <c r="F416" s="2" t="s">
        <v>4</v>
      </c>
      <c r="G416" s="3">
        <f>IF(ISBLANK('Raw sheet'!F416),AVERAGE('Raw sheet'!$F$2:'Raw sheet'!$F$1500),'Raw sheet'!F416)</f>
        <v>5</v>
      </c>
      <c r="H416" s="18">
        <v>100</v>
      </c>
      <c r="I416" s="9" t="str">
        <f t="shared" si="12"/>
        <v>Good</v>
      </c>
      <c r="J416" s="2">
        <v>4</v>
      </c>
      <c r="K416" s="2">
        <v>9.5</v>
      </c>
      <c r="L416" s="2" t="s">
        <v>3</v>
      </c>
      <c r="M416" s="2" t="s">
        <v>3</v>
      </c>
      <c r="N416" s="5">
        <f>IF(ISBLANK('Raw sheet'!L416),AVERAGE('Raw sheet'!$L$2:'Raw sheet'!$L$1500),'Raw sheet'!L416)</f>
        <v>6.8</v>
      </c>
      <c r="O416" s="5" t="str">
        <f>IF(Table1[[#This Row],[Stress_Index]]&gt;=8,"High",IF(N416&gt;=5,"Medium","Low"))</f>
        <v>Medium</v>
      </c>
      <c r="P416" s="3">
        <v>1.83</v>
      </c>
      <c r="Q416" s="2">
        <v>1.39</v>
      </c>
      <c r="R416" s="3">
        <v>1.47</v>
      </c>
      <c r="S416" s="3" t="str">
        <f>IF(Table1[[#This Row],[CGPA]]&gt;=3,"High",IF(R415&gt;=2,"Medium","Low"))</f>
        <v>Low</v>
      </c>
      <c r="T416" s="2" t="s">
        <v>10</v>
      </c>
      <c r="U416" s="2" t="s">
        <v>6</v>
      </c>
      <c r="V416" s="2" t="s">
        <v>9</v>
      </c>
      <c r="W416" s="7">
        <v>0</v>
      </c>
      <c r="X416" t="str">
        <f t="shared" si="13"/>
        <v>Active</v>
      </c>
    </row>
    <row r="417" spans="1:24" x14ac:dyDescent="0.3">
      <c r="A417" s="2">
        <v>416</v>
      </c>
      <c r="B417" s="7">
        <v>19.399999999999999</v>
      </c>
      <c r="C417" s="2" t="s">
        <v>11</v>
      </c>
      <c r="D417" s="7">
        <f>IF(ISBLANK('Raw sheet'!D417),AVERAGE('Raw sheet'!$D$2:'Raw sheet'!$D$1500),'Raw sheet'!D417)</f>
        <v>51344</v>
      </c>
      <c r="E417" s="7" t="str">
        <f>IF(Table1[[#This Row],[Family_Income]]&gt;=100000,"Upper",IF(D417&gt;=50000,"Middle","Lower"))</f>
        <v>Middle</v>
      </c>
      <c r="F417" s="2" t="s">
        <v>4</v>
      </c>
      <c r="G417" s="3">
        <f>IF(ISBLANK('Raw sheet'!F417),AVERAGE('Raw sheet'!$F$2:'Raw sheet'!$F$1500),'Raw sheet'!F417)</f>
        <v>3.06</v>
      </c>
      <c r="H417" s="18">
        <v>74.8</v>
      </c>
      <c r="I417" s="9" t="str">
        <f t="shared" si="12"/>
        <v>Low</v>
      </c>
      <c r="J417" s="2">
        <v>3</v>
      </c>
      <c r="K417" s="2">
        <v>23.7</v>
      </c>
      <c r="L417" s="2" t="s">
        <v>4</v>
      </c>
      <c r="M417" s="2" t="s">
        <v>3</v>
      </c>
      <c r="N417" s="5">
        <f>IF(ISBLANK('Raw sheet'!L417),AVERAGE('Raw sheet'!$L$2:'Raw sheet'!$L$1500),'Raw sheet'!L417)</f>
        <v>2.5</v>
      </c>
      <c r="O417" s="5" t="str">
        <f>IF(Table1[[#This Row],[Stress_Index]]&gt;=8,"High",IF(N417&gt;=5,"Medium","Low"))</f>
        <v>Low</v>
      </c>
      <c r="P417" s="3">
        <v>2.96</v>
      </c>
      <c r="Q417" s="2">
        <v>2.29</v>
      </c>
      <c r="R417" s="3">
        <v>2.29</v>
      </c>
      <c r="S417" s="3" t="str">
        <f>IF(Table1[[#This Row],[CGPA]]&gt;=3,"High",IF(R416&gt;=2,"Medium","Low"))</f>
        <v>Low</v>
      </c>
      <c r="T417" s="2" t="s">
        <v>2</v>
      </c>
      <c r="U417" s="2" t="s">
        <v>6</v>
      </c>
      <c r="V417" s="2" t="s">
        <v>9</v>
      </c>
      <c r="W417" s="7">
        <v>0</v>
      </c>
      <c r="X417" t="str">
        <f t="shared" si="13"/>
        <v>Active</v>
      </c>
    </row>
    <row r="418" spans="1:24" x14ac:dyDescent="0.3">
      <c r="A418" s="2">
        <v>417</v>
      </c>
      <c r="B418" s="7">
        <v>24.4</v>
      </c>
      <c r="C418" s="2" t="s">
        <v>5</v>
      </c>
      <c r="D418" s="7">
        <f>IF(ISBLANK('Raw sheet'!D418),AVERAGE('Raw sheet'!$D$2:'Raw sheet'!$D$1500),'Raw sheet'!D418)</f>
        <v>38587.00282087447</v>
      </c>
      <c r="E418" s="7" t="str">
        <f>IF(Table1[[#This Row],[Family_Income]]&gt;=100000,"Upper",IF(D418&gt;=50000,"Middle","Lower"))</f>
        <v>Lower</v>
      </c>
      <c r="F418" s="2" t="s">
        <v>4</v>
      </c>
      <c r="G418" s="3">
        <f>IF(ISBLANK('Raw sheet'!F418),AVERAGE('Raw sheet'!$F$2:'Raw sheet'!$F$1500),'Raw sheet'!F418)</f>
        <v>4.0178702397743278</v>
      </c>
      <c r="H418" s="18">
        <v>83.8</v>
      </c>
      <c r="I418" s="9" t="str">
        <f t="shared" si="12"/>
        <v>Good</v>
      </c>
      <c r="J418" s="2">
        <v>2</v>
      </c>
      <c r="K418" s="2">
        <v>50.2</v>
      </c>
      <c r="L418" s="2" t="s">
        <v>4</v>
      </c>
      <c r="M418" s="2" t="s">
        <v>3</v>
      </c>
      <c r="N418" s="5">
        <f>IF(ISBLANK('Raw sheet'!L418),AVERAGE('Raw sheet'!$L$2:'Raw sheet'!$L$1500),'Raw sheet'!L418)</f>
        <v>5.5242595204513369</v>
      </c>
      <c r="O418" s="5" t="str">
        <f>IF(Table1[[#This Row],[Stress_Index]]&gt;=8,"High",IF(N418&gt;=5,"Medium","Low"))</f>
        <v>Medium</v>
      </c>
      <c r="P418" s="3">
        <v>2.4300000000000002</v>
      </c>
      <c r="Q418" s="2">
        <v>1.71</v>
      </c>
      <c r="R418" s="3">
        <v>1.71</v>
      </c>
      <c r="S418" s="3" t="str">
        <f>IF(Table1[[#This Row],[CGPA]]&gt;=3,"High",IF(R417&gt;=2,"Medium","Low"))</f>
        <v>Medium</v>
      </c>
      <c r="T418" s="2" t="s">
        <v>2</v>
      </c>
      <c r="U418" s="2" t="s">
        <v>13</v>
      </c>
      <c r="V418" s="2" t="s">
        <v>9</v>
      </c>
      <c r="W418" s="7">
        <v>0</v>
      </c>
      <c r="X418" t="str">
        <f t="shared" si="13"/>
        <v>Active</v>
      </c>
    </row>
    <row r="419" spans="1:24" x14ac:dyDescent="0.3">
      <c r="A419" s="2">
        <v>418</v>
      </c>
      <c r="B419" s="7">
        <v>21.3</v>
      </c>
      <c r="C419" s="2" t="s">
        <v>5</v>
      </c>
      <c r="D419" s="7">
        <f>IF(ISBLANK('Raw sheet'!D419),AVERAGE('Raw sheet'!$D$2:'Raw sheet'!$D$1500),'Raw sheet'!D419)</f>
        <v>56750</v>
      </c>
      <c r="E419" s="7" t="str">
        <f>IF(Table1[[#This Row],[Family_Income]]&gt;=100000,"Upper",IF(D419&gt;=50000,"Middle","Lower"))</f>
        <v>Middle</v>
      </c>
      <c r="F419" s="2" t="s">
        <v>3</v>
      </c>
      <c r="G419" s="3">
        <f>IF(ISBLANK('Raw sheet'!F419),AVERAGE('Raw sheet'!$F$2:'Raw sheet'!$F$1500),'Raw sheet'!F419)</f>
        <v>5.9</v>
      </c>
      <c r="H419" s="18">
        <v>76.599999999999994</v>
      </c>
      <c r="I419" s="9" t="str">
        <f t="shared" si="12"/>
        <v>Good</v>
      </c>
      <c r="J419" s="2">
        <v>1</v>
      </c>
      <c r="K419" s="2">
        <v>8.6</v>
      </c>
      <c r="L419" s="2" t="s">
        <v>4</v>
      </c>
      <c r="M419" s="2" t="s">
        <v>3</v>
      </c>
      <c r="N419" s="5">
        <f>IF(ISBLANK('Raw sheet'!L419),AVERAGE('Raw sheet'!$L$2:'Raw sheet'!$L$1500),'Raw sheet'!L419)</f>
        <v>3.4</v>
      </c>
      <c r="O419" s="5" t="str">
        <f>IF(Table1[[#This Row],[Stress_Index]]&gt;=8,"High",IF(N419&gt;=5,"Medium","Low"))</f>
        <v>Low</v>
      </c>
      <c r="P419" s="3">
        <v>4</v>
      </c>
      <c r="Q419" s="2">
        <v>3.37</v>
      </c>
      <c r="R419" s="3">
        <v>3.37</v>
      </c>
      <c r="S419" s="3" t="str">
        <f>IF(Table1[[#This Row],[CGPA]]&gt;=3,"High",IF(R418&gt;=2,"Medium","Low"))</f>
        <v>High</v>
      </c>
      <c r="T419" s="2" t="s">
        <v>12</v>
      </c>
      <c r="U419" s="2" t="s">
        <v>13</v>
      </c>
      <c r="V419" s="2" t="s">
        <v>0</v>
      </c>
      <c r="W419" s="7">
        <v>0</v>
      </c>
      <c r="X419" t="str">
        <f t="shared" si="13"/>
        <v>Active</v>
      </c>
    </row>
    <row r="420" spans="1:24" x14ac:dyDescent="0.3">
      <c r="A420" s="2">
        <v>419</v>
      </c>
      <c r="B420" s="7">
        <v>23.6</v>
      </c>
      <c r="C420" s="2" t="s">
        <v>5</v>
      </c>
      <c r="D420" s="7">
        <f>IF(ISBLANK('Raw sheet'!D420),AVERAGE('Raw sheet'!$D$2:'Raw sheet'!$D$1500),'Raw sheet'!D420)</f>
        <v>25425</v>
      </c>
      <c r="E420" s="7" t="str">
        <f>IF(Table1[[#This Row],[Family_Income]]&gt;=100000,"Upper",IF(D420&gt;=50000,"Middle","Lower"))</f>
        <v>Lower</v>
      </c>
      <c r="F420" s="2" t="s">
        <v>4</v>
      </c>
      <c r="G420" s="3">
        <f>IF(ISBLANK('Raw sheet'!F420),AVERAGE('Raw sheet'!$F$2:'Raw sheet'!$F$1500),'Raw sheet'!F420)</f>
        <v>2.95</v>
      </c>
      <c r="H420" s="18">
        <v>78.7</v>
      </c>
      <c r="I420" s="9" t="str">
        <f t="shared" si="12"/>
        <v>Good</v>
      </c>
      <c r="J420" s="2">
        <v>0</v>
      </c>
      <c r="K420" s="2">
        <v>51</v>
      </c>
      <c r="L420" s="2" t="s">
        <v>3</v>
      </c>
      <c r="M420" s="2" t="s">
        <v>4</v>
      </c>
      <c r="N420" s="5">
        <f>IF(ISBLANK('Raw sheet'!L420),AVERAGE('Raw sheet'!$L$2:'Raw sheet'!$L$1500),'Raw sheet'!L420)</f>
        <v>7.2</v>
      </c>
      <c r="O420" s="5" t="str">
        <f>IF(Table1[[#This Row],[Stress_Index]]&gt;=8,"High",IF(N420&gt;=5,"Medium","Low"))</f>
        <v>Medium</v>
      </c>
      <c r="P420" s="3">
        <v>2.2400000000000002</v>
      </c>
      <c r="Q420" s="2">
        <v>1.98</v>
      </c>
      <c r="R420" s="3">
        <v>2</v>
      </c>
      <c r="S420" s="3" t="str">
        <f>IF(Table1[[#This Row],[CGPA]]&gt;=3,"High",IF(R419&gt;=2,"Medium","Low"))</f>
        <v>Medium</v>
      </c>
      <c r="T420" s="2" t="s">
        <v>10</v>
      </c>
      <c r="U420" s="2" t="s">
        <v>8</v>
      </c>
      <c r="V420" s="2" t="s">
        <v>9</v>
      </c>
      <c r="W420" s="7">
        <v>0</v>
      </c>
      <c r="X420" t="str">
        <f t="shared" si="13"/>
        <v>Active</v>
      </c>
    </row>
    <row r="421" spans="1:24" x14ac:dyDescent="0.3">
      <c r="A421" s="2">
        <v>420</v>
      </c>
      <c r="B421" s="7">
        <v>21.1</v>
      </c>
      <c r="C421" s="2" t="s">
        <v>11</v>
      </c>
      <c r="D421" s="7">
        <f>IF(ISBLANK('Raw sheet'!D421),AVERAGE('Raw sheet'!$D$2:'Raw sheet'!$D$1500),'Raw sheet'!D421)</f>
        <v>81675</v>
      </c>
      <c r="E421" s="7" t="str">
        <f>IF(Table1[[#This Row],[Family_Income]]&gt;=100000,"Upper",IF(D421&gt;=50000,"Middle","Lower"))</f>
        <v>Middle</v>
      </c>
      <c r="F421" s="2" t="s">
        <v>4</v>
      </c>
      <c r="G421" s="3">
        <f>IF(ISBLANK('Raw sheet'!F421),AVERAGE('Raw sheet'!$F$2:'Raw sheet'!$F$1500),'Raw sheet'!F421)</f>
        <v>5.75</v>
      </c>
      <c r="H421" s="18">
        <v>76</v>
      </c>
      <c r="I421" s="9" t="str">
        <f t="shared" si="12"/>
        <v>Good</v>
      </c>
      <c r="J421" s="2">
        <v>0</v>
      </c>
      <c r="K421" s="2">
        <v>33.1</v>
      </c>
      <c r="L421" s="2" t="s">
        <v>4</v>
      </c>
      <c r="M421" s="2" t="s">
        <v>3</v>
      </c>
      <c r="N421" s="5">
        <f>IF(ISBLANK('Raw sheet'!L421),AVERAGE('Raw sheet'!$L$2:'Raw sheet'!$L$1500),'Raw sheet'!L421)</f>
        <v>3</v>
      </c>
      <c r="O421" s="5" t="str">
        <f>IF(Table1[[#This Row],[Stress_Index]]&gt;=8,"High",IF(N421&gt;=5,"Medium","Low"))</f>
        <v>Low</v>
      </c>
      <c r="P421" s="3">
        <v>2.72</v>
      </c>
      <c r="Q421" s="2">
        <v>2.85</v>
      </c>
      <c r="R421" s="3">
        <v>2.84</v>
      </c>
      <c r="S421" s="3" t="str">
        <f>IF(Table1[[#This Row],[CGPA]]&gt;=3,"High",IF(R420&gt;=2,"Medium","Low"))</f>
        <v>Medium</v>
      </c>
      <c r="T421" s="2" t="s">
        <v>10</v>
      </c>
      <c r="U421" s="2" t="s">
        <v>8</v>
      </c>
      <c r="V421" s="2" t="s">
        <v>9</v>
      </c>
      <c r="W421" s="7">
        <v>0</v>
      </c>
      <c r="X421" t="str">
        <f t="shared" si="13"/>
        <v>Active</v>
      </c>
    </row>
    <row r="422" spans="1:24" x14ac:dyDescent="0.3">
      <c r="A422" s="2">
        <v>421</v>
      </c>
      <c r="B422" s="7">
        <v>25.5</v>
      </c>
      <c r="C422" s="2" t="s">
        <v>11</v>
      </c>
      <c r="D422" s="7">
        <f>IF(ISBLANK('Raw sheet'!D422),AVERAGE('Raw sheet'!$D$2:'Raw sheet'!$D$1500),'Raw sheet'!D422)</f>
        <v>25000</v>
      </c>
      <c r="E422" s="7" t="str">
        <f>IF(Table1[[#This Row],[Family_Income]]&gt;=100000,"Upper",IF(D422&gt;=50000,"Middle","Lower"))</f>
        <v>Lower</v>
      </c>
      <c r="F422" s="2" t="s">
        <v>4</v>
      </c>
      <c r="G422" s="3">
        <f>IF(ISBLANK('Raw sheet'!F422),AVERAGE('Raw sheet'!$F$2:'Raw sheet'!$F$1500),'Raw sheet'!F422)</f>
        <v>2.5099999999999998</v>
      </c>
      <c r="H422" s="18">
        <v>64.7</v>
      </c>
      <c r="I422" s="9" t="str">
        <f t="shared" si="12"/>
        <v>Low</v>
      </c>
      <c r="J422" s="2">
        <v>1</v>
      </c>
      <c r="K422" s="2">
        <v>23.6</v>
      </c>
      <c r="L422" s="2" t="s">
        <v>3</v>
      </c>
      <c r="M422" s="2" t="s">
        <v>3</v>
      </c>
      <c r="N422" s="5">
        <f>IF(ISBLANK('Raw sheet'!L422),AVERAGE('Raw sheet'!$L$2:'Raw sheet'!$L$1500),'Raw sheet'!L422)</f>
        <v>6.3</v>
      </c>
      <c r="O422" s="5" t="str">
        <f>IF(Table1[[#This Row],[Stress_Index]]&gt;=8,"High",IF(N422&gt;=5,"Medium","Low"))</f>
        <v>Medium</v>
      </c>
      <c r="P422" s="3">
        <v>1.18</v>
      </c>
      <c r="Q422" s="2">
        <v>0.72</v>
      </c>
      <c r="R422" s="3">
        <v>0.7</v>
      </c>
      <c r="S422" s="3" t="str">
        <f>IF(Table1[[#This Row],[CGPA]]&gt;=3,"High",IF(R421&gt;=2,"Medium","Low"))</f>
        <v>Medium</v>
      </c>
      <c r="T422" s="2" t="s">
        <v>12</v>
      </c>
      <c r="U422" s="2" t="s">
        <v>6</v>
      </c>
      <c r="V422" s="2" t="s">
        <v>0</v>
      </c>
      <c r="W422" s="7">
        <v>0</v>
      </c>
      <c r="X422" t="str">
        <f t="shared" si="13"/>
        <v>Active</v>
      </c>
    </row>
    <row r="423" spans="1:24" x14ac:dyDescent="0.3">
      <c r="A423" s="2">
        <v>422</v>
      </c>
      <c r="B423" s="7">
        <v>24.9</v>
      </c>
      <c r="C423" s="2" t="s">
        <v>5</v>
      </c>
      <c r="D423" s="7">
        <f>IF(ISBLANK('Raw sheet'!D423),AVERAGE('Raw sheet'!$D$2:'Raw sheet'!$D$1500),'Raw sheet'!D423)</f>
        <v>85652</v>
      </c>
      <c r="E423" s="7" t="str">
        <f>IF(Table1[[#This Row],[Family_Income]]&gt;=100000,"Upper",IF(D423&gt;=50000,"Middle","Lower"))</f>
        <v>Middle</v>
      </c>
      <c r="F423" s="2" t="s">
        <v>4</v>
      </c>
      <c r="G423" s="3">
        <f>IF(ISBLANK('Raw sheet'!F423),AVERAGE('Raw sheet'!$F$2:'Raw sheet'!$F$1500),'Raw sheet'!F423)</f>
        <v>5.93</v>
      </c>
      <c r="H423" s="18">
        <v>85.1</v>
      </c>
      <c r="I423" s="9" t="str">
        <f t="shared" si="12"/>
        <v>Good</v>
      </c>
      <c r="J423" s="2">
        <v>0</v>
      </c>
      <c r="K423" s="2">
        <v>27.5</v>
      </c>
      <c r="L423" s="2" t="s">
        <v>4</v>
      </c>
      <c r="M423" s="2" t="s">
        <v>3</v>
      </c>
      <c r="N423" s="5">
        <f>IF(ISBLANK('Raw sheet'!L423),AVERAGE('Raw sheet'!$L$2:'Raw sheet'!$L$1500),'Raw sheet'!L423)</f>
        <v>7.2</v>
      </c>
      <c r="O423" s="5" t="str">
        <f>IF(Table1[[#This Row],[Stress_Index]]&gt;=8,"High",IF(N423&gt;=5,"Medium","Low"))</f>
        <v>Medium</v>
      </c>
      <c r="P423" s="3">
        <v>2.2400000000000002</v>
      </c>
      <c r="Q423" s="2">
        <v>1.93</v>
      </c>
      <c r="R423" s="3">
        <v>1.94</v>
      </c>
      <c r="S423" s="3" t="str">
        <f>IF(Table1[[#This Row],[CGPA]]&gt;=3,"High",IF(R422&gt;=2,"Medium","Low"))</f>
        <v>Low</v>
      </c>
      <c r="T423" s="2" t="s">
        <v>10</v>
      </c>
      <c r="U423" s="2" t="s">
        <v>1</v>
      </c>
      <c r="V423" s="2" t="s">
        <v>15</v>
      </c>
      <c r="W423" s="7">
        <v>0</v>
      </c>
      <c r="X423" t="str">
        <f t="shared" si="13"/>
        <v>Active</v>
      </c>
    </row>
    <row r="424" spans="1:24" x14ac:dyDescent="0.3">
      <c r="A424" s="2">
        <v>423</v>
      </c>
      <c r="B424" s="7">
        <v>20.5</v>
      </c>
      <c r="C424" s="2" t="s">
        <v>5</v>
      </c>
      <c r="D424" s="7">
        <f>IF(ISBLANK('Raw sheet'!D424),AVERAGE('Raw sheet'!$D$2:'Raw sheet'!$D$1500),'Raw sheet'!D424)</f>
        <v>25000</v>
      </c>
      <c r="E424" s="7" t="str">
        <f>IF(Table1[[#This Row],[Family_Income]]&gt;=100000,"Upper",IF(D424&gt;=50000,"Middle","Lower"))</f>
        <v>Lower</v>
      </c>
      <c r="F424" s="2" t="s">
        <v>4</v>
      </c>
      <c r="G424" s="3">
        <f>IF(ISBLANK('Raw sheet'!F424),AVERAGE('Raw sheet'!$F$2:'Raw sheet'!$F$1500),'Raw sheet'!F424)</f>
        <v>6.37</v>
      </c>
      <c r="H424" s="18">
        <v>87.3</v>
      </c>
      <c r="I424" s="9" t="str">
        <f t="shared" si="12"/>
        <v>Good</v>
      </c>
      <c r="J424" s="2">
        <v>7</v>
      </c>
      <c r="K424" s="2">
        <v>44.8</v>
      </c>
      <c r="L424" s="2" t="s">
        <v>4</v>
      </c>
      <c r="M424" s="2" t="s">
        <v>4</v>
      </c>
      <c r="N424" s="5">
        <f>IF(ISBLANK('Raw sheet'!L424),AVERAGE('Raw sheet'!$L$2:'Raw sheet'!$L$1500),'Raw sheet'!L424)</f>
        <v>6.5</v>
      </c>
      <c r="O424" s="5" t="str">
        <f>IF(Table1[[#This Row],[Stress_Index]]&gt;=8,"High",IF(N424&gt;=5,"Medium","Low"))</f>
        <v>Medium</v>
      </c>
      <c r="P424" s="3">
        <v>2.3199999999999998</v>
      </c>
      <c r="Q424" s="2">
        <v>2.1</v>
      </c>
      <c r="R424" s="3">
        <v>2.13</v>
      </c>
      <c r="S424" s="3" t="str">
        <f>IF(Table1[[#This Row],[CGPA]]&gt;=3,"High",IF(R423&gt;=2,"Medium","Low"))</f>
        <v>Low</v>
      </c>
      <c r="T424" s="2" t="s">
        <v>12</v>
      </c>
      <c r="U424" s="2" t="s">
        <v>13</v>
      </c>
      <c r="V424" s="2" t="s">
        <v>9</v>
      </c>
      <c r="W424" s="7">
        <v>0</v>
      </c>
      <c r="X424" t="str">
        <f t="shared" si="13"/>
        <v>Active</v>
      </c>
    </row>
    <row r="425" spans="1:24" x14ac:dyDescent="0.3">
      <c r="A425" s="2">
        <v>424</v>
      </c>
      <c r="B425" s="7">
        <v>23.1</v>
      </c>
      <c r="C425" s="2" t="s">
        <v>5</v>
      </c>
      <c r="D425" s="7">
        <f>IF(ISBLANK('Raw sheet'!D425),AVERAGE('Raw sheet'!$D$2:'Raw sheet'!$D$1500),'Raw sheet'!D425)</f>
        <v>25000</v>
      </c>
      <c r="E425" s="7" t="str">
        <f>IF(Table1[[#This Row],[Family_Income]]&gt;=100000,"Upper",IF(D425&gt;=50000,"Middle","Lower"))</f>
        <v>Lower</v>
      </c>
      <c r="F425" s="2" t="s">
        <v>4</v>
      </c>
      <c r="G425" s="3">
        <f>IF(ISBLANK('Raw sheet'!F425),AVERAGE('Raw sheet'!$F$2:'Raw sheet'!$F$1500),'Raw sheet'!F425)</f>
        <v>5.17</v>
      </c>
      <c r="H425" s="18">
        <v>76.7</v>
      </c>
      <c r="I425" s="9" t="str">
        <f t="shared" si="12"/>
        <v>Good</v>
      </c>
      <c r="J425" s="2">
        <v>0</v>
      </c>
      <c r="K425" s="2">
        <v>5</v>
      </c>
      <c r="L425" s="2" t="s">
        <v>3</v>
      </c>
      <c r="M425" s="2" t="s">
        <v>3</v>
      </c>
      <c r="N425" s="5">
        <f>IF(ISBLANK('Raw sheet'!L425),AVERAGE('Raw sheet'!$L$2:'Raw sheet'!$L$1500),'Raw sheet'!L425)</f>
        <v>3.3</v>
      </c>
      <c r="O425" s="5" t="str">
        <f>IF(Table1[[#This Row],[Stress_Index]]&gt;=8,"High",IF(N425&gt;=5,"Medium","Low"))</f>
        <v>Low</v>
      </c>
      <c r="P425" s="3">
        <v>3.57</v>
      </c>
      <c r="Q425" s="2">
        <v>3.16</v>
      </c>
      <c r="R425" s="3">
        <v>3.13</v>
      </c>
      <c r="S425" s="3" t="str">
        <f>IF(Table1[[#This Row],[CGPA]]&gt;=3,"High",IF(R424&gt;=2,"Medium","Low"))</f>
        <v>High</v>
      </c>
      <c r="T425" s="2" t="s">
        <v>7</v>
      </c>
      <c r="U425" s="2" t="s">
        <v>14</v>
      </c>
      <c r="V425" s="2" t="s">
        <v>9</v>
      </c>
      <c r="W425" s="7">
        <v>0</v>
      </c>
      <c r="X425" t="str">
        <f t="shared" si="13"/>
        <v>Active</v>
      </c>
    </row>
    <row r="426" spans="1:24" x14ac:dyDescent="0.3">
      <c r="A426" s="2">
        <v>425</v>
      </c>
      <c r="B426" s="7">
        <v>22.4</v>
      </c>
      <c r="C426" s="2" t="s">
        <v>5</v>
      </c>
      <c r="D426" s="7">
        <f>IF(ISBLANK('Raw sheet'!D426),AVERAGE('Raw sheet'!$D$2:'Raw sheet'!$D$1500),'Raw sheet'!D426)</f>
        <v>33420</v>
      </c>
      <c r="E426" s="7" t="str">
        <f>IF(Table1[[#This Row],[Family_Income]]&gt;=100000,"Upper",IF(D426&gt;=50000,"Middle","Lower"))</f>
        <v>Lower</v>
      </c>
      <c r="F426" s="2" t="s">
        <v>4</v>
      </c>
      <c r="G426" s="3">
        <f>IF(ISBLANK('Raw sheet'!F426),AVERAGE('Raw sheet'!$F$2:'Raw sheet'!$F$1500),'Raw sheet'!F426)</f>
        <v>4.57</v>
      </c>
      <c r="H426" s="18">
        <v>100</v>
      </c>
      <c r="I426" s="9" t="str">
        <f t="shared" si="12"/>
        <v>Good</v>
      </c>
      <c r="J426" s="2">
        <v>2</v>
      </c>
      <c r="K426" s="2">
        <v>47</v>
      </c>
      <c r="L426" s="2" t="s">
        <v>4</v>
      </c>
      <c r="M426" s="2" t="s">
        <v>4</v>
      </c>
      <c r="N426" s="5">
        <f>IF(ISBLANK('Raw sheet'!L426),AVERAGE('Raw sheet'!$L$2:'Raw sheet'!$L$1500),'Raw sheet'!L426)</f>
        <v>7.5</v>
      </c>
      <c r="O426" s="5" t="str">
        <f>IF(Table1[[#This Row],[Stress_Index]]&gt;=8,"High",IF(N426&gt;=5,"Medium","Low"))</f>
        <v>Medium</v>
      </c>
      <c r="P426" s="3">
        <v>3.78</v>
      </c>
      <c r="Q426" s="2">
        <v>3.85</v>
      </c>
      <c r="R426" s="3">
        <v>3.73</v>
      </c>
      <c r="S426" s="3" t="str">
        <f>IF(Table1[[#This Row],[CGPA]]&gt;=3,"High",IF(R425&gt;=2,"Medium","Low"))</f>
        <v>High</v>
      </c>
      <c r="T426" s="2" t="s">
        <v>12</v>
      </c>
      <c r="U426" s="2" t="s">
        <v>8</v>
      </c>
      <c r="V426" s="2" t="s">
        <v>9</v>
      </c>
      <c r="W426" s="7">
        <v>0</v>
      </c>
      <c r="X426" t="str">
        <f t="shared" si="13"/>
        <v>Active</v>
      </c>
    </row>
    <row r="427" spans="1:24" x14ac:dyDescent="0.3">
      <c r="A427" s="2">
        <v>426</v>
      </c>
      <c r="B427" s="7">
        <v>24</v>
      </c>
      <c r="C427" s="2" t="s">
        <v>5</v>
      </c>
      <c r="D427" s="7">
        <f>IF(ISBLANK('Raw sheet'!D427),AVERAGE('Raw sheet'!$D$2:'Raw sheet'!$D$1500),'Raw sheet'!D427)</f>
        <v>25000</v>
      </c>
      <c r="E427" s="7" t="str">
        <f>IF(Table1[[#This Row],[Family_Income]]&gt;=100000,"Upper",IF(D427&gt;=50000,"Middle","Lower"))</f>
        <v>Lower</v>
      </c>
      <c r="F427" s="2" t="s">
        <v>4</v>
      </c>
      <c r="G427" s="3">
        <f>IF(ISBLANK('Raw sheet'!F427),AVERAGE('Raw sheet'!$F$2:'Raw sheet'!$F$1500),'Raw sheet'!F427)</f>
        <v>5.16</v>
      </c>
      <c r="H427" s="18">
        <v>84.3</v>
      </c>
      <c r="I427" s="9" t="str">
        <f t="shared" si="12"/>
        <v>Good</v>
      </c>
      <c r="J427" s="2">
        <v>1</v>
      </c>
      <c r="K427" s="2">
        <v>33.200000000000003</v>
      </c>
      <c r="L427" s="2" t="s">
        <v>3</v>
      </c>
      <c r="M427" s="2" t="s">
        <v>4</v>
      </c>
      <c r="N427" s="5">
        <f>IF(ISBLANK('Raw sheet'!L427),AVERAGE('Raw sheet'!$L$2:'Raw sheet'!$L$1500),'Raw sheet'!L427)</f>
        <v>6.5</v>
      </c>
      <c r="O427" s="5" t="str">
        <f>IF(Table1[[#This Row],[Stress_Index]]&gt;=8,"High",IF(N427&gt;=5,"Medium","Low"))</f>
        <v>Medium</v>
      </c>
      <c r="P427" s="3">
        <v>3.11</v>
      </c>
      <c r="Q427" s="2">
        <v>3.27</v>
      </c>
      <c r="R427" s="3">
        <v>3.31</v>
      </c>
      <c r="S427" s="3" t="str">
        <f>IF(Table1[[#This Row],[CGPA]]&gt;=3,"High",IF(R426&gt;=2,"Medium","Low"))</f>
        <v>High</v>
      </c>
      <c r="T427" s="2" t="s">
        <v>12</v>
      </c>
      <c r="U427" s="2" t="s">
        <v>6</v>
      </c>
      <c r="V427" s="2" t="s">
        <v>0</v>
      </c>
      <c r="W427" s="7">
        <v>0</v>
      </c>
      <c r="X427" t="str">
        <f t="shared" si="13"/>
        <v>Active</v>
      </c>
    </row>
    <row r="428" spans="1:24" x14ac:dyDescent="0.3">
      <c r="A428" s="2">
        <v>427</v>
      </c>
      <c r="B428" s="7">
        <v>18.899999999999999</v>
      </c>
      <c r="C428" s="2" t="s">
        <v>11</v>
      </c>
      <c r="D428" s="7">
        <f>IF(ISBLANK('Raw sheet'!D428),AVERAGE('Raw sheet'!$D$2:'Raw sheet'!$D$1500),'Raw sheet'!D428)</f>
        <v>28470</v>
      </c>
      <c r="E428" s="7" t="str">
        <f>IF(Table1[[#This Row],[Family_Income]]&gt;=100000,"Upper",IF(D428&gt;=50000,"Middle","Lower"))</f>
        <v>Lower</v>
      </c>
      <c r="F428" s="2" t="s">
        <v>4</v>
      </c>
      <c r="G428" s="3">
        <f>IF(ISBLANK('Raw sheet'!F428),AVERAGE('Raw sheet'!$F$2:'Raw sheet'!$F$1500),'Raw sheet'!F428)</f>
        <v>3.56</v>
      </c>
      <c r="H428" s="18">
        <v>83.3</v>
      </c>
      <c r="I428" s="9" t="str">
        <f t="shared" si="12"/>
        <v>Good</v>
      </c>
      <c r="J428" s="2">
        <v>0</v>
      </c>
      <c r="K428" s="2">
        <v>42.1</v>
      </c>
      <c r="L428" s="2" t="s">
        <v>3</v>
      </c>
      <c r="M428" s="2" t="s">
        <v>3</v>
      </c>
      <c r="N428" s="5">
        <f>IF(ISBLANK('Raw sheet'!L428),AVERAGE('Raw sheet'!$L$2:'Raw sheet'!$L$1500),'Raw sheet'!L428)</f>
        <v>1.3</v>
      </c>
      <c r="O428" s="5" t="str">
        <f>IF(Table1[[#This Row],[Stress_Index]]&gt;=8,"High",IF(N428&gt;=5,"Medium","Low"))</f>
        <v>Low</v>
      </c>
      <c r="P428" s="3">
        <v>3.42</v>
      </c>
      <c r="Q428" s="2">
        <v>4</v>
      </c>
      <c r="R428" s="3">
        <v>4</v>
      </c>
      <c r="S428" s="3" t="str">
        <f>IF(Table1[[#This Row],[CGPA]]&gt;=3,"High",IF(R427&gt;=2,"Medium","Low"))</f>
        <v>High</v>
      </c>
      <c r="T428" s="2" t="s">
        <v>12</v>
      </c>
      <c r="U428" s="2" t="s">
        <v>14</v>
      </c>
      <c r="V428" s="2" t="s">
        <v>17</v>
      </c>
      <c r="W428" s="7">
        <v>0</v>
      </c>
      <c r="X428" t="str">
        <f t="shared" si="13"/>
        <v>Active</v>
      </c>
    </row>
    <row r="429" spans="1:24" x14ac:dyDescent="0.3">
      <c r="A429" s="2">
        <v>428</v>
      </c>
      <c r="B429" s="7">
        <v>22.5</v>
      </c>
      <c r="C429" s="2" t="s">
        <v>11</v>
      </c>
      <c r="D429" s="7">
        <f>IF(ISBLANK('Raw sheet'!D429),AVERAGE('Raw sheet'!$D$2:'Raw sheet'!$D$1500),'Raw sheet'!D429)</f>
        <v>25000</v>
      </c>
      <c r="E429" s="7" t="str">
        <f>IF(Table1[[#This Row],[Family_Income]]&gt;=100000,"Upper",IF(D429&gt;=50000,"Middle","Lower"))</f>
        <v>Lower</v>
      </c>
      <c r="F429" s="2" t="s">
        <v>4</v>
      </c>
      <c r="G429" s="3">
        <f>IF(ISBLANK('Raw sheet'!F429),AVERAGE('Raw sheet'!$F$2:'Raw sheet'!$F$1500),'Raw sheet'!F429)</f>
        <v>2.27</v>
      </c>
      <c r="H429" s="18">
        <v>85.1</v>
      </c>
      <c r="I429" s="9" t="str">
        <f t="shared" si="12"/>
        <v>Good</v>
      </c>
      <c r="J429" s="2">
        <v>4</v>
      </c>
      <c r="K429" s="2">
        <v>9</v>
      </c>
      <c r="L429" s="2" t="s">
        <v>3</v>
      </c>
      <c r="M429" s="2" t="s">
        <v>4</v>
      </c>
      <c r="N429" s="5">
        <f>IF(ISBLANK('Raw sheet'!L429),AVERAGE('Raw sheet'!$L$2:'Raw sheet'!$L$1500),'Raw sheet'!L429)</f>
        <v>5.7</v>
      </c>
      <c r="O429" s="5" t="str">
        <f>IF(Table1[[#This Row],[Stress_Index]]&gt;=8,"High",IF(N429&gt;=5,"Medium","Low"))</f>
        <v>Medium</v>
      </c>
      <c r="P429" s="3">
        <v>0.24</v>
      </c>
      <c r="Q429" s="2">
        <v>0.32</v>
      </c>
      <c r="R429" s="3">
        <v>0.35</v>
      </c>
      <c r="S429" s="3" t="str">
        <f>IF(Table1[[#This Row],[CGPA]]&gt;=3,"High",IF(R428&gt;=2,"Medium","Low"))</f>
        <v>Medium</v>
      </c>
      <c r="T429" s="2" t="s">
        <v>12</v>
      </c>
      <c r="U429" s="2" t="s">
        <v>13</v>
      </c>
      <c r="V429" s="2" t="s">
        <v>0</v>
      </c>
      <c r="W429" s="7">
        <v>0</v>
      </c>
      <c r="X429" t="str">
        <f t="shared" si="13"/>
        <v>Active</v>
      </c>
    </row>
    <row r="430" spans="1:24" x14ac:dyDescent="0.3">
      <c r="A430" s="2">
        <v>429</v>
      </c>
      <c r="B430" s="7">
        <v>23.3</v>
      </c>
      <c r="C430" s="2" t="s">
        <v>5</v>
      </c>
      <c r="D430" s="7">
        <f>IF(ISBLANK('Raw sheet'!D430),AVERAGE('Raw sheet'!$D$2:'Raw sheet'!$D$1500),'Raw sheet'!D430)</f>
        <v>25000</v>
      </c>
      <c r="E430" s="7" t="str">
        <f>IF(Table1[[#This Row],[Family_Income]]&gt;=100000,"Upper",IF(D430&gt;=50000,"Middle","Lower"))</f>
        <v>Lower</v>
      </c>
      <c r="F430" s="2" t="s">
        <v>3</v>
      </c>
      <c r="G430" s="3">
        <f>IF(ISBLANK('Raw sheet'!F430),AVERAGE('Raw sheet'!$F$2:'Raw sheet'!$F$1500),'Raw sheet'!F430)</f>
        <v>3.04</v>
      </c>
      <c r="H430" s="18">
        <v>77.3</v>
      </c>
      <c r="I430" s="9" t="str">
        <f t="shared" si="12"/>
        <v>Good</v>
      </c>
      <c r="J430" s="2">
        <v>5</v>
      </c>
      <c r="K430" s="2">
        <v>27.3</v>
      </c>
      <c r="L430" s="2" t="s">
        <v>3</v>
      </c>
      <c r="M430" s="2" t="s">
        <v>3</v>
      </c>
      <c r="N430" s="5">
        <f>IF(ISBLANK('Raw sheet'!L430),AVERAGE('Raw sheet'!$L$2:'Raw sheet'!$L$1500),'Raw sheet'!L430)</f>
        <v>10</v>
      </c>
      <c r="O430" s="5" t="str">
        <f>IF(Table1[[#This Row],[Stress_Index]]&gt;=8,"High",IF(N430&gt;=5,"Medium","Low"))</f>
        <v>High</v>
      </c>
      <c r="P430" s="3">
        <v>0.99</v>
      </c>
      <c r="Q430" s="2">
        <v>1.03</v>
      </c>
      <c r="R430" s="3">
        <v>1.03</v>
      </c>
      <c r="S430" s="3" t="str">
        <f>IF(Table1[[#This Row],[CGPA]]&gt;=3,"High",IF(R429&gt;=2,"Medium","Low"))</f>
        <v>Low</v>
      </c>
      <c r="T430" s="2" t="s">
        <v>2</v>
      </c>
      <c r="U430" s="2" t="s">
        <v>1</v>
      </c>
      <c r="V430" s="2" t="s">
        <v>9</v>
      </c>
      <c r="W430" s="7">
        <v>1</v>
      </c>
      <c r="X430" t="str">
        <f t="shared" si="13"/>
        <v>Dropped Out</v>
      </c>
    </row>
    <row r="431" spans="1:24" x14ac:dyDescent="0.3">
      <c r="A431" s="2">
        <v>430</v>
      </c>
      <c r="B431" s="7">
        <v>17.100000000000001</v>
      </c>
      <c r="C431" s="2" t="s">
        <v>5</v>
      </c>
      <c r="D431" s="7">
        <f>IF(ISBLANK('Raw sheet'!D431),AVERAGE('Raw sheet'!$D$2:'Raw sheet'!$D$1500),'Raw sheet'!D431)</f>
        <v>39820</v>
      </c>
      <c r="E431" s="7" t="str">
        <f>IF(Table1[[#This Row],[Family_Income]]&gt;=100000,"Upper",IF(D431&gt;=50000,"Middle","Lower"))</f>
        <v>Lower</v>
      </c>
      <c r="F431" s="2" t="s">
        <v>4</v>
      </c>
      <c r="G431" s="3">
        <f>IF(ISBLANK('Raw sheet'!F431),AVERAGE('Raw sheet'!$F$2:'Raw sheet'!$F$1500),'Raw sheet'!F431)</f>
        <v>6.97</v>
      </c>
      <c r="H431" s="18">
        <v>74.2</v>
      </c>
      <c r="I431" s="9" t="str">
        <f t="shared" si="12"/>
        <v>Low</v>
      </c>
      <c r="J431" s="2">
        <v>1</v>
      </c>
      <c r="K431" s="2">
        <v>5</v>
      </c>
      <c r="L431" s="2" t="s">
        <v>3</v>
      </c>
      <c r="M431" s="2" t="s">
        <v>3</v>
      </c>
      <c r="N431" s="5">
        <f>IF(ISBLANK('Raw sheet'!L431),AVERAGE('Raw sheet'!$L$2:'Raw sheet'!$L$1500),'Raw sheet'!L431)</f>
        <v>7.5</v>
      </c>
      <c r="O431" s="5" t="str">
        <f>IF(Table1[[#This Row],[Stress_Index]]&gt;=8,"High",IF(N431&gt;=5,"Medium","Low"))</f>
        <v>Medium</v>
      </c>
      <c r="P431" s="3">
        <v>1.51</v>
      </c>
      <c r="Q431" s="2">
        <v>1.7</v>
      </c>
      <c r="R431" s="3">
        <v>1.7</v>
      </c>
      <c r="S431" s="3" t="str">
        <f>IF(Table1[[#This Row],[CGPA]]&gt;=3,"High",IF(R430&gt;=2,"Medium","Low"))</f>
        <v>Low</v>
      </c>
      <c r="T431" s="2" t="s">
        <v>2</v>
      </c>
      <c r="U431" s="2" t="s">
        <v>14</v>
      </c>
      <c r="V431" s="2" t="s">
        <v>9</v>
      </c>
      <c r="W431" s="7">
        <v>0</v>
      </c>
      <c r="X431" t="str">
        <f t="shared" si="13"/>
        <v>Active</v>
      </c>
    </row>
    <row r="432" spans="1:24" x14ac:dyDescent="0.3">
      <c r="A432" s="2">
        <v>431</v>
      </c>
      <c r="B432" s="7">
        <v>18.399999999999999</v>
      </c>
      <c r="C432" s="2" t="s">
        <v>5</v>
      </c>
      <c r="D432" s="7">
        <f>IF(ISBLANK('Raw sheet'!D432),AVERAGE('Raw sheet'!$D$2:'Raw sheet'!$D$1500),'Raw sheet'!D432)</f>
        <v>25000</v>
      </c>
      <c r="E432" s="7" t="str">
        <f>IF(Table1[[#This Row],[Family_Income]]&gt;=100000,"Upper",IF(D432&gt;=50000,"Middle","Lower"))</f>
        <v>Lower</v>
      </c>
      <c r="F432" s="2" t="s">
        <v>4</v>
      </c>
      <c r="G432" s="3">
        <f>IF(ISBLANK('Raw sheet'!F432),AVERAGE('Raw sheet'!$F$2:'Raw sheet'!$F$1500),'Raw sheet'!F432)</f>
        <v>2.4900000000000002</v>
      </c>
      <c r="H432" s="18">
        <v>75.900000000000006</v>
      </c>
      <c r="I432" s="9" t="str">
        <f t="shared" si="12"/>
        <v>Good</v>
      </c>
      <c r="J432" s="2">
        <v>4</v>
      </c>
      <c r="K432" s="2">
        <v>44.4</v>
      </c>
      <c r="L432" s="2" t="s">
        <v>4</v>
      </c>
      <c r="M432" s="2" t="s">
        <v>4</v>
      </c>
      <c r="N432" s="5">
        <f>IF(ISBLANK('Raw sheet'!L432),AVERAGE('Raw sheet'!$L$2:'Raw sheet'!$L$1500),'Raw sheet'!L432)</f>
        <v>4.5999999999999996</v>
      </c>
      <c r="O432" s="5" t="str">
        <f>IF(Table1[[#This Row],[Stress_Index]]&gt;=8,"High",IF(N432&gt;=5,"Medium","Low"))</f>
        <v>Low</v>
      </c>
      <c r="P432" s="3">
        <v>2.4</v>
      </c>
      <c r="Q432" s="2">
        <v>2.46</v>
      </c>
      <c r="R432" s="3">
        <v>2.46</v>
      </c>
      <c r="S432" s="3" t="str">
        <f>IF(Table1[[#This Row],[CGPA]]&gt;=3,"High",IF(R431&gt;=2,"Medium","Low"))</f>
        <v>Low</v>
      </c>
      <c r="T432" s="2" t="s">
        <v>2</v>
      </c>
      <c r="U432" s="2" t="s">
        <v>13</v>
      </c>
      <c r="V432" s="2" t="s">
        <v>0</v>
      </c>
      <c r="W432" s="7">
        <v>0</v>
      </c>
      <c r="X432" t="str">
        <f t="shared" si="13"/>
        <v>Active</v>
      </c>
    </row>
    <row r="433" spans="1:24" x14ac:dyDescent="0.3">
      <c r="A433" s="2">
        <v>432</v>
      </c>
      <c r="B433" s="7">
        <v>17</v>
      </c>
      <c r="C433" s="2" t="s">
        <v>5</v>
      </c>
      <c r="D433" s="7">
        <f>IF(ISBLANK('Raw sheet'!D433),AVERAGE('Raw sheet'!$D$2:'Raw sheet'!$D$1500),'Raw sheet'!D433)</f>
        <v>25000</v>
      </c>
      <c r="E433" s="7" t="str">
        <f>IF(Table1[[#This Row],[Family_Income]]&gt;=100000,"Upper",IF(D433&gt;=50000,"Middle","Lower"))</f>
        <v>Lower</v>
      </c>
      <c r="F433" s="2" t="s">
        <v>4</v>
      </c>
      <c r="G433" s="3">
        <f>IF(ISBLANK('Raw sheet'!F433),AVERAGE('Raw sheet'!$F$2:'Raw sheet'!$F$1500),'Raw sheet'!F433)</f>
        <v>5.25</v>
      </c>
      <c r="H433" s="18">
        <v>77.599999999999994</v>
      </c>
      <c r="I433" s="9" t="str">
        <f t="shared" si="12"/>
        <v>Good</v>
      </c>
      <c r="J433" s="2">
        <v>2</v>
      </c>
      <c r="K433" s="2">
        <v>18.2</v>
      </c>
      <c r="L433" s="2" t="s">
        <v>3</v>
      </c>
      <c r="M433" s="2" t="s">
        <v>4</v>
      </c>
      <c r="N433" s="5">
        <f>IF(ISBLANK('Raw sheet'!L433),AVERAGE('Raw sheet'!$L$2:'Raw sheet'!$L$1500),'Raw sheet'!L433)</f>
        <v>6.5</v>
      </c>
      <c r="O433" s="5" t="str">
        <f>IF(Table1[[#This Row],[Stress_Index]]&gt;=8,"High",IF(N433&gt;=5,"Medium","Low"))</f>
        <v>Medium</v>
      </c>
      <c r="P433" s="3">
        <v>3.46</v>
      </c>
      <c r="Q433" s="2">
        <v>3.5</v>
      </c>
      <c r="R433" s="3">
        <v>3.53</v>
      </c>
      <c r="S433" s="3" t="str">
        <f>IF(Table1[[#This Row],[CGPA]]&gt;=3,"High",IF(R432&gt;=2,"Medium","Low"))</f>
        <v>High</v>
      </c>
      <c r="T433" s="2" t="s">
        <v>12</v>
      </c>
      <c r="U433" s="2" t="s">
        <v>8</v>
      </c>
      <c r="V433" s="2" t="s">
        <v>15</v>
      </c>
      <c r="W433" s="7">
        <v>0</v>
      </c>
      <c r="X433" t="str">
        <f t="shared" si="13"/>
        <v>Active</v>
      </c>
    </row>
    <row r="434" spans="1:24" x14ac:dyDescent="0.3">
      <c r="A434" s="2">
        <v>433</v>
      </c>
      <c r="B434" s="7">
        <v>20.399999999999999</v>
      </c>
      <c r="C434" s="2" t="s">
        <v>5</v>
      </c>
      <c r="D434" s="7">
        <f>IF(ISBLANK('Raw sheet'!D434),AVERAGE('Raw sheet'!$D$2:'Raw sheet'!$D$1500),'Raw sheet'!D434)</f>
        <v>25000</v>
      </c>
      <c r="E434" s="7" t="str">
        <f>IF(Table1[[#This Row],[Family_Income]]&gt;=100000,"Upper",IF(D434&gt;=50000,"Middle","Lower"))</f>
        <v>Lower</v>
      </c>
      <c r="F434" s="2" t="s">
        <v>3</v>
      </c>
      <c r="G434" s="3">
        <f>IF(ISBLANK('Raw sheet'!F434),AVERAGE('Raw sheet'!$F$2:'Raw sheet'!$F$1500),'Raw sheet'!F434)</f>
        <v>3.86</v>
      </c>
      <c r="H434" s="18">
        <v>86.5</v>
      </c>
      <c r="I434" s="9" t="str">
        <f t="shared" si="12"/>
        <v>Good</v>
      </c>
      <c r="J434" s="2">
        <v>0</v>
      </c>
      <c r="K434" s="2">
        <v>18</v>
      </c>
      <c r="L434" s="2" t="s">
        <v>4</v>
      </c>
      <c r="M434" s="2" t="s">
        <v>3</v>
      </c>
      <c r="N434" s="5">
        <f>IF(ISBLANK('Raw sheet'!L434),AVERAGE('Raw sheet'!$L$2:'Raw sheet'!$L$1500),'Raw sheet'!L434)</f>
        <v>4.8</v>
      </c>
      <c r="O434" s="5" t="str">
        <f>IF(Table1[[#This Row],[Stress_Index]]&gt;=8,"High",IF(N434&gt;=5,"Medium","Low"))</f>
        <v>Low</v>
      </c>
      <c r="P434" s="3">
        <v>3.61</v>
      </c>
      <c r="Q434" s="2">
        <v>3.44</v>
      </c>
      <c r="R434" s="3">
        <v>3.42</v>
      </c>
      <c r="S434" s="3" t="str">
        <f>IF(Table1[[#This Row],[CGPA]]&gt;=3,"High",IF(R433&gt;=2,"Medium","Low"))</f>
        <v>High</v>
      </c>
      <c r="T434" s="2" t="s">
        <v>12</v>
      </c>
      <c r="U434" s="2" t="s">
        <v>6</v>
      </c>
      <c r="V434" s="2" t="s">
        <v>9</v>
      </c>
      <c r="W434" s="7">
        <v>0</v>
      </c>
      <c r="X434" t="str">
        <f t="shared" si="13"/>
        <v>Active</v>
      </c>
    </row>
    <row r="435" spans="1:24" x14ac:dyDescent="0.3">
      <c r="A435" s="2">
        <v>434</v>
      </c>
      <c r="B435" s="7">
        <v>22.6</v>
      </c>
      <c r="C435" s="2" t="s">
        <v>5</v>
      </c>
      <c r="D435" s="7">
        <f>IF(ISBLANK('Raw sheet'!D435),AVERAGE('Raw sheet'!$D$2:'Raw sheet'!$D$1500),'Raw sheet'!D435)</f>
        <v>25000</v>
      </c>
      <c r="E435" s="7" t="str">
        <f>IF(Table1[[#This Row],[Family_Income]]&gt;=100000,"Upper",IF(D435&gt;=50000,"Middle","Lower"))</f>
        <v>Lower</v>
      </c>
      <c r="F435" s="2" t="s">
        <v>4</v>
      </c>
      <c r="G435" s="3">
        <f>IF(ISBLANK('Raw sheet'!F435),AVERAGE('Raw sheet'!$F$2:'Raw sheet'!$F$1500),'Raw sheet'!F435)</f>
        <v>3.54</v>
      </c>
      <c r="H435" s="18">
        <v>79</v>
      </c>
      <c r="I435" s="9" t="str">
        <f t="shared" si="12"/>
        <v>Good</v>
      </c>
      <c r="J435" s="2">
        <v>3</v>
      </c>
      <c r="K435" s="2">
        <v>6.8</v>
      </c>
      <c r="L435" s="2" t="s">
        <v>4</v>
      </c>
      <c r="M435" s="2" t="s">
        <v>3</v>
      </c>
      <c r="N435" s="5">
        <f>IF(ISBLANK('Raw sheet'!L435),AVERAGE('Raw sheet'!$L$2:'Raw sheet'!$L$1500),'Raw sheet'!L435)</f>
        <v>7.3</v>
      </c>
      <c r="O435" s="5" t="str">
        <f>IF(Table1[[#This Row],[Stress_Index]]&gt;=8,"High",IF(N435&gt;=5,"Medium","Low"))</f>
        <v>Medium</v>
      </c>
      <c r="P435" s="3">
        <v>0.94</v>
      </c>
      <c r="Q435" s="2">
        <v>1.1399999999999999</v>
      </c>
      <c r="R435" s="3">
        <v>1.0900000000000001</v>
      </c>
      <c r="S435" s="3" t="str">
        <f>IF(Table1[[#This Row],[CGPA]]&gt;=3,"High",IF(R434&gt;=2,"Medium","Low"))</f>
        <v>Medium</v>
      </c>
      <c r="T435" s="2" t="s">
        <v>7</v>
      </c>
      <c r="U435" s="2" t="s">
        <v>6</v>
      </c>
      <c r="V435" s="2" t="s">
        <v>9</v>
      </c>
      <c r="W435" s="7">
        <v>0</v>
      </c>
      <c r="X435" t="str">
        <f t="shared" si="13"/>
        <v>Active</v>
      </c>
    </row>
    <row r="436" spans="1:24" x14ac:dyDescent="0.3">
      <c r="A436" s="2">
        <v>435</v>
      </c>
      <c r="B436" s="7">
        <v>24.3</v>
      </c>
      <c r="C436" s="2" t="s">
        <v>5</v>
      </c>
      <c r="D436" s="7">
        <f>IF(ISBLANK('Raw sheet'!D436),AVERAGE('Raw sheet'!$D$2:'Raw sheet'!$D$1500),'Raw sheet'!D436)</f>
        <v>65314</v>
      </c>
      <c r="E436" s="7" t="str">
        <f>IF(Table1[[#This Row],[Family_Income]]&gt;=100000,"Upper",IF(D436&gt;=50000,"Middle","Lower"))</f>
        <v>Middle</v>
      </c>
      <c r="F436" s="2" t="s">
        <v>4</v>
      </c>
      <c r="G436" s="3">
        <f>IF(ISBLANK('Raw sheet'!F436),AVERAGE('Raw sheet'!$F$2:'Raw sheet'!$F$1500),'Raw sheet'!F436)</f>
        <v>6.2</v>
      </c>
      <c r="H436" s="18">
        <v>86.9</v>
      </c>
      <c r="I436" s="9" t="str">
        <f t="shared" si="12"/>
        <v>Good</v>
      </c>
      <c r="J436" s="2">
        <v>5</v>
      </c>
      <c r="K436" s="2">
        <v>35.299999999999997</v>
      </c>
      <c r="L436" s="2" t="s">
        <v>4</v>
      </c>
      <c r="M436" s="2" t="s">
        <v>3</v>
      </c>
      <c r="N436" s="5">
        <f>IF(ISBLANK('Raw sheet'!L436),AVERAGE('Raw sheet'!$L$2:'Raw sheet'!$L$1500),'Raw sheet'!L436)</f>
        <v>4</v>
      </c>
      <c r="O436" s="5" t="str">
        <f>IF(Table1[[#This Row],[Stress_Index]]&gt;=8,"High",IF(N436&gt;=5,"Medium","Low"))</f>
        <v>Low</v>
      </c>
      <c r="P436" s="3">
        <v>1.21</v>
      </c>
      <c r="Q436" s="2">
        <v>1.19</v>
      </c>
      <c r="R436" s="3">
        <v>1.19</v>
      </c>
      <c r="S436" s="3" t="str">
        <f>IF(Table1[[#This Row],[CGPA]]&gt;=3,"High",IF(R435&gt;=2,"Medium","Low"))</f>
        <v>Low</v>
      </c>
      <c r="T436" s="2" t="s">
        <v>2</v>
      </c>
      <c r="U436" s="2" t="s">
        <v>6</v>
      </c>
      <c r="V436" s="2" t="s">
        <v>15</v>
      </c>
      <c r="W436" s="7">
        <v>0</v>
      </c>
      <c r="X436" t="str">
        <f t="shared" si="13"/>
        <v>Active</v>
      </c>
    </row>
    <row r="437" spans="1:24" x14ac:dyDescent="0.3">
      <c r="A437" s="2">
        <v>436</v>
      </c>
      <c r="B437" s="7">
        <v>21.2</v>
      </c>
      <c r="C437" s="2" t="s">
        <v>11</v>
      </c>
      <c r="D437" s="7">
        <f>IF(ISBLANK('Raw sheet'!D437),AVERAGE('Raw sheet'!$D$2:'Raw sheet'!$D$1500),'Raw sheet'!D437)</f>
        <v>25000</v>
      </c>
      <c r="E437" s="7" t="str">
        <f>IF(Table1[[#This Row],[Family_Income]]&gt;=100000,"Upper",IF(D437&gt;=50000,"Middle","Lower"))</f>
        <v>Lower</v>
      </c>
      <c r="F437" s="2" t="s">
        <v>3</v>
      </c>
      <c r="G437" s="3">
        <f>IF(ISBLANK('Raw sheet'!F437),AVERAGE('Raw sheet'!$F$2:'Raw sheet'!$F$1500),'Raw sheet'!F437)</f>
        <v>4.12</v>
      </c>
      <c r="H437" s="18">
        <v>71.900000000000006</v>
      </c>
      <c r="I437" s="9" t="str">
        <f t="shared" si="12"/>
        <v>Low</v>
      </c>
      <c r="J437" s="2">
        <v>1</v>
      </c>
      <c r="K437" s="2">
        <v>30.9</v>
      </c>
      <c r="L437" s="2" t="s">
        <v>3</v>
      </c>
      <c r="M437" s="2" t="s">
        <v>3</v>
      </c>
      <c r="N437" s="5">
        <f>IF(ISBLANK('Raw sheet'!L437),AVERAGE('Raw sheet'!$L$2:'Raw sheet'!$L$1500),'Raw sheet'!L437)</f>
        <v>7.7</v>
      </c>
      <c r="O437" s="5" t="str">
        <f>IF(Table1[[#This Row],[Stress_Index]]&gt;=8,"High",IF(N437&gt;=5,"Medium","Low"))</f>
        <v>Medium</v>
      </c>
      <c r="P437" s="3">
        <v>0.88</v>
      </c>
      <c r="Q437" s="2">
        <v>0.83</v>
      </c>
      <c r="R437" s="3">
        <v>0.85</v>
      </c>
      <c r="S437" s="3" t="str">
        <f>IF(Table1[[#This Row],[CGPA]]&gt;=3,"High",IF(R436&gt;=2,"Medium","Low"))</f>
        <v>Low</v>
      </c>
      <c r="T437" s="2" t="s">
        <v>12</v>
      </c>
      <c r="U437" s="2" t="s">
        <v>14</v>
      </c>
      <c r="V437" s="2" t="s">
        <v>9</v>
      </c>
      <c r="W437" s="7">
        <v>1</v>
      </c>
      <c r="X437" t="str">
        <f t="shared" si="13"/>
        <v>Dropped Out</v>
      </c>
    </row>
    <row r="438" spans="1:24" x14ac:dyDescent="0.3">
      <c r="A438" s="2">
        <v>437</v>
      </c>
      <c r="B438" s="7">
        <v>24.6</v>
      </c>
      <c r="C438" s="2" t="s">
        <v>11</v>
      </c>
      <c r="D438" s="7">
        <f>IF(ISBLANK('Raw sheet'!D438),AVERAGE('Raw sheet'!$D$2:'Raw sheet'!$D$1500),'Raw sheet'!D438)</f>
        <v>25000</v>
      </c>
      <c r="E438" s="7" t="str">
        <f>IF(Table1[[#This Row],[Family_Income]]&gt;=100000,"Upper",IF(D438&gt;=50000,"Middle","Lower"))</f>
        <v>Lower</v>
      </c>
      <c r="F438" s="2" t="s">
        <v>4</v>
      </c>
      <c r="G438" s="3">
        <f>IF(ISBLANK('Raw sheet'!F438),AVERAGE('Raw sheet'!$F$2:'Raw sheet'!$F$1500),'Raw sheet'!F438)</f>
        <v>5.21</v>
      </c>
      <c r="H438" s="18">
        <v>76.8</v>
      </c>
      <c r="I438" s="9" t="str">
        <f t="shared" si="12"/>
        <v>Good</v>
      </c>
      <c r="J438" s="2">
        <v>1</v>
      </c>
      <c r="K438" s="2">
        <v>21</v>
      </c>
      <c r="L438" s="2" t="s">
        <v>3</v>
      </c>
      <c r="M438" s="2" t="s">
        <v>4</v>
      </c>
      <c r="N438" s="5">
        <f>IF(ISBLANK('Raw sheet'!L438),AVERAGE('Raw sheet'!$L$2:'Raw sheet'!$L$1500),'Raw sheet'!L438)</f>
        <v>7.2</v>
      </c>
      <c r="O438" s="5" t="str">
        <f>IF(Table1[[#This Row],[Stress_Index]]&gt;=8,"High",IF(N438&gt;=5,"Medium","Low"))</f>
        <v>Medium</v>
      </c>
      <c r="P438" s="3">
        <v>2.4900000000000002</v>
      </c>
      <c r="Q438" s="2">
        <v>2.35</v>
      </c>
      <c r="R438" s="3">
        <v>2.3199999999999998</v>
      </c>
      <c r="S438" s="3" t="str">
        <f>IF(Table1[[#This Row],[CGPA]]&gt;=3,"High",IF(R437&gt;=2,"Medium","Low"))</f>
        <v>Low</v>
      </c>
      <c r="T438" s="2" t="s">
        <v>10</v>
      </c>
      <c r="U438" s="2" t="s">
        <v>13</v>
      </c>
      <c r="V438" s="2" t="s">
        <v>15</v>
      </c>
      <c r="W438" s="7">
        <v>1</v>
      </c>
      <c r="X438" t="str">
        <f t="shared" si="13"/>
        <v>Dropped Out</v>
      </c>
    </row>
    <row r="439" spans="1:24" x14ac:dyDescent="0.3">
      <c r="A439" s="2">
        <v>438</v>
      </c>
      <c r="B439" s="7">
        <v>18</v>
      </c>
      <c r="C439" s="2" t="s">
        <v>11</v>
      </c>
      <c r="D439" s="7">
        <f>IF(ISBLANK('Raw sheet'!D439),AVERAGE('Raw sheet'!$D$2:'Raw sheet'!$D$1500),'Raw sheet'!D439)</f>
        <v>33401</v>
      </c>
      <c r="E439" s="7" t="str">
        <f>IF(Table1[[#This Row],[Family_Income]]&gt;=100000,"Upper",IF(D439&gt;=50000,"Middle","Lower"))</f>
        <v>Lower</v>
      </c>
      <c r="F439" s="2" t="s">
        <v>4</v>
      </c>
      <c r="G439" s="3">
        <f>IF(ISBLANK('Raw sheet'!F439),AVERAGE('Raw sheet'!$F$2:'Raw sheet'!$F$1500),'Raw sheet'!F439)</f>
        <v>7.12</v>
      </c>
      <c r="H439" s="18">
        <v>76.3</v>
      </c>
      <c r="I439" s="9" t="str">
        <f t="shared" si="12"/>
        <v>Good</v>
      </c>
      <c r="J439" s="2">
        <v>2</v>
      </c>
      <c r="K439" s="2">
        <v>33.200000000000003</v>
      </c>
      <c r="L439" s="2" t="s">
        <v>3</v>
      </c>
      <c r="M439" s="2" t="s">
        <v>4</v>
      </c>
      <c r="N439" s="5">
        <f>IF(ISBLANK('Raw sheet'!L439),AVERAGE('Raw sheet'!$L$2:'Raw sheet'!$L$1500),'Raw sheet'!L439)</f>
        <v>6.7</v>
      </c>
      <c r="O439" s="5" t="str">
        <f>IF(Table1[[#This Row],[Stress_Index]]&gt;=8,"High",IF(N439&gt;=5,"Medium","Low"))</f>
        <v>Medium</v>
      </c>
      <c r="P439" s="3">
        <v>0.64</v>
      </c>
      <c r="Q439" s="2">
        <v>0.43</v>
      </c>
      <c r="R439" s="3">
        <v>0.43</v>
      </c>
      <c r="S439" s="3" t="str">
        <f>IF(Table1[[#This Row],[CGPA]]&gt;=3,"High",IF(R438&gt;=2,"Medium","Low"))</f>
        <v>Medium</v>
      </c>
      <c r="T439" s="2" t="s">
        <v>2</v>
      </c>
      <c r="U439" s="2" t="s">
        <v>14</v>
      </c>
      <c r="V439" s="2" t="s">
        <v>9</v>
      </c>
      <c r="W439" s="7">
        <v>1</v>
      </c>
      <c r="X439" t="str">
        <f t="shared" si="13"/>
        <v>Dropped Out</v>
      </c>
    </row>
    <row r="440" spans="1:24" x14ac:dyDescent="0.3">
      <c r="A440" s="2">
        <v>439</v>
      </c>
      <c r="B440" s="7">
        <v>17.3</v>
      </c>
      <c r="C440" s="2" t="s">
        <v>5</v>
      </c>
      <c r="D440" s="7">
        <f>IF(ISBLANK('Raw sheet'!D440),AVERAGE('Raw sheet'!$D$2:'Raw sheet'!$D$1500),'Raw sheet'!D440)</f>
        <v>25000</v>
      </c>
      <c r="E440" s="7" t="str">
        <f>IF(Table1[[#This Row],[Family_Income]]&gt;=100000,"Upper",IF(D440&gt;=50000,"Middle","Lower"))</f>
        <v>Lower</v>
      </c>
      <c r="F440" s="2" t="s">
        <v>4</v>
      </c>
      <c r="G440" s="3">
        <f>IF(ISBLANK('Raw sheet'!F440),AVERAGE('Raw sheet'!$F$2:'Raw sheet'!$F$1500),'Raw sheet'!F440)</f>
        <v>3.73</v>
      </c>
      <c r="H440" s="18">
        <v>51.5</v>
      </c>
      <c r="I440" s="9" t="str">
        <f t="shared" si="12"/>
        <v>Low</v>
      </c>
      <c r="J440" s="2">
        <v>4</v>
      </c>
      <c r="K440" s="2">
        <v>20.6</v>
      </c>
      <c r="L440" s="2" t="s">
        <v>3</v>
      </c>
      <c r="M440" s="2" t="s">
        <v>4</v>
      </c>
      <c r="N440" s="5">
        <f>IF(ISBLANK('Raw sheet'!L440),AVERAGE('Raw sheet'!$L$2:'Raw sheet'!$L$1500),'Raw sheet'!L440)</f>
        <v>9.1999999999999993</v>
      </c>
      <c r="O440" s="5" t="str">
        <f>IF(Table1[[#This Row],[Stress_Index]]&gt;=8,"High",IF(N440&gt;=5,"Medium","Low"))</f>
        <v>High</v>
      </c>
      <c r="P440" s="3">
        <v>0.49</v>
      </c>
      <c r="Q440" s="2">
        <v>0.74</v>
      </c>
      <c r="R440" s="3">
        <v>0.65</v>
      </c>
      <c r="S440" s="3" t="str">
        <f>IF(Table1[[#This Row],[CGPA]]&gt;=3,"High",IF(R439&gt;=2,"Medium","Low"))</f>
        <v>Low</v>
      </c>
      <c r="T440" s="2" t="s">
        <v>7</v>
      </c>
      <c r="U440" s="2" t="s">
        <v>1</v>
      </c>
      <c r="V440" s="2" t="s">
        <v>15</v>
      </c>
      <c r="W440" s="7">
        <v>1</v>
      </c>
      <c r="X440" t="str">
        <f t="shared" si="13"/>
        <v>Dropped Out</v>
      </c>
    </row>
    <row r="441" spans="1:24" x14ac:dyDescent="0.3">
      <c r="A441" s="2">
        <v>440</v>
      </c>
      <c r="B441" s="7">
        <v>20.9</v>
      </c>
      <c r="C441" s="2" t="s">
        <v>11</v>
      </c>
      <c r="D441" s="7">
        <f>IF(ISBLANK('Raw sheet'!D441),AVERAGE('Raw sheet'!$D$2:'Raw sheet'!$D$1500),'Raw sheet'!D441)</f>
        <v>38587.00282087447</v>
      </c>
      <c r="E441" s="7" t="str">
        <f>IF(Table1[[#This Row],[Family_Income]]&gt;=100000,"Upper",IF(D441&gt;=50000,"Middle","Lower"))</f>
        <v>Lower</v>
      </c>
      <c r="F441" s="2" t="s">
        <v>3</v>
      </c>
      <c r="G441" s="3">
        <f>IF(ISBLANK('Raw sheet'!F441),AVERAGE('Raw sheet'!$F$2:'Raw sheet'!$F$1500),'Raw sheet'!F441)</f>
        <v>4.0178702397743278</v>
      </c>
      <c r="H441" s="18">
        <v>63.3</v>
      </c>
      <c r="I441" s="9" t="str">
        <f t="shared" si="12"/>
        <v>Low</v>
      </c>
      <c r="J441" s="2">
        <v>2</v>
      </c>
      <c r="K441" s="2">
        <v>8.9</v>
      </c>
      <c r="L441" s="2" t="s">
        <v>4</v>
      </c>
      <c r="M441" s="2" t="s">
        <v>3</v>
      </c>
      <c r="N441" s="5">
        <f>IF(ISBLANK('Raw sheet'!L441),AVERAGE('Raw sheet'!$L$2:'Raw sheet'!$L$1500),'Raw sheet'!L441)</f>
        <v>5.5242595204513369</v>
      </c>
      <c r="O441" s="5" t="str">
        <f>IF(Table1[[#This Row],[Stress_Index]]&gt;=8,"High",IF(N441&gt;=5,"Medium","Low"))</f>
        <v>Medium</v>
      </c>
      <c r="P441" s="3">
        <v>1.69</v>
      </c>
      <c r="Q441" s="2">
        <v>1.74</v>
      </c>
      <c r="R441" s="3">
        <v>1.74</v>
      </c>
      <c r="S441" s="3" t="str">
        <f>IF(Table1[[#This Row],[CGPA]]&gt;=3,"High",IF(R440&gt;=2,"Medium","Low"))</f>
        <v>Low</v>
      </c>
      <c r="T441" s="2" t="s">
        <v>12</v>
      </c>
      <c r="U441" s="2" t="s">
        <v>1</v>
      </c>
      <c r="V441" s="2" t="s">
        <v>9</v>
      </c>
      <c r="W441" s="7">
        <v>1</v>
      </c>
      <c r="X441" t="str">
        <f t="shared" si="13"/>
        <v>Dropped Out</v>
      </c>
    </row>
    <row r="442" spans="1:24" x14ac:dyDescent="0.3">
      <c r="A442" s="2">
        <v>441</v>
      </c>
      <c r="B442" s="7">
        <v>21.8</v>
      </c>
      <c r="C442" s="2" t="s">
        <v>11</v>
      </c>
      <c r="D442" s="7">
        <f>IF(ISBLANK('Raw sheet'!D442),AVERAGE('Raw sheet'!$D$2:'Raw sheet'!$D$1500),'Raw sheet'!D442)</f>
        <v>26970</v>
      </c>
      <c r="E442" s="7" t="str">
        <f>IF(Table1[[#This Row],[Family_Income]]&gt;=100000,"Upper",IF(D442&gt;=50000,"Middle","Lower"))</f>
        <v>Lower</v>
      </c>
      <c r="F442" s="2" t="s">
        <v>4</v>
      </c>
      <c r="G442" s="3">
        <f>IF(ISBLANK('Raw sheet'!F442),AVERAGE('Raw sheet'!$F$2:'Raw sheet'!$F$1500),'Raw sheet'!F442)</f>
        <v>4.92</v>
      </c>
      <c r="H442" s="18">
        <v>73.7</v>
      </c>
      <c r="I442" s="9" t="str">
        <f t="shared" si="12"/>
        <v>Low</v>
      </c>
      <c r="J442" s="2">
        <v>2</v>
      </c>
      <c r="K442" s="2">
        <v>25.6</v>
      </c>
      <c r="L442" s="2" t="s">
        <v>3</v>
      </c>
      <c r="M442" s="2" t="s">
        <v>3</v>
      </c>
      <c r="N442" s="5">
        <f>IF(ISBLANK('Raw sheet'!L442),AVERAGE('Raw sheet'!$L$2:'Raw sheet'!$L$1500),'Raw sheet'!L442)</f>
        <v>7.3</v>
      </c>
      <c r="O442" s="5" t="str">
        <f>IF(Table1[[#This Row],[Stress_Index]]&gt;=8,"High",IF(N442&gt;=5,"Medium","Low"))</f>
        <v>Medium</v>
      </c>
      <c r="P442" s="3">
        <v>2.15</v>
      </c>
      <c r="Q442" s="2">
        <v>1.88</v>
      </c>
      <c r="R442" s="3">
        <v>1.84</v>
      </c>
      <c r="S442" s="3" t="str">
        <f>IF(Table1[[#This Row],[CGPA]]&gt;=3,"High",IF(R441&gt;=2,"Medium","Low"))</f>
        <v>Low</v>
      </c>
      <c r="T442" s="2" t="s">
        <v>12</v>
      </c>
      <c r="U442" s="2" t="s">
        <v>13</v>
      </c>
      <c r="V442" s="2" t="s">
        <v>15</v>
      </c>
      <c r="W442" s="7">
        <v>1</v>
      </c>
      <c r="X442" t="str">
        <f t="shared" si="13"/>
        <v>Dropped Out</v>
      </c>
    </row>
    <row r="443" spans="1:24" x14ac:dyDescent="0.3">
      <c r="A443" s="2">
        <v>442</v>
      </c>
      <c r="B443" s="7">
        <v>20.9</v>
      </c>
      <c r="C443" s="2" t="s">
        <v>5</v>
      </c>
      <c r="D443" s="7">
        <f>IF(ISBLANK('Raw sheet'!D443),AVERAGE('Raw sheet'!$D$2:'Raw sheet'!$D$1500),'Raw sheet'!D443)</f>
        <v>36357</v>
      </c>
      <c r="E443" s="7" t="str">
        <f>IF(Table1[[#This Row],[Family_Income]]&gt;=100000,"Upper",IF(D443&gt;=50000,"Middle","Lower"))</f>
        <v>Lower</v>
      </c>
      <c r="F443" s="2" t="s">
        <v>4</v>
      </c>
      <c r="G443" s="3">
        <f>IF(ISBLANK('Raw sheet'!F443),AVERAGE('Raw sheet'!$F$2:'Raw sheet'!$F$1500),'Raw sheet'!F443)</f>
        <v>3.58</v>
      </c>
      <c r="H443" s="18">
        <v>85.7</v>
      </c>
      <c r="I443" s="9" t="str">
        <f t="shared" si="12"/>
        <v>Good</v>
      </c>
      <c r="J443" s="2">
        <v>1</v>
      </c>
      <c r="K443" s="2">
        <v>49.7</v>
      </c>
      <c r="L443" s="2" t="s">
        <v>3</v>
      </c>
      <c r="M443" s="2" t="s">
        <v>4</v>
      </c>
      <c r="N443" s="5">
        <f>IF(ISBLANK('Raw sheet'!L443),AVERAGE('Raw sheet'!$L$2:'Raw sheet'!$L$1500),'Raw sheet'!L443)</f>
        <v>7.5</v>
      </c>
      <c r="O443" s="5" t="str">
        <f>IF(Table1[[#This Row],[Stress_Index]]&gt;=8,"High",IF(N443&gt;=5,"Medium","Low"))</f>
        <v>Medium</v>
      </c>
      <c r="P443" s="3">
        <v>1.42</v>
      </c>
      <c r="Q443" s="2">
        <v>1.66</v>
      </c>
      <c r="R443" s="3">
        <v>1.66</v>
      </c>
      <c r="S443" s="3" t="str">
        <f>IF(Table1[[#This Row],[CGPA]]&gt;=3,"High",IF(R442&gt;=2,"Medium","Low"))</f>
        <v>Low</v>
      </c>
      <c r="T443" s="2" t="s">
        <v>2</v>
      </c>
      <c r="U443" s="2" t="s">
        <v>14</v>
      </c>
      <c r="V443" s="2" t="s">
        <v>9</v>
      </c>
      <c r="W443" s="7">
        <v>1</v>
      </c>
      <c r="X443" t="str">
        <f t="shared" si="13"/>
        <v>Dropped Out</v>
      </c>
    </row>
    <row r="444" spans="1:24" x14ac:dyDescent="0.3">
      <c r="A444" s="2">
        <v>443</v>
      </c>
      <c r="B444" s="7">
        <v>17</v>
      </c>
      <c r="C444" s="2" t="s">
        <v>5</v>
      </c>
      <c r="D444" s="7">
        <f>IF(ISBLANK('Raw sheet'!D444),AVERAGE('Raw sheet'!$D$2:'Raw sheet'!$D$1500),'Raw sheet'!D444)</f>
        <v>52379</v>
      </c>
      <c r="E444" s="7" t="str">
        <f>IF(Table1[[#This Row],[Family_Income]]&gt;=100000,"Upper",IF(D444&gt;=50000,"Middle","Lower"))</f>
        <v>Middle</v>
      </c>
      <c r="F444" s="2" t="s">
        <v>4</v>
      </c>
      <c r="G444" s="3">
        <f>IF(ISBLANK('Raw sheet'!F444),AVERAGE('Raw sheet'!$F$2:'Raw sheet'!$F$1500),'Raw sheet'!F444)</f>
        <v>4.6399999999999997</v>
      </c>
      <c r="H444" s="18">
        <v>87.9</v>
      </c>
      <c r="I444" s="9" t="str">
        <f t="shared" si="12"/>
        <v>Good</v>
      </c>
      <c r="J444" s="2">
        <v>0</v>
      </c>
      <c r="K444" s="2">
        <v>41.7</v>
      </c>
      <c r="L444" s="2" t="s">
        <v>4</v>
      </c>
      <c r="M444" s="2" t="s">
        <v>4</v>
      </c>
      <c r="N444" s="5">
        <f>IF(ISBLANK('Raw sheet'!L444),AVERAGE('Raw sheet'!$L$2:'Raw sheet'!$L$1500),'Raw sheet'!L444)</f>
        <v>6.8</v>
      </c>
      <c r="O444" s="5" t="str">
        <f>IF(Table1[[#This Row],[Stress_Index]]&gt;=8,"High",IF(N444&gt;=5,"Medium","Low"))</f>
        <v>Medium</v>
      </c>
      <c r="P444" s="3">
        <v>1.37</v>
      </c>
      <c r="Q444" s="2">
        <v>1.1100000000000001</v>
      </c>
      <c r="R444" s="3">
        <v>1.07</v>
      </c>
      <c r="S444" s="3" t="str">
        <f>IF(Table1[[#This Row],[CGPA]]&gt;=3,"High",IF(R443&gt;=2,"Medium","Low"))</f>
        <v>Low</v>
      </c>
      <c r="T444" s="2" t="s">
        <v>12</v>
      </c>
      <c r="U444" s="2" t="s">
        <v>6</v>
      </c>
      <c r="V444" s="2" t="s">
        <v>9</v>
      </c>
      <c r="W444" s="7">
        <v>1</v>
      </c>
      <c r="X444" t="str">
        <f t="shared" si="13"/>
        <v>Dropped Out</v>
      </c>
    </row>
    <row r="445" spans="1:24" x14ac:dyDescent="0.3">
      <c r="A445" s="2">
        <v>444</v>
      </c>
      <c r="B445" s="7">
        <v>20.8</v>
      </c>
      <c r="C445" s="2" t="s">
        <v>11</v>
      </c>
      <c r="D445" s="7">
        <f>IF(ISBLANK('Raw sheet'!D445),AVERAGE('Raw sheet'!$D$2:'Raw sheet'!$D$1500),'Raw sheet'!D445)</f>
        <v>51779</v>
      </c>
      <c r="E445" s="7" t="str">
        <f>IF(Table1[[#This Row],[Family_Income]]&gt;=100000,"Upper",IF(D445&gt;=50000,"Middle","Lower"))</f>
        <v>Middle</v>
      </c>
      <c r="F445" s="2" t="s">
        <v>4</v>
      </c>
      <c r="G445" s="3">
        <f>IF(ISBLANK('Raw sheet'!F445),AVERAGE('Raw sheet'!$F$2:'Raw sheet'!$F$1500),'Raw sheet'!F445)</f>
        <v>5.47</v>
      </c>
      <c r="H445" s="18">
        <v>70.8</v>
      </c>
      <c r="I445" s="9" t="str">
        <f t="shared" si="12"/>
        <v>Low</v>
      </c>
      <c r="J445" s="2">
        <v>2</v>
      </c>
      <c r="K445" s="2">
        <v>35.5</v>
      </c>
      <c r="L445" s="2" t="s">
        <v>4</v>
      </c>
      <c r="M445" s="2" t="s">
        <v>3</v>
      </c>
      <c r="N445" s="5">
        <f>IF(ISBLANK('Raw sheet'!L445),AVERAGE('Raw sheet'!$L$2:'Raw sheet'!$L$1500),'Raw sheet'!L445)</f>
        <v>6.3</v>
      </c>
      <c r="O445" s="5" t="str">
        <f>IF(Table1[[#This Row],[Stress_Index]]&gt;=8,"High",IF(N445&gt;=5,"Medium","Low"))</f>
        <v>Medium</v>
      </c>
      <c r="P445" s="3">
        <v>2.17</v>
      </c>
      <c r="Q445" s="2">
        <v>1.96</v>
      </c>
      <c r="R445" s="3">
        <v>1.96</v>
      </c>
      <c r="S445" s="3" t="str">
        <f>IF(Table1[[#This Row],[CGPA]]&gt;=3,"High",IF(R444&gt;=2,"Medium","Low"))</f>
        <v>Low</v>
      </c>
      <c r="T445" s="2" t="s">
        <v>2</v>
      </c>
      <c r="U445" s="2" t="s">
        <v>13</v>
      </c>
      <c r="V445" s="2" t="s">
        <v>15</v>
      </c>
      <c r="W445" s="7">
        <v>0</v>
      </c>
      <c r="X445" t="str">
        <f t="shared" si="13"/>
        <v>Active</v>
      </c>
    </row>
    <row r="446" spans="1:24" x14ac:dyDescent="0.3">
      <c r="A446" s="2">
        <v>445</v>
      </c>
      <c r="B446" s="7">
        <v>18.100000000000001</v>
      </c>
      <c r="C446" s="2" t="s">
        <v>5</v>
      </c>
      <c r="D446" s="7">
        <f>IF(ISBLANK('Raw sheet'!D446),AVERAGE('Raw sheet'!$D$2:'Raw sheet'!$D$1500),'Raw sheet'!D446)</f>
        <v>34200</v>
      </c>
      <c r="E446" s="7" t="str">
        <f>IF(Table1[[#This Row],[Family_Income]]&gt;=100000,"Upper",IF(D446&gt;=50000,"Middle","Lower"))</f>
        <v>Lower</v>
      </c>
      <c r="F446" s="2" t="s">
        <v>4</v>
      </c>
      <c r="G446" s="3">
        <f>IF(ISBLANK('Raw sheet'!F446),AVERAGE('Raw sheet'!$F$2:'Raw sheet'!$F$1500),'Raw sheet'!F446)</f>
        <v>5.0199999999999996</v>
      </c>
      <c r="H446" s="18">
        <v>80</v>
      </c>
      <c r="I446" s="9" t="str">
        <f t="shared" si="12"/>
        <v>Good</v>
      </c>
      <c r="J446" s="2">
        <v>1</v>
      </c>
      <c r="K446" s="2">
        <v>32.9</v>
      </c>
      <c r="L446" s="2" t="s">
        <v>3</v>
      </c>
      <c r="M446" s="2" t="s">
        <v>3</v>
      </c>
      <c r="N446" s="5">
        <f>IF(ISBLANK('Raw sheet'!L446),AVERAGE('Raw sheet'!$L$2:'Raw sheet'!$L$1500),'Raw sheet'!L446)</f>
        <v>4.3</v>
      </c>
      <c r="O446" s="5" t="str">
        <f>IF(Table1[[#This Row],[Stress_Index]]&gt;=8,"High",IF(N446&gt;=5,"Medium","Low"))</f>
        <v>Low</v>
      </c>
      <c r="P446" s="3">
        <v>4</v>
      </c>
      <c r="Q446" s="2">
        <v>3.83</v>
      </c>
      <c r="R446" s="3">
        <v>3.83</v>
      </c>
      <c r="S446" s="3" t="str">
        <f>IF(Table1[[#This Row],[CGPA]]&gt;=3,"High",IF(R445&gt;=2,"Medium","Low"))</f>
        <v>High</v>
      </c>
      <c r="T446" s="2" t="s">
        <v>2</v>
      </c>
      <c r="U446" s="2" t="s">
        <v>1</v>
      </c>
      <c r="V446" s="2" t="s">
        <v>15</v>
      </c>
      <c r="W446" s="7">
        <v>0</v>
      </c>
      <c r="X446" t="str">
        <f t="shared" si="13"/>
        <v>Active</v>
      </c>
    </row>
    <row r="447" spans="1:24" x14ac:dyDescent="0.3">
      <c r="A447" s="2">
        <v>446</v>
      </c>
      <c r="B447" s="7">
        <v>22.5</v>
      </c>
      <c r="C447" s="2" t="s">
        <v>5</v>
      </c>
      <c r="D447" s="7">
        <f>IF(ISBLANK('Raw sheet'!D447),AVERAGE('Raw sheet'!$D$2:'Raw sheet'!$D$1500),'Raw sheet'!D447)</f>
        <v>26993</v>
      </c>
      <c r="E447" s="7" t="str">
        <f>IF(Table1[[#This Row],[Family_Income]]&gt;=100000,"Upper",IF(D447&gt;=50000,"Middle","Lower"))</f>
        <v>Lower</v>
      </c>
      <c r="F447" s="2" t="s">
        <v>4</v>
      </c>
      <c r="G447" s="3">
        <f>IF(ISBLANK('Raw sheet'!F447),AVERAGE('Raw sheet'!$F$2:'Raw sheet'!$F$1500),'Raw sheet'!F447)</f>
        <v>4.1500000000000004</v>
      </c>
      <c r="H447" s="18">
        <v>71.8</v>
      </c>
      <c r="I447" s="9" t="str">
        <f t="shared" si="12"/>
        <v>Low</v>
      </c>
      <c r="J447" s="2">
        <v>0</v>
      </c>
      <c r="K447" s="2">
        <v>25.6</v>
      </c>
      <c r="L447" s="2" t="s">
        <v>3</v>
      </c>
      <c r="M447" s="2" t="s">
        <v>3</v>
      </c>
      <c r="N447" s="5">
        <f>IF(ISBLANK('Raw sheet'!L447),AVERAGE('Raw sheet'!$L$2:'Raw sheet'!$L$1500),'Raw sheet'!L447)</f>
        <v>4.3</v>
      </c>
      <c r="O447" s="5" t="str">
        <f>IF(Table1[[#This Row],[Stress_Index]]&gt;=8,"High",IF(N447&gt;=5,"Medium","Low"))</f>
        <v>Low</v>
      </c>
      <c r="P447" s="3">
        <v>1.84</v>
      </c>
      <c r="Q447" s="2">
        <v>1.32</v>
      </c>
      <c r="R447" s="3">
        <v>1.32</v>
      </c>
      <c r="S447" s="3" t="str">
        <f>IF(Table1[[#This Row],[CGPA]]&gt;=3,"High",IF(R446&gt;=2,"Medium","Low"))</f>
        <v>Medium</v>
      </c>
      <c r="T447" s="2" t="s">
        <v>7</v>
      </c>
      <c r="U447" s="2" t="s">
        <v>14</v>
      </c>
      <c r="V447" s="2" t="s">
        <v>16</v>
      </c>
      <c r="W447" s="7">
        <v>0</v>
      </c>
      <c r="X447" t="str">
        <f t="shared" si="13"/>
        <v>Active</v>
      </c>
    </row>
    <row r="448" spans="1:24" x14ac:dyDescent="0.3">
      <c r="A448" s="2">
        <v>447</v>
      </c>
      <c r="B448" s="7">
        <v>21.8</v>
      </c>
      <c r="C448" s="2" t="s">
        <v>11</v>
      </c>
      <c r="D448" s="7">
        <f>IF(ISBLANK('Raw sheet'!D448),AVERAGE('Raw sheet'!$D$2:'Raw sheet'!$D$1500),'Raw sheet'!D448)</f>
        <v>100149</v>
      </c>
      <c r="E448" s="7" t="str">
        <f>IF(Table1[[#This Row],[Family_Income]]&gt;=100000,"Upper",IF(D448&gt;=50000,"Middle","Lower"))</f>
        <v>Upper</v>
      </c>
      <c r="F448" s="2" t="s">
        <v>4</v>
      </c>
      <c r="G448" s="3">
        <f>IF(ISBLANK('Raw sheet'!F448),AVERAGE('Raw sheet'!$F$2:'Raw sheet'!$F$1500),'Raw sheet'!F448)</f>
        <v>0.5</v>
      </c>
      <c r="H448" s="18">
        <v>84.6</v>
      </c>
      <c r="I448" s="9" t="str">
        <f t="shared" si="12"/>
        <v>Good</v>
      </c>
      <c r="J448" s="2">
        <v>1</v>
      </c>
      <c r="K448" s="2">
        <v>38.799999999999997</v>
      </c>
      <c r="L448" s="2" t="s">
        <v>3</v>
      </c>
      <c r="M448" s="2" t="s">
        <v>4</v>
      </c>
      <c r="N448" s="5">
        <f>IF(ISBLANK('Raw sheet'!L448),AVERAGE('Raw sheet'!$L$2:'Raw sheet'!$L$1500),'Raw sheet'!L448)</f>
        <v>6.3</v>
      </c>
      <c r="O448" s="5" t="str">
        <f>IF(Table1[[#This Row],[Stress_Index]]&gt;=8,"High",IF(N448&gt;=5,"Medium","Low"))</f>
        <v>Medium</v>
      </c>
      <c r="P448" s="3">
        <v>2.16</v>
      </c>
      <c r="Q448" s="2">
        <v>2.14</v>
      </c>
      <c r="R448" s="3">
        <v>2.2000000000000002</v>
      </c>
      <c r="S448" s="3" t="str">
        <f>IF(Table1[[#This Row],[CGPA]]&gt;=3,"High",IF(R447&gt;=2,"Medium","Low"))</f>
        <v>Low</v>
      </c>
      <c r="T448" s="2" t="s">
        <v>10</v>
      </c>
      <c r="U448" s="2" t="s">
        <v>6</v>
      </c>
      <c r="V448" s="2" t="s">
        <v>17</v>
      </c>
      <c r="W448" s="7">
        <v>0</v>
      </c>
      <c r="X448" t="str">
        <f t="shared" si="13"/>
        <v>Active</v>
      </c>
    </row>
    <row r="449" spans="1:24" x14ac:dyDescent="0.3">
      <c r="A449" s="2">
        <v>448</v>
      </c>
      <c r="B449" s="7">
        <v>18.899999999999999</v>
      </c>
      <c r="C449" s="2" t="s">
        <v>11</v>
      </c>
      <c r="D449" s="7">
        <f>IF(ISBLANK('Raw sheet'!D449),AVERAGE('Raw sheet'!$D$2:'Raw sheet'!$D$1500),'Raw sheet'!D449)</f>
        <v>28005</v>
      </c>
      <c r="E449" s="7" t="str">
        <f>IF(Table1[[#This Row],[Family_Income]]&gt;=100000,"Upper",IF(D449&gt;=50000,"Middle","Lower"))</f>
        <v>Lower</v>
      </c>
      <c r="F449" s="2" t="s">
        <v>4</v>
      </c>
      <c r="G449" s="3">
        <f>IF(ISBLANK('Raw sheet'!F449),AVERAGE('Raw sheet'!$F$2:'Raw sheet'!$F$1500),'Raw sheet'!F449)</f>
        <v>2.12</v>
      </c>
      <c r="H449" s="18">
        <v>76.5</v>
      </c>
      <c r="I449" s="9" t="str">
        <f t="shared" si="12"/>
        <v>Good</v>
      </c>
      <c r="J449" s="2">
        <v>2</v>
      </c>
      <c r="K449" s="2">
        <v>36.799999999999997</v>
      </c>
      <c r="L449" s="2" t="s">
        <v>3</v>
      </c>
      <c r="M449" s="2" t="s">
        <v>3</v>
      </c>
      <c r="N449" s="5">
        <f>IF(ISBLANK('Raw sheet'!L449),AVERAGE('Raw sheet'!$L$2:'Raw sheet'!$L$1500),'Raw sheet'!L449)</f>
        <v>6.6</v>
      </c>
      <c r="O449" s="5" t="str">
        <f>IF(Table1[[#This Row],[Stress_Index]]&gt;=8,"High",IF(N449&gt;=5,"Medium","Low"))</f>
        <v>Medium</v>
      </c>
      <c r="P449" s="3">
        <v>1.36</v>
      </c>
      <c r="Q449" s="2">
        <v>1.55</v>
      </c>
      <c r="R449" s="3">
        <v>1.51</v>
      </c>
      <c r="S449" s="3" t="str">
        <f>IF(Table1[[#This Row],[CGPA]]&gt;=3,"High",IF(R448&gt;=2,"Medium","Low"))</f>
        <v>Medium</v>
      </c>
      <c r="T449" s="2" t="s">
        <v>7</v>
      </c>
      <c r="U449" s="2" t="s">
        <v>8</v>
      </c>
      <c r="V449" s="2" t="s">
        <v>15</v>
      </c>
      <c r="W449" s="7">
        <v>0</v>
      </c>
      <c r="X449" t="str">
        <f t="shared" si="13"/>
        <v>Active</v>
      </c>
    </row>
    <row r="450" spans="1:24" x14ac:dyDescent="0.3">
      <c r="A450" s="2">
        <v>449</v>
      </c>
      <c r="B450" s="7">
        <v>19.899999999999999</v>
      </c>
      <c r="C450" s="2" t="s">
        <v>5</v>
      </c>
      <c r="D450" s="7">
        <f>IF(ISBLANK('Raw sheet'!D450),AVERAGE('Raw sheet'!$D$2:'Raw sheet'!$D$1500),'Raw sheet'!D450)</f>
        <v>25000</v>
      </c>
      <c r="E450" s="7" t="str">
        <f>IF(Table1[[#This Row],[Family_Income]]&gt;=100000,"Upper",IF(D450&gt;=50000,"Middle","Lower"))</f>
        <v>Lower</v>
      </c>
      <c r="F450" s="2" t="s">
        <v>4</v>
      </c>
      <c r="G450" s="3">
        <f>IF(ISBLANK('Raw sheet'!F450),AVERAGE('Raw sheet'!$F$2:'Raw sheet'!$F$1500),'Raw sheet'!F450)</f>
        <v>6.38</v>
      </c>
      <c r="H450" s="18">
        <v>77.7</v>
      </c>
      <c r="I450" s="9" t="str">
        <f t="shared" ref="I450:I513" si="14">IF(H450&gt;=75,"Good","Low")</f>
        <v>Good</v>
      </c>
      <c r="J450" s="2">
        <v>3</v>
      </c>
      <c r="K450" s="2">
        <v>29</v>
      </c>
      <c r="L450" s="2" t="s">
        <v>4</v>
      </c>
      <c r="M450" s="2" t="s">
        <v>3</v>
      </c>
      <c r="N450" s="5">
        <f>IF(ISBLANK('Raw sheet'!L450),AVERAGE('Raw sheet'!$L$2:'Raw sheet'!$L$1500),'Raw sheet'!L450)</f>
        <v>5.5</v>
      </c>
      <c r="O450" s="5" t="str">
        <f>IF(Table1[[#This Row],[Stress_Index]]&gt;=8,"High",IF(N450&gt;=5,"Medium","Low"))</f>
        <v>Medium</v>
      </c>
      <c r="P450" s="3">
        <v>2.4900000000000002</v>
      </c>
      <c r="Q450" s="2">
        <v>2.44</v>
      </c>
      <c r="R450" s="3">
        <v>2.44</v>
      </c>
      <c r="S450" s="3" t="str">
        <f>IF(Table1[[#This Row],[CGPA]]&gt;=3,"High",IF(R449&gt;=2,"Medium","Low"))</f>
        <v>Low</v>
      </c>
      <c r="T450" s="2" t="s">
        <v>7</v>
      </c>
      <c r="U450" s="2" t="s">
        <v>13</v>
      </c>
      <c r="V450" s="2" t="s">
        <v>15</v>
      </c>
      <c r="W450" s="7">
        <v>1</v>
      </c>
      <c r="X450" t="str">
        <f t="shared" ref="X450:X513" si="15">IF(W450=1,"Dropped Out","Active")</f>
        <v>Dropped Out</v>
      </c>
    </row>
    <row r="451" spans="1:24" x14ac:dyDescent="0.3">
      <c r="A451" s="2">
        <v>450</v>
      </c>
      <c r="B451" s="7">
        <v>18.7</v>
      </c>
      <c r="C451" s="2" t="s">
        <v>11</v>
      </c>
      <c r="D451" s="7">
        <f>IF(ISBLANK('Raw sheet'!D451),AVERAGE('Raw sheet'!$D$2:'Raw sheet'!$D$1500),'Raw sheet'!D451)</f>
        <v>25000</v>
      </c>
      <c r="E451" s="7" t="str">
        <f>IF(Table1[[#This Row],[Family_Income]]&gt;=100000,"Upper",IF(D451&gt;=50000,"Middle","Lower"))</f>
        <v>Lower</v>
      </c>
      <c r="F451" s="2" t="s">
        <v>4</v>
      </c>
      <c r="G451" s="3">
        <f>IF(ISBLANK('Raw sheet'!F451),AVERAGE('Raw sheet'!$F$2:'Raw sheet'!$F$1500),'Raw sheet'!F451)</f>
        <v>2.76</v>
      </c>
      <c r="H451" s="18">
        <v>80.3</v>
      </c>
      <c r="I451" s="9" t="str">
        <f t="shared" si="14"/>
        <v>Good</v>
      </c>
      <c r="J451" s="2">
        <v>0</v>
      </c>
      <c r="K451" s="2">
        <v>32.4</v>
      </c>
      <c r="L451" s="2" t="s">
        <v>4</v>
      </c>
      <c r="M451" s="2" t="s">
        <v>3</v>
      </c>
      <c r="N451" s="5">
        <f>IF(ISBLANK('Raw sheet'!L451),AVERAGE('Raw sheet'!$L$2:'Raw sheet'!$L$1500),'Raw sheet'!L451)</f>
        <v>4.5999999999999996</v>
      </c>
      <c r="O451" s="5" t="str">
        <f>IF(Table1[[#This Row],[Stress_Index]]&gt;=8,"High",IF(N451&gt;=5,"Medium","Low"))</f>
        <v>Low</v>
      </c>
      <c r="P451" s="3">
        <v>3.87</v>
      </c>
      <c r="Q451" s="2">
        <v>4</v>
      </c>
      <c r="R451" s="3">
        <v>4</v>
      </c>
      <c r="S451" s="3" t="str">
        <f>IF(Table1[[#This Row],[CGPA]]&gt;=3,"High",IF(R450&gt;=2,"Medium","Low"))</f>
        <v>High</v>
      </c>
      <c r="T451" s="2" t="s">
        <v>10</v>
      </c>
      <c r="U451" s="2" t="s">
        <v>13</v>
      </c>
      <c r="V451" s="2" t="s">
        <v>9</v>
      </c>
      <c r="W451" s="7">
        <v>0</v>
      </c>
      <c r="X451" t="str">
        <f t="shared" si="15"/>
        <v>Active</v>
      </c>
    </row>
    <row r="452" spans="1:24" x14ac:dyDescent="0.3">
      <c r="A452" s="2">
        <v>451</v>
      </c>
      <c r="B452" s="7">
        <v>20.9</v>
      </c>
      <c r="C452" s="2" t="s">
        <v>11</v>
      </c>
      <c r="D452" s="7">
        <f>IF(ISBLANK('Raw sheet'!D452),AVERAGE('Raw sheet'!$D$2:'Raw sheet'!$D$1500),'Raw sheet'!D452)</f>
        <v>25000</v>
      </c>
      <c r="E452" s="7" t="str">
        <f>IF(Table1[[#This Row],[Family_Income]]&gt;=100000,"Upper",IF(D452&gt;=50000,"Middle","Lower"))</f>
        <v>Lower</v>
      </c>
      <c r="F452" s="2" t="s">
        <v>4</v>
      </c>
      <c r="G452" s="3">
        <f>IF(ISBLANK('Raw sheet'!F452),AVERAGE('Raw sheet'!$F$2:'Raw sheet'!$F$1500),'Raw sheet'!F452)</f>
        <v>5.52</v>
      </c>
      <c r="H452" s="18">
        <v>84.3</v>
      </c>
      <c r="I452" s="9" t="str">
        <f t="shared" si="14"/>
        <v>Good</v>
      </c>
      <c r="J452" s="2">
        <v>2</v>
      </c>
      <c r="K452" s="2">
        <v>10.7</v>
      </c>
      <c r="L452" s="2" t="s">
        <v>3</v>
      </c>
      <c r="M452" s="2" t="s">
        <v>4</v>
      </c>
      <c r="N452" s="5">
        <f>IF(ISBLANK('Raw sheet'!L452),AVERAGE('Raw sheet'!$L$2:'Raw sheet'!$L$1500),'Raw sheet'!L452)</f>
        <v>5.3</v>
      </c>
      <c r="O452" s="5" t="str">
        <f>IF(Table1[[#This Row],[Stress_Index]]&gt;=8,"High",IF(N452&gt;=5,"Medium","Low"))</f>
        <v>Medium</v>
      </c>
      <c r="P452" s="3">
        <v>3.44</v>
      </c>
      <c r="Q452" s="2">
        <v>3.15</v>
      </c>
      <c r="R452" s="3">
        <v>3.15</v>
      </c>
      <c r="S452" s="3" t="str">
        <f>IF(Table1[[#This Row],[CGPA]]&gt;=3,"High",IF(R451&gt;=2,"Medium","Low"))</f>
        <v>High</v>
      </c>
      <c r="T452" s="2" t="s">
        <v>2</v>
      </c>
      <c r="U452" s="2" t="s">
        <v>8</v>
      </c>
      <c r="V452" s="2" t="s">
        <v>15</v>
      </c>
      <c r="W452" s="7">
        <v>0</v>
      </c>
      <c r="X452" t="str">
        <f t="shared" si="15"/>
        <v>Active</v>
      </c>
    </row>
    <row r="453" spans="1:24" x14ac:dyDescent="0.3">
      <c r="A453" s="2">
        <v>452</v>
      </c>
      <c r="B453" s="7">
        <v>23.1</v>
      </c>
      <c r="C453" s="2" t="s">
        <v>5</v>
      </c>
      <c r="D453" s="7">
        <f>IF(ISBLANK('Raw sheet'!D453),AVERAGE('Raw sheet'!$D$2:'Raw sheet'!$D$1500),'Raw sheet'!D453)</f>
        <v>48677</v>
      </c>
      <c r="E453" s="7" t="str">
        <f>IF(Table1[[#This Row],[Family_Income]]&gt;=100000,"Upper",IF(D453&gt;=50000,"Middle","Lower"))</f>
        <v>Lower</v>
      </c>
      <c r="F453" s="2" t="s">
        <v>4</v>
      </c>
      <c r="G453" s="3">
        <f>IF(ISBLANK('Raw sheet'!F453),AVERAGE('Raw sheet'!$F$2:'Raw sheet'!$F$1500),'Raw sheet'!F453)</f>
        <v>2.41</v>
      </c>
      <c r="H453" s="18">
        <v>82.4</v>
      </c>
      <c r="I453" s="9" t="str">
        <f t="shared" si="14"/>
        <v>Good</v>
      </c>
      <c r="J453" s="2">
        <v>2</v>
      </c>
      <c r="K453" s="2">
        <v>24.2</v>
      </c>
      <c r="L453" s="2" t="s">
        <v>4</v>
      </c>
      <c r="M453" s="2" t="s">
        <v>4</v>
      </c>
      <c r="N453" s="5">
        <f>IF(ISBLANK('Raw sheet'!L453),AVERAGE('Raw sheet'!$L$2:'Raw sheet'!$L$1500),'Raw sheet'!L453)</f>
        <v>5.4</v>
      </c>
      <c r="O453" s="5" t="str">
        <f>IF(Table1[[#This Row],[Stress_Index]]&gt;=8,"High",IF(N453&gt;=5,"Medium","Low"))</f>
        <v>Medium</v>
      </c>
      <c r="P453" s="3">
        <v>3.44</v>
      </c>
      <c r="Q453" s="2">
        <v>3.55</v>
      </c>
      <c r="R453" s="3">
        <v>3.6</v>
      </c>
      <c r="S453" s="3" t="str">
        <f>IF(Table1[[#This Row],[CGPA]]&gt;=3,"High",IF(R452&gt;=2,"Medium","Low"))</f>
        <v>High</v>
      </c>
      <c r="T453" s="2" t="s">
        <v>7</v>
      </c>
      <c r="U453" s="2" t="s">
        <v>6</v>
      </c>
      <c r="V453" s="2" t="s">
        <v>0</v>
      </c>
      <c r="W453" s="7">
        <v>0</v>
      </c>
      <c r="X453" t="str">
        <f t="shared" si="15"/>
        <v>Active</v>
      </c>
    </row>
    <row r="454" spans="1:24" x14ac:dyDescent="0.3">
      <c r="A454" s="2">
        <v>453</v>
      </c>
      <c r="B454" s="7">
        <v>18.8</v>
      </c>
      <c r="C454" s="2" t="s">
        <v>11</v>
      </c>
      <c r="D454" s="7">
        <f>IF(ISBLANK('Raw sheet'!D454),AVERAGE('Raw sheet'!$D$2:'Raw sheet'!$D$1500),'Raw sheet'!D454)</f>
        <v>25000</v>
      </c>
      <c r="E454" s="7" t="str">
        <f>IF(Table1[[#This Row],[Family_Income]]&gt;=100000,"Upper",IF(D454&gt;=50000,"Middle","Lower"))</f>
        <v>Lower</v>
      </c>
      <c r="F454" s="2" t="s">
        <v>4</v>
      </c>
      <c r="G454" s="3">
        <f>IF(ISBLANK('Raw sheet'!F454),AVERAGE('Raw sheet'!$F$2:'Raw sheet'!$F$1500),'Raw sheet'!F454)</f>
        <v>2.75</v>
      </c>
      <c r="H454" s="18">
        <v>85.1</v>
      </c>
      <c r="I454" s="9" t="str">
        <f t="shared" si="14"/>
        <v>Good</v>
      </c>
      <c r="J454" s="2">
        <v>5</v>
      </c>
      <c r="K454" s="2">
        <v>15.7</v>
      </c>
      <c r="L454" s="2" t="s">
        <v>4</v>
      </c>
      <c r="M454" s="2" t="s">
        <v>4</v>
      </c>
      <c r="N454" s="5">
        <f>IF(ISBLANK('Raw sheet'!L454),AVERAGE('Raw sheet'!$L$2:'Raw sheet'!$L$1500),'Raw sheet'!L454)</f>
        <v>6</v>
      </c>
      <c r="O454" s="5" t="str">
        <f>IF(Table1[[#This Row],[Stress_Index]]&gt;=8,"High",IF(N454&gt;=5,"Medium","Low"))</f>
        <v>Medium</v>
      </c>
      <c r="P454" s="3">
        <v>3.35</v>
      </c>
      <c r="Q454" s="2">
        <v>3.41</v>
      </c>
      <c r="R454" s="3">
        <v>3.33</v>
      </c>
      <c r="S454" s="3" t="str">
        <f>IF(Table1[[#This Row],[CGPA]]&gt;=3,"High",IF(R453&gt;=2,"Medium","Low"))</f>
        <v>High</v>
      </c>
      <c r="T454" s="2" t="s">
        <v>7</v>
      </c>
      <c r="U454" s="2" t="s">
        <v>8</v>
      </c>
      <c r="V454" s="2" t="s">
        <v>9</v>
      </c>
      <c r="W454" s="7">
        <v>0</v>
      </c>
      <c r="X454" t="str">
        <f t="shared" si="15"/>
        <v>Active</v>
      </c>
    </row>
    <row r="455" spans="1:24" x14ac:dyDescent="0.3">
      <c r="A455" s="2">
        <v>454</v>
      </c>
      <c r="B455" s="7">
        <v>22.1</v>
      </c>
      <c r="C455" s="2" t="s">
        <v>5</v>
      </c>
      <c r="D455" s="7">
        <f>IF(ISBLANK('Raw sheet'!D455),AVERAGE('Raw sheet'!$D$2:'Raw sheet'!$D$1500),'Raw sheet'!D455)</f>
        <v>29631</v>
      </c>
      <c r="E455" s="7" t="str">
        <f>IF(Table1[[#This Row],[Family_Income]]&gt;=100000,"Upper",IF(D455&gt;=50000,"Middle","Lower"))</f>
        <v>Lower</v>
      </c>
      <c r="F455" s="2" t="s">
        <v>4</v>
      </c>
      <c r="G455" s="3">
        <f>IF(ISBLANK('Raw sheet'!F455),AVERAGE('Raw sheet'!$F$2:'Raw sheet'!$F$1500),'Raw sheet'!F455)</f>
        <v>4.88</v>
      </c>
      <c r="H455" s="18">
        <v>87.8</v>
      </c>
      <c r="I455" s="9" t="str">
        <f t="shared" si="14"/>
        <v>Good</v>
      </c>
      <c r="J455" s="2">
        <v>2</v>
      </c>
      <c r="K455" s="2">
        <v>15.5</v>
      </c>
      <c r="L455" s="2" t="s">
        <v>3</v>
      </c>
      <c r="M455" s="2" t="s">
        <v>3</v>
      </c>
      <c r="N455" s="5">
        <f>IF(ISBLANK('Raw sheet'!L455),AVERAGE('Raw sheet'!$L$2:'Raw sheet'!$L$1500),'Raw sheet'!L455)</f>
        <v>5.0999999999999996</v>
      </c>
      <c r="O455" s="5" t="str">
        <f>IF(Table1[[#This Row],[Stress_Index]]&gt;=8,"High",IF(N455&gt;=5,"Medium","Low"))</f>
        <v>Medium</v>
      </c>
      <c r="P455" s="3">
        <v>2.58</v>
      </c>
      <c r="Q455" s="2">
        <v>1.95</v>
      </c>
      <c r="R455" s="3">
        <v>1.93</v>
      </c>
      <c r="S455" s="3" t="str">
        <f>IF(Table1[[#This Row],[CGPA]]&gt;=3,"High",IF(R454&gt;=2,"Medium","Low"))</f>
        <v>Medium</v>
      </c>
      <c r="T455" s="2" t="s">
        <v>12</v>
      </c>
      <c r="U455" s="2" t="s">
        <v>6</v>
      </c>
      <c r="V455" s="2" t="s">
        <v>16</v>
      </c>
      <c r="W455" s="7">
        <v>0</v>
      </c>
      <c r="X455" t="str">
        <f t="shared" si="15"/>
        <v>Active</v>
      </c>
    </row>
    <row r="456" spans="1:24" x14ac:dyDescent="0.3">
      <c r="A456" s="2">
        <v>455</v>
      </c>
      <c r="B456" s="7">
        <v>19.8</v>
      </c>
      <c r="C456" s="2" t="s">
        <v>5</v>
      </c>
      <c r="D456" s="7">
        <f>IF(ISBLANK('Raw sheet'!D456),AVERAGE('Raw sheet'!$D$2:'Raw sheet'!$D$1500),'Raw sheet'!D456)</f>
        <v>26294</v>
      </c>
      <c r="E456" s="7" t="str">
        <f>IF(Table1[[#This Row],[Family_Income]]&gt;=100000,"Upper",IF(D456&gt;=50000,"Middle","Lower"))</f>
        <v>Lower</v>
      </c>
      <c r="F456" s="2" t="s">
        <v>4</v>
      </c>
      <c r="G456" s="3">
        <f>IF(ISBLANK('Raw sheet'!F456),AVERAGE('Raw sheet'!$F$2:'Raw sheet'!$F$1500),'Raw sheet'!F456)</f>
        <v>6.02</v>
      </c>
      <c r="H456" s="18">
        <v>80.900000000000006</v>
      </c>
      <c r="I456" s="9" t="str">
        <f t="shared" si="14"/>
        <v>Good</v>
      </c>
      <c r="J456" s="2">
        <v>0</v>
      </c>
      <c r="K456" s="2">
        <v>35.6</v>
      </c>
      <c r="L456" s="2" t="s">
        <v>3</v>
      </c>
      <c r="M456" s="2" t="s">
        <v>3</v>
      </c>
      <c r="N456" s="5">
        <f>IF(ISBLANK('Raw sheet'!L456),AVERAGE('Raw sheet'!$L$2:'Raw sheet'!$L$1500),'Raw sheet'!L456)</f>
        <v>7.6</v>
      </c>
      <c r="O456" s="5" t="str">
        <f>IF(Table1[[#This Row],[Stress_Index]]&gt;=8,"High",IF(N456&gt;=5,"Medium","Low"))</f>
        <v>Medium</v>
      </c>
      <c r="P456" s="3">
        <v>2.1</v>
      </c>
      <c r="Q456" s="2">
        <v>1.93</v>
      </c>
      <c r="R456" s="3">
        <v>1.9</v>
      </c>
      <c r="S456" s="3" t="str">
        <f>IF(Table1[[#This Row],[CGPA]]&gt;=3,"High",IF(R455&gt;=2,"Medium","Low"))</f>
        <v>Low</v>
      </c>
      <c r="T456" s="2" t="s">
        <v>12</v>
      </c>
      <c r="U456" s="2" t="s">
        <v>6</v>
      </c>
      <c r="V456" s="2" t="s">
        <v>17</v>
      </c>
      <c r="W456" s="7">
        <v>0</v>
      </c>
      <c r="X456" t="str">
        <f t="shared" si="15"/>
        <v>Active</v>
      </c>
    </row>
    <row r="457" spans="1:24" x14ac:dyDescent="0.3">
      <c r="A457" s="2">
        <v>456</v>
      </c>
      <c r="B457" s="7">
        <v>19.3</v>
      </c>
      <c r="C457" s="2" t="s">
        <v>11</v>
      </c>
      <c r="D457" s="7">
        <f>IF(ISBLANK('Raw sheet'!D457),AVERAGE('Raw sheet'!$D$2:'Raw sheet'!$D$1500),'Raw sheet'!D457)</f>
        <v>114003</v>
      </c>
      <c r="E457" s="7" t="str">
        <f>IF(Table1[[#This Row],[Family_Income]]&gt;=100000,"Upper",IF(D457&gt;=50000,"Middle","Lower"))</f>
        <v>Upper</v>
      </c>
      <c r="F457" s="2" t="s">
        <v>4</v>
      </c>
      <c r="G457" s="3">
        <f>IF(ISBLANK('Raw sheet'!F457),AVERAGE('Raw sheet'!$F$2:'Raw sheet'!$F$1500),'Raw sheet'!F457)</f>
        <v>4.8499999999999996</v>
      </c>
      <c r="H457" s="18">
        <v>73.7</v>
      </c>
      <c r="I457" s="9" t="str">
        <f t="shared" si="14"/>
        <v>Low</v>
      </c>
      <c r="J457" s="2">
        <v>3</v>
      </c>
      <c r="K457" s="2">
        <v>14.8</v>
      </c>
      <c r="L457" s="2" t="s">
        <v>3</v>
      </c>
      <c r="M457" s="2" t="s">
        <v>3</v>
      </c>
      <c r="N457" s="5">
        <f>IF(ISBLANK('Raw sheet'!L457),AVERAGE('Raw sheet'!$L$2:'Raw sheet'!$L$1500),'Raw sheet'!L457)</f>
        <v>5.3</v>
      </c>
      <c r="O457" s="5" t="str">
        <f>IF(Table1[[#This Row],[Stress_Index]]&gt;=8,"High",IF(N457&gt;=5,"Medium","Low"))</f>
        <v>Medium</v>
      </c>
      <c r="P457" s="3">
        <v>3.8</v>
      </c>
      <c r="Q457" s="2">
        <v>3.71</v>
      </c>
      <c r="R457" s="3">
        <v>3.71</v>
      </c>
      <c r="S457" s="3" t="str">
        <f>IF(Table1[[#This Row],[CGPA]]&gt;=3,"High",IF(R456&gt;=2,"Medium","Low"))</f>
        <v>High</v>
      </c>
      <c r="T457" s="2" t="s">
        <v>2</v>
      </c>
      <c r="U457" s="2" t="s">
        <v>8</v>
      </c>
      <c r="V457" s="2" t="s">
        <v>9</v>
      </c>
      <c r="W457" s="7">
        <v>0</v>
      </c>
      <c r="X457" t="str">
        <f t="shared" si="15"/>
        <v>Active</v>
      </c>
    </row>
    <row r="458" spans="1:24" x14ac:dyDescent="0.3">
      <c r="A458" s="2">
        <v>457</v>
      </c>
      <c r="B458" s="7">
        <v>20.8</v>
      </c>
      <c r="C458" s="2" t="s">
        <v>5</v>
      </c>
      <c r="D458" s="7">
        <f>IF(ISBLANK('Raw sheet'!D458),AVERAGE('Raw sheet'!$D$2:'Raw sheet'!$D$1500),'Raw sheet'!D458)</f>
        <v>25000</v>
      </c>
      <c r="E458" s="7" t="str">
        <f>IF(Table1[[#This Row],[Family_Income]]&gt;=100000,"Upper",IF(D458&gt;=50000,"Middle","Lower"))</f>
        <v>Lower</v>
      </c>
      <c r="F458" s="2" t="s">
        <v>4</v>
      </c>
      <c r="G458" s="3">
        <f>IF(ISBLANK('Raw sheet'!F458),AVERAGE('Raw sheet'!$F$2:'Raw sheet'!$F$1500),'Raw sheet'!F458)</f>
        <v>4.46</v>
      </c>
      <c r="H458" s="18">
        <v>69.2</v>
      </c>
      <c r="I458" s="9" t="str">
        <f t="shared" si="14"/>
        <v>Low</v>
      </c>
      <c r="J458" s="2">
        <v>3</v>
      </c>
      <c r="K458" s="2">
        <v>39.200000000000003</v>
      </c>
      <c r="L458" s="2" t="s">
        <v>3</v>
      </c>
      <c r="M458" s="2" t="s">
        <v>4</v>
      </c>
      <c r="N458" s="5">
        <f>IF(ISBLANK('Raw sheet'!L458),AVERAGE('Raw sheet'!$L$2:'Raw sheet'!$L$1500),'Raw sheet'!L458)</f>
        <v>4.3</v>
      </c>
      <c r="O458" s="5" t="str">
        <f>IF(Table1[[#This Row],[Stress_Index]]&gt;=8,"High",IF(N458&gt;=5,"Medium","Low"))</f>
        <v>Low</v>
      </c>
      <c r="P458" s="3">
        <v>3.66</v>
      </c>
      <c r="Q458" s="2">
        <v>3.43</v>
      </c>
      <c r="R458" s="3">
        <v>3.35</v>
      </c>
      <c r="S458" s="3" t="str">
        <f>IF(Table1[[#This Row],[CGPA]]&gt;=3,"High",IF(R457&gt;=2,"Medium","Low"))</f>
        <v>High</v>
      </c>
      <c r="T458" s="2" t="s">
        <v>12</v>
      </c>
      <c r="U458" s="2" t="s">
        <v>1</v>
      </c>
      <c r="V458" s="2" t="s">
        <v>15</v>
      </c>
      <c r="W458" s="7">
        <v>0</v>
      </c>
      <c r="X458" t="str">
        <f t="shared" si="15"/>
        <v>Active</v>
      </c>
    </row>
    <row r="459" spans="1:24" x14ac:dyDescent="0.3">
      <c r="A459" s="2">
        <v>458</v>
      </c>
      <c r="B459" s="7">
        <v>18.7</v>
      </c>
      <c r="C459" s="2" t="s">
        <v>5</v>
      </c>
      <c r="D459" s="7">
        <f>IF(ISBLANK('Raw sheet'!D459),AVERAGE('Raw sheet'!$D$2:'Raw sheet'!$D$1500),'Raw sheet'!D459)</f>
        <v>25000</v>
      </c>
      <c r="E459" s="7" t="str">
        <f>IF(Table1[[#This Row],[Family_Income]]&gt;=100000,"Upper",IF(D459&gt;=50000,"Middle","Lower"))</f>
        <v>Lower</v>
      </c>
      <c r="F459" s="2" t="s">
        <v>4</v>
      </c>
      <c r="G459" s="3">
        <f>IF(ISBLANK('Raw sheet'!F459),AVERAGE('Raw sheet'!$F$2:'Raw sheet'!$F$1500),'Raw sheet'!F459)</f>
        <v>2.23</v>
      </c>
      <c r="H459" s="18">
        <v>75.900000000000006</v>
      </c>
      <c r="I459" s="9" t="str">
        <f t="shared" si="14"/>
        <v>Good</v>
      </c>
      <c r="J459" s="2">
        <v>0</v>
      </c>
      <c r="K459" s="2">
        <v>42.4</v>
      </c>
      <c r="L459" s="2" t="s">
        <v>3</v>
      </c>
      <c r="M459" s="2" t="s">
        <v>3</v>
      </c>
      <c r="N459" s="5">
        <f>IF(ISBLANK('Raw sheet'!L459),AVERAGE('Raw sheet'!$L$2:'Raw sheet'!$L$1500),'Raw sheet'!L459)</f>
        <v>5.4</v>
      </c>
      <c r="O459" s="5" t="str">
        <f>IF(Table1[[#This Row],[Stress_Index]]&gt;=8,"High",IF(N459&gt;=5,"Medium","Low"))</f>
        <v>Medium</v>
      </c>
      <c r="P459" s="3">
        <v>2.25</v>
      </c>
      <c r="Q459" s="2">
        <v>1.86</v>
      </c>
      <c r="R459" s="3">
        <v>1.9</v>
      </c>
      <c r="S459" s="3" t="str">
        <f>IF(Table1[[#This Row],[CGPA]]&gt;=3,"High",IF(R458&gt;=2,"Medium","Low"))</f>
        <v>Medium</v>
      </c>
      <c r="T459" s="2" t="s">
        <v>12</v>
      </c>
      <c r="U459" s="2" t="s">
        <v>14</v>
      </c>
      <c r="V459" s="2" t="s">
        <v>9</v>
      </c>
      <c r="W459" s="7">
        <v>0</v>
      </c>
      <c r="X459" t="str">
        <f t="shared" si="15"/>
        <v>Active</v>
      </c>
    </row>
    <row r="460" spans="1:24" x14ac:dyDescent="0.3">
      <c r="A460" s="2">
        <v>459</v>
      </c>
      <c r="B460" s="7">
        <v>19.8</v>
      </c>
      <c r="C460" s="2" t="s">
        <v>5</v>
      </c>
      <c r="D460" s="7">
        <f>IF(ISBLANK('Raw sheet'!D460),AVERAGE('Raw sheet'!$D$2:'Raw sheet'!$D$1500),'Raw sheet'!D460)</f>
        <v>27401</v>
      </c>
      <c r="E460" s="7" t="str">
        <f>IF(Table1[[#This Row],[Family_Income]]&gt;=100000,"Upper",IF(D460&gt;=50000,"Middle","Lower"))</f>
        <v>Lower</v>
      </c>
      <c r="F460" s="2" t="s">
        <v>4</v>
      </c>
      <c r="G460" s="3">
        <f>IF(ISBLANK('Raw sheet'!F460),AVERAGE('Raw sheet'!$F$2:'Raw sheet'!$F$1500),'Raw sheet'!F460)</f>
        <v>1.23</v>
      </c>
      <c r="H460" s="18">
        <v>83.8</v>
      </c>
      <c r="I460" s="9" t="str">
        <f t="shared" si="14"/>
        <v>Good</v>
      </c>
      <c r="J460" s="2">
        <v>0</v>
      </c>
      <c r="K460" s="2">
        <v>29.3</v>
      </c>
      <c r="L460" s="2" t="s">
        <v>4</v>
      </c>
      <c r="M460" s="2" t="s">
        <v>4</v>
      </c>
      <c r="N460" s="5">
        <f>IF(ISBLANK('Raw sheet'!L460),AVERAGE('Raw sheet'!$L$2:'Raw sheet'!$L$1500),'Raw sheet'!L460)</f>
        <v>3.5</v>
      </c>
      <c r="O460" s="5" t="str">
        <f>IF(Table1[[#This Row],[Stress_Index]]&gt;=8,"High",IF(N460&gt;=5,"Medium","Low"))</f>
        <v>Low</v>
      </c>
      <c r="P460" s="3">
        <v>2.52</v>
      </c>
      <c r="Q460" s="2">
        <v>2.74</v>
      </c>
      <c r="R460" s="3">
        <v>2.74</v>
      </c>
      <c r="S460" s="3" t="str">
        <f>IF(Table1[[#This Row],[CGPA]]&gt;=3,"High",IF(R459&gt;=2,"Medium","Low"))</f>
        <v>Low</v>
      </c>
      <c r="T460" s="2" t="s">
        <v>2</v>
      </c>
      <c r="U460" s="2" t="s">
        <v>1</v>
      </c>
      <c r="V460" s="2" t="s">
        <v>15</v>
      </c>
      <c r="W460" s="7">
        <v>0</v>
      </c>
      <c r="X460" t="str">
        <f t="shared" si="15"/>
        <v>Active</v>
      </c>
    </row>
    <row r="461" spans="1:24" x14ac:dyDescent="0.3">
      <c r="A461" s="2">
        <v>460</v>
      </c>
      <c r="B461" s="7">
        <v>18.399999999999999</v>
      </c>
      <c r="C461" s="2" t="s">
        <v>11</v>
      </c>
      <c r="D461" s="7">
        <f>IF(ISBLANK('Raw sheet'!D461),AVERAGE('Raw sheet'!$D$2:'Raw sheet'!$D$1500),'Raw sheet'!D461)</f>
        <v>26410</v>
      </c>
      <c r="E461" s="7" t="str">
        <f>IF(Table1[[#This Row],[Family_Income]]&gt;=100000,"Upper",IF(D461&gt;=50000,"Middle","Lower"))</f>
        <v>Lower</v>
      </c>
      <c r="F461" s="2" t="s">
        <v>4</v>
      </c>
      <c r="G461" s="3">
        <f>IF(ISBLANK('Raw sheet'!F461),AVERAGE('Raw sheet'!$F$2:'Raw sheet'!$F$1500),'Raw sheet'!F461)</f>
        <v>3.44</v>
      </c>
      <c r="H461" s="18">
        <v>70.900000000000006</v>
      </c>
      <c r="I461" s="9" t="str">
        <f t="shared" si="14"/>
        <v>Low</v>
      </c>
      <c r="J461" s="2">
        <v>3</v>
      </c>
      <c r="K461" s="2">
        <v>22.7</v>
      </c>
      <c r="L461" s="2" t="s">
        <v>3</v>
      </c>
      <c r="M461" s="2" t="s">
        <v>3</v>
      </c>
      <c r="N461" s="5">
        <f>IF(ISBLANK('Raw sheet'!L461),AVERAGE('Raw sheet'!$L$2:'Raw sheet'!$L$1500),'Raw sheet'!L461)</f>
        <v>9.1</v>
      </c>
      <c r="O461" s="5" t="str">
        <f>IF(Table1[[#This Row],[Stress_Index]]&gt;=8,"High",IF(N461&gt;=5,"Medium","Low"))</f>
        <v>High</v>
      </c>
      <c r="P461" s="3">
        <v>2.5299999999999998</v>
      </c>
      <c r="Q461" s="2">
        <v>2.56</v>
      </c>
      <c r="R461" s="3">
        <v>2.5</v>
      </c>
      <c r="S461" s="3" t="str">
        <f>IF(Table1[[#This Row],[CGPA]]&gt;=3,"High",IF(R460&gt;=2,"Medium","Low"))</f>
        <v>Medium</v>
      </c>
      <c r="T461" s="2" t="s">
        <v>7</v>
      </c>
      <c r="U461" s="2" t="s">
        <v>1</v>
      </c>
      <c r="V461" s="2" t="s">
        <v>15</v>
      </c>
      <c r="W461" s="7">
        <v>0</v>
      </c>
      <c r="X461" t="str">
        <f t="shared" si="15"/>
        <v>Active</v>
      </c>
    </row>
    <row r="462" spans="1:24" x14ac:dyDescent="0.3">
      <c r="A462" s="2">
        <v>461</v>
      </c>
      <c r="B462" s="7">
        <v>25.3</v>
      </c>
      <c r="C462" s="2" t="s">
        <v>11</v>
      </c>
      <c r="D462" s="7">
        <f>IF(ISBLANK('Raw sheet'!D462),AVERAGE('Raw sheet'!$D$2:'Raw sheet'!$D$1500),'Raw sheet'!D462)</f>
        <v>25000</v>
      </c>
      <c r="E462" s="7" t="str">
        <f>IF(Table1[[#This Row],[Family_Income]]&gt;=100000,"Upper",IF(D462&gt;=50000,"Middle","Lower"))</f>
        <v>Lower</v>
      </c>
      <c r="F462" s="2" t="s">
        <v>4</v>
      </c>
      <c r="G462" s="3">
        <f>IF(ISBLANK('Raw sheet'!F462),AVERAGE('Raw sheet'!$F$2:'Raw sheet'!$F$1500),'Raw sheet'!F462)</f>
        <v>4.2</v>
      </c>
      <c r="H462" s="18">
        <v>90.6</v>
      </c>
      <c r="I462" s="9" t="str">
        <f t="shared" si="14"/>
        <v>Good</v>
      </c>
      <c r="J462" s="2">
        <v>2</v>
      </c>
      <c r="K462" s="2">
        <v>42.4</v>
      </c>
      <c r="L462" s="2" t="s">
        <v>3</v>
      </c>
      <c r="M462" s="2" t="s">
        <v>3</v>
      </c>
      <c r="N462" s="5">
        <f>IF(ISBLANK('Raw sheet'!L462),AVERAGE('Raw sheet'!$L$2:'Raw sheet'!$L$1500),'Raw sheet'!L462)</f>
        <v>6.7</v>
      </c>
      <c r="O462" s="5" t="str">
        <f>IF(Table1[[#This Row],[Stress_Index]]&gt;=8,"High",IF(N462&gt;=5,"Medium","Low"))</f>
        <v>Medium</v>
      </c>
      <c r="P462" s="3">
        <v>0.86</v>
      </c>
      <c r="Q462" s="2">
        <v>1.05</v>
      </c>
      <c r="R462" s="3">
        <v>1.06</v>
      </c>
      <c r="S462" s="3" t="str">
        <f>IF(Table1[[#This Row],[CGPA]]&gt;=3,"High",IF(R461&gt;=2,"Medium","Low"))</f>
        <v>Medium</v>
      </c>
      <c r="T462" s="2" t="s">
        <v>10</v>
      </c>
      <c r="U462" s="2" t="s">
        <v>13</v>
      </c>
      <c r="V462" s="2" t="s">
        <v>15</v>
      </c>
      <c r="W462" s="7">
        <v>1</v>
      </c>
      <c r="X462" t="str">
        <f t="shared" si="15"/>
        <v>Dropped Out</v>
      </c>
    </row>
    <row r="463" spans="1:24" x14ac:dyDescent="0.3">
      <c r="A463" s="2">
        <v>462</v>
      </c>
      <c r="B463" s="7">
        <v>21.1</v>
      </c>
      <c r="C463" s="2" t="s">
        <v>5</v>
      </c>
      <c r="D463" s="7">
        <f>IF(ISBLANK('Raw sheet'!D463),AVERAGE('Raw sheet'!$D$2:'Raw sheet'!$D$1500),'Raw sheet'!D463)</f>
        <v>28322</v>
      </c>
      <c r="E463" s="7" t="str">
        <f>IF(Table1[[#This Row],[Family_Income]]&gt;=100000,"Upper",IF(D463&gt;=50000,"Middle","Lower"))</f>
        <v>Lower</v>
      </c>
      <c r="F463" s="2" t="s">
        <v>4</v>
      </c>
      <c r="G463" s="3">
        <f>IF(ISBLANK('Raw sheet'!F463),AVERAGE('Raw sheet'!$F$2:'Raw sheet'!$F$1500),'Raw sheet'!F463)</f>
        <v>3.93</v>
      </c>
      <c r="H463" s="18">
        <v>73.599999999999994</v>
      </c>
      <c r="I463" s="9" t="str">
        <f t="shared" si="14"/>
        <v>Low</v>
      </c>
      <c r="J463" s="2">
        <v>5</v>
      </c>
      <c r="K463" s="2">
        <v>36.6</v>
      </c>
      <c r="L463" s="2" t="s">
        <v>4</v>
      </c>
      <c r="M463" s="2" t="s">
        <v>3</v>
      </c>
      <c r="N463" s="5">
        <f>IF(ISBLANK('Raw sheet'!L463),AVERAGE('Raw sheet'!$L$2:'Raw sheet'!$L$1500),'Raw sheet'!L463)</f>
        <v>5.5</v>
      </c>
      <c r="O463" s="5" t="str">
        <f>IF(Table1[[#This Row],[Stress_Index]]&gt;=8,"High",IF(N463&gt;=5,"Medium","Low"))</f>
        <v>Medium</v>
      </c>
      <c r="P463" s="3">
        <v>0.4</v>
      </c>
      <c r="Q463" s="2">
        <v>0.38</v>
      </c>
      <c r="R463" s="3">
        <v>0.38</v>
      </c>
      <c r="S463" s="3" t="str">
        <f>IF(Table1[[#This Row],[CGPA]]&gt;=3,"High",IF(R462&gt;=2,"Medium","Low"))</f>
        <v>Low</v>
      </c>
      <c r="T463" s="2" t="s">
        <v>2</v>
      </c>
      <c r="U463" s="2" t="s">
        <v>1</v>
      </c>
      <c r="V463" s="2" t="s">
        <v>15</v>
      </c>
      <c r="W463" s="7">
        <v>1</v>
      </c>
      <c r="X463" t="str">
        <f t="shared" si="15"/>
        <v>Dropped Out</v>
      </c>
    </row>
    <row r="464" spans="1:24" x14ac:dyDescent="0.3">
      <c r="A464" s="2">
        <v>463</v>
      </c>
      <c r="B464" s="7">
        <v>19.5</v>
      </c>
      <c r="C464" s="2" t="s">
        <v>11</v>
      </c>
      <c r="D464" s="7">
        <f>IF(ISBLANK('Raw sheet'!D464),AVERAGE('Raw sheet'!$D$2:'Raw sheet'!$D$1500),'Raw sheet'!D464)</f>
        <v>25000</v>
      </c>
      <c r="E464" s="7" t="str">
        <f>IF(Table1[[#This Row],[Family_Income]]&gt;=100000,"Upper",IF(D464&gt;=50000,"Middle","Lower"))</f>
        <v>Lower</v>
      </c>
      <c r="F464" s="2" t="s">
        <v>4</v>
      </c>
      <c r="G464" s="3">
        <f>IF(ISBLANK('Raw sheet'!F464),AVERAGE('Raw sheet'!$F$2:'Raw sheet'!$F$1500),'Raw sheet'!F464)</f>
        <v>6.87</v>
      </c>
      <c r="H464" s="18">
        <v>81.099999999999994</v>
      </c>
      <c r="I464" s="9" t="str">
        <f t="shared" si="14"/>
        <v>Good</v>
      </c>
      <c r="J464" s="2">
        <v>3</v>
      </c>
      <c r="K464" s="2">
        <v>44.3</v>
      </c>
      <c r="L464" s="2" t="s">
        <v>3</v>
      </c>
      <c r="M464" s="2" t="s">
        <v>3</v>
      </c>
      <c r="N464" s="5">
        <f>IF(ISBLANK('Raw sheet'!L464),AVERAGE('Raw sheet'!$L$2:'Raw sheet'!$L$1500),'Raw sheet'!L464)</f>
        <v>8</v>
      </c>
      <c r="O464" s="5" t="str">
        <f>IF(Table1[[#This Row],[Stress_Index]]&gt;=8,"High",IF(N464&gt;=5,"Medium","Low"))</f>
        <v>High</v>
      </c>
      <c r="P464" s="3">
        <v>2.41</v>
      </c>
      <c r="Q464" s="2">
        <v>1.98</v>
      </c>
      <c r="R464" s="3">
        <v>2.0099999999999998</v>
      </c>
      <c r="S464" s="3" t="str">
        <f>IF(Table1[[#This Row],[CGPA]]&gt;=3,"High",IF(R463&gt;=2,"Medium","Low"))</f>
        <v>Low</v>
      </c>
      <c r="T464" s="2" t="s">
        <v>7</v>
      </c>
      <c r="U464" s="2" t="s">
        <v>1</v>
      </c>
      <c r="V464" s="2" t="s">
        <v>9</v>
      </c>
      <c r="W464" s="7">
        <v>0</v>
      </c>
      <c r="X464" t="str">
        <f t="shared" si="15"/>
        <v>Active</v>
      </c>
    </row>
    <row r="465" spans="1:24" x14ac:dyDescent="0.3">
      <c r="A465" s="2">
        <v>464</v>
      </c>
      <c r="B465" s="7">
        <v>21.5</v>
      </c>
      <c r="C465" s="2" t="s">
        <v>5</v>
      </c>
      <c r="D465" s="7">
        <f>IF(ISBLANK('Raw sheet'!D465),AVERAGE('Raw sheet'!$D$2:'Raw sheet'!$D$1500),'Raw sheet'!D465)</f>
        <v>36839</v>
      </c>
      <c r="E465" s="7" t="str">
        <f>IF(Table1[[#This Row],[Family_Income]]&gt;=100000,"Upper",IF(D465&gt;=50000,"Middle","Lower"))</f>
        <v>Lower</v>
      </c>
      <c r="F465" s="2" t="s">
        <v>4</v>
      </c>
      <c r="G465" s="3">
        <f>IF(ISBLANK('Raw sheet'!F465),AVERAGE('Raw sheet'!$F$2:'Raw sheet'!$F$1500),'Raw sheet'!F465)</f>
        <v>2</v>
      </c>
      <c r="H465" s="18">
        <v>93.8</v>
      </c>
      <c r="I465" s="9" t="str">
        <f t="shared" si="14"/>
        <v>Good</v>
      </c>
      <c r="J465" s="2">
        <v>4</v>
      </c>
      <c r="K465" s="2">
        <v>17</v>
      </c>
      <c r="L465" s="2" t="s">
        <v>3</v>
      </c>
      <c r="M465" s="2" t="s">
        <v>4</v>
      </c>
      <c r="N465" s="5">
        <f>IF(ISBLANK('Raw sheet'!L465),AVERAGE('Raw sheet'!$L$2:'Raw sheet'!$L$1500),'Raw sheet'!L465)</f>
        <v>5.0999999999999996</v>
      </c>
      <c r="O465" s="5" t="str">
        <f>IF(Table1[[#This Row],[Stress_Index]]&gt;=8,"High",IF(N465&gt;=5,"Medium","Low"))</f>
        <v>Medium</v>
      </c>
      <c r="P465" s="3">
        <v>3.12</v>
      </c>
      <c r="Q465" s="2">
        <v>2.79</v>
      </c>
      <c r="R465" s="3">
        <v>2.8</v>
      </c>
      <c r="S465" s="3" t="str">
        <f>IF(Table1[[#This Row],[CGPA]]&gt;=3,"High",IF(R464&gt;=2,"Medium","Low"))</f>
        <v>Medium</v>
      </c>
      <c r="T465" s="2" t="s">
        <v>10</v>
      </c>
      <c r="U465" s="2" t="s">
        <v>6</v>
      </c>
      <c r="V465" s="2" t="s">
        <v>9</v>
      </c>
      <c r="W465" s="7">
        <v>0</v>
      </c>
      <c r="X465" t="str">
        <f t="shared" si="15"/>
        <v>Active</v>
      </c>
    </row>
    <row r="466" spans="1:24" x14ac:dyDescent="0.3">
      <c r="A466" s="2">
        <v>465</v>
      </c>
      <c r="B466" s="7">
        <v>20.8</v>
      </c>
      <c r="C466" s="2" t="s">
        <v>11</v>
      </c>
      <c r="D466" s="7">
        <f>IF(ISBLANK('Raw sheet'!D466),AVERAGE('Raw sheet'!$D$2:'Raw sheet'!$D$1500),'Raw sheet'!D466)</f>
        <v>25000</v>
      </c>
      <c r="E466" s="7" t="str">
        <f>IF(Table1[[#This Row],[Family_Income]]&gt;=100000,"Upper",IF(D466&gt;=50000,"Middle","Lower"))</f>
        <v>Lower</v>
      </c>
      <c r="F466" s="2" t="s">
        <v>4</v>
      </c>
      <c r="G466" s="3">
        <f>IF(ISBLANK('Raw sheet'!F466),AVERAGE('Raw sheet'!$F$2:'Raw sheet'!$F$1500),'Raw sheet'!F466)</f>
        <v>3.6</v>
      </c>
      <c r="H466" s="18">
        <v>80.5</v>
      </c>
      <c r="I466" s="9" t="str">
        <f t="shared" si="14"/>
        <v>Good</v>
      </c>
      <c r="J466" s="2">
        <v>3</v>
      </c>
      <c r="K466" s="2">
        <v>26.9</v>
      </c>
      <c r="L466" s="2" t="s">
        <v>3</v>
      </c>
      <c r="M466" s="2" t="s">
        <v>3</v>
      </c>
      <c r="N466" s="5">
        <f>IF(ISBLANK('Raw sheet'!L466),AVERAGE('Raw sheet'!$L$2:'Raw sheet'!$L$1500),'Raw sheet'!L466)</f>
        <v>5.4</v>
      </c>
      <c r="O466" s="5" t="str">
        <f>IF(Table1[[#This Row],[Stress_Index]]&gt;=8,"High",IF(N466&gt;=5,"Medium","Low"))</f>
        <v>Medium</v>
      </c>
      <c r="P466" s="3">
        <v>1.39</v>
      </c>
      <c r="Q466" s="2">
        <v>1.76</v>
      </c>
      <c r="R466" s="3">
        <v>1.74</v>
      </c>
      <c r="S466" s="3" t="str">
        <f>IF(Table1[[#This Row],[CGPA]]&gt;=3,"High",IF(R465&gt;=2,"Medium","Low"))</f>
        <v>Medium</v>
      </c>
      <c r="T466" s="2" t="s">
        <v>10</v>
      </c>
      <c r="U466" s="2" t="s">
        <v>1</v>
      </c>
      <c r="V466" s="2" t="s">
        <v>15</v>
      </c>
      <c r="W466" s="7">
        <v>0</v>
      </c>
      <c r="X466" t="str">
        <f t="shared" si="15"/>
        <v>Active</v>
      </c>
    </row>
    <row r="467" spans="1:24" x14ac:dyDescent="0.3">
      <c r="A467" s="2">
        <v>466</v>
      </c>
      <c r="B467" s="7">
        <v>20.5</v>
      </c>
      <c r="C467" s="2" t="s">
        <v>5</v>
      </c>
      <c r="D467" s="7">
        <f>IF(ISBLANK('Raw sheet'!D467),AVERAGE('Raw sheet'!$D$2:'Raw sheet'!$D$1500),'Raw sheet'!D467)</f>
        <v>29276</v>
      </c>
      <c r="E467" s="7" t="str">
        <f>IF(Table1[[#This Row],[Family_Income]]&gt;=100000,"Upper",IF(D467&gt;=50000,"Middle","Lower"))</f>
        <v>Lower</v>
      </c>
      <c r="F467" s="2" t="s">
        <v>4</v>
      </c>
      <c r="G467" s="3">
        <f>IF(ISBLANK('Raw sheet'!F467),AVERAGE('Raw sheet'!$F$2:'Raw sheet'!$F$1500),'Raw sheet'!F467)</f>
        <v>6.17</v>
      </c>
      <c r="H467" s="18">
        <v>73.3</v>
      </c>
      <c r="I467" s="9" t="str">
        <f t="shared" si="14"/>
        <v>Low</v>
      </c>
      <c r="J467" s="2">
        <v>1</v>
      </c>
      <c r="K467" s="2">
        <v>27.4</v>
      </c>
      <c r="L467" s="2" t="s">
        <v>3</v>
      </c>
      <c r="M467" s="2" t="s">
        <v>4</v>
      </c>
      <c r="N467" s="5">
        <f>IF(ISBLANK('Raw sheet'!L467),AVERAGE('Raw sheet'!$L$2:'Raw sheet'!$L$1500),'Raw sheet'!L467)</f>
        <v>4.2</v>
      </c>
      <c r="O467" s="5" t="str">
        <f>IF(Table1[[#This Row],[Stress_Index]]&gt;=8,"High",IF(N467&gt;=5,"Medium","Low"))</f>
        <v>Low</v>
      </c>
      <c r="P467" s="3">
        <v>2.19</v>
      </c>
      <c r="Q467" s="2">
        <v>1.92</v>
      </c>
      <c r="R467" s="3">
        <v>1.95</v>
      </c>
      <c r="S467" s="3" t="str">
        <f>IF(Table1[[#This Row],[CGPA]]&gt;=3,"High",IF(R466&gt;=2,"Medium","Low"))</f>
        <v>Low</v>
      </c>
      <c r="T467" s="2" t="s">
        <v>10</v>
      </c>
      <c r="U467" s="2" t="s">
        <v>1</v>
      </c>
      <c r="V467" s="2" t="s">
        <v>9</v>
      </c>
      <c r="W467" s="7">
        <v>0</v>
      </c>
      <c r="X467" t="str">
        <f t="shared" si="15"/>
        <v>Active</v>
      </c>
    </row>
    <row r="468" spans="1:24" x14ac:dyDescent="0.3">
      <c r="A468" s="2">
        <v>467</v>
      </c>
      <c r="B468" s="7">
        <v>22.4</v>
      </c>
      <c r="C468" s="2" t="s">
        <v>11</v>
      </c>
      <c r="D468" s="7">
        <f>IF(ISBLANK('Raw sheet'!D468),AVERAGE('Raw sheet'!$D$2:'Raw sheet'!$D$1500),'Raw sheet'!D468)</f>
        <v>25000</v>
      </c>
      <c r="E468" s="7" t="str">
        <f>IF(Table1[[#This Row],[Family_Income]]&gt;=100000,"Upper",IF(D468&gt;=50000,"Middle","Lower"))</f>
        <v>Lower</v>
      </c>
      <c r="F468" s="2" t="s">
        <v>4</v>
      </c>
      <c r="G468" s="3">
        <f>IF(ISBLANK('Raw sheet'!F468),AVERAGE('Raw sheet'!$F$2:'Raw sheet'!$F$1500),'Raw sheet'!F468)</f>
        <v>4.8499999999999996</v>
      </c>
      <c r="H468" s="18">
        <v>61.9</v>
      </c>
      <c r="I468" s="9" t="str">
        <f t="shared" si="14"/>
        <v>Low</v>
      </c>
      <c r="J468" s="2">
        <v>4</v>
      </c>
      <c r="K468" s="2">
        <v>32.5</v>
      </c>
      <c r="L468" s="2" t="s">
        <v>3</v>
      </c>
      <c r="M468" s="2" t="s">
        <v>3</v>
      </c>
      <c r="N468" s="5">
        <f>IF(ISBLANK('Raw sheet'!L468),AVERAGE('Raw sheet'!$L$2:'Raw sheet'!$L$1500),'Raw sheet'!L468)</f>
        <v>3.8</v>
      </c>
      <c r="O468" s="5" t="str">
        <f>IF(Table1[[#This Row],[Stress_Index]]&gt;=8,"High",IF(N468&gt;=5,"Medium","Low"))</f>
        <v>Low</v>
      </c>
      <c r="P468" s="3">
        <v>1.79</v>
      </c>
      <c r="Q468" s="2">
        <v>1.92</v>
      </c>
      <c r="R468" s="3">
        <v>1.91</v>
      </c>
      <c r="S468" s="3" t="str">
        <f>IF(Table1[[#This Row],[CGPA]]&gt;=3,"High",IF(R467&gt;=2,"Medium","Low"))</f>
        <v>Low</v>
      </c>
      <c r="T468" s="2" t="s">
        <v>10</v>
      </c>
      <c r="U468" s="2" t="s">
        <v>14</v>
      </c>
      <c r="V468" s="2" t="s">
        <v>15</v>
      </c>
      <c r="W468" s="7">
        <v>0</v>
      </c>
      <c r="X468" t="str">
        <f t="shared" si="15"/>
        <v>Active</v>
      </c>
    </row>
    <row r="469" spans="1:24" x14ac:dyDescent="0.3">
      <c r="A469" s="2">
        <v>468</v>
      </c>
      <c r="B469" s="7">
        <v>22.7</v>
      </c>
      <c r="C469" s="2" t="s">
        <v>11</v>
      </c>
      <c r="D469" s="7">
        <f>IF(ISBLANK('Raw sheet'!D469),AVERAGE('Raw sheet'!$D$2:'Raw sheet'!$D$1500),'Raw sheet'!D469)</f>
        <v>54708</v>
      </c>
      <c r="E469" s="7" t="str">
        <f>IF(Table1[[#This Row],[Family_Income]]&gt;=100000,"Upper",IF(D469&gt;=50000,"Middle","Lower"))</f>
        <v>Middle</v>
      </c>
      <c r="F469" s="2" t="s">
        <v>4</v>
      </c>
      <c r="G469" s="3">
        <f>IF(ISBLANK('Raw sheet'!F469),AVERAGE('Raw sheet'!$F$2:'Raw sheet'!$F$1500),'Raw sheet'!F469)</f>
        <v>2.58</v>
      </c>
      <c r="H469" s="18">
        <v>85.2</v>
      </c>
      <c r="I469" s="9" t="str">
        <f t="shared" si="14"/>
        <v>Good</v>
      </c>
      <c r="J469" s="2">
        <v>3</v>
      </c>
      <c r="K469" s="2">
        <v>37.5</v>
      </c>
      <c r="L469" s="2" t="s">
        <v>3</v>
      </c>
      <c r="M469" s="2" t="s">
        <v>3</v>
      </c>
      <c r="N469" s="5">
        <f>IF(ISBLANK('Raw sheet'!L469),AVERAGE('Raw sheet'!$L$2:'Raw sheet'!$L$1500),'Raw sheet'!L469)</f>
        <v>5.9</v>
      </c>
      <c r="O469" s="5" t="str">
        <f>IF(Table1[[#This Row],[Stress_Index]]&gt;=8,"High",IF(N469&gt;=5,"Medium","Low"))</f>
        <v>Medium</v>
      </c>
      <c r="P469" s="3">
        <v>4</v>
      </c>
      <c r="Q469" s="2">
        <v>4</v>
      </c>
      <c r="R469" s="3">
        <v>3.99</v>
      </c>
      <c r="S469" s="3" t="str">
        <f>IF(Table1[[#This Row],[CGPA]]&gt;=3,"High",IF(R468&gt;=2,"Medium","Low"))</f>
        <v>High</v>
      </c>
      <c r="T469" s="2" t="s">
        <v>12</v>
      </c>
      <c r="U469" s="2" t="s">
        <v>14</v>
      </c>
      <c r="V469" s="2" t="s">
        <v>17</v>
      </c>
      <c r="W469" s="7">
        <v>0</v>
      </c>
      <c r="X469" t="str">
        <f t="shared" si="15"/>
        <v>Active</v>
      </c>
    </row>
    <row r="470" spans="1:24" x14ac:dyDescent="0.3">
      <c r="A470" s="2">
        <v>469</v>
      </c>
      <c r="B470" s="7">
        <v>19.8</v>
      </c>
      <c r="C470" s="2" t="s">
        <v>11</v>
      </c>
      <c r="D470" s="7">
        <f>IF(ISBLANK('Raw sheet'!D470),AVERAGE('Raw sheet'!$D$2:'Raw sheet'!$D$1500),'Raw sheet'!D470)</f>
        <v>85237</v>
      </c>
      <c r="E470" s="7" t="str">
        <f>IF(Table1[[#This Row],[Family_Income]]&gt;=100000,"Upper",IF(D470&gt;=50000,"Middle","Lower"))</f>
        <v>Middle</v>
      </c>
      <c r="F470" s="2" t="s">
        <v>4</v>
      </c>
      <c r="G470" s="3">
        <f>IF(ISBLANK('Raw sheet'!F470),AVERAGE('Raw sheet'!$F$2:'Raw sheet'!$F$1500),'Raw sheet'!F470)</f>
        <v>1.1200000000000001</v>
      </c>
      <c r="H470" s="18">
        <v>84.5</v>
      </c>
      <c r="I470" s="9" t="str">
        <f t="shared" si="14"/>
        <v>Good</v>
      </c>
      <c r="J470" s="2">
        <v>1</v>
      </c>
      <c r="K470" s="2">
        <v>31.7</v>
      </c>
      <c r="L470" s="2" t="s">
        <v>3</v>
      </c>
      <c r="M470" s="2" t="s">
        <v>4</v>
      </c>
      <c r="N470" s="5">
        <f>IF(ISBLANK('Raw sheet'!L470),AVERAGE('Raw sheet'!$L$2:'Raw sheet'!$L$1500),'Raw sheet'!L470)</f>
        <v>7.4</v>
      </c>
      <c r="O470" s="5" t="str">
        <f>IF(Table1[[#This Row],[Stress_Index]]&gt;=8,"High",IF(N470&gt;=5,"Medium","Low"))</f>
        <v>Medium</v>
      </c>
      <c r="P470" s="3">
        <v>2.77</v>
      </c>
      <c r="Q470" s="2">
        <v>2.63</v>
      </c>
      <c r="R470" s="3">
        <v>2.61</v>
      </c>
      <c r="S470" s="3" t="str">
        <f>IF(Table1[[#This Row],[CGPA]]&gt;=3,"High",IF(R469&gt;=2,"Medium","Low"))</f>
        <v>Medium</v>
      </c>
      <c r="T470" s="2" t="s">
        <v>12</v>
      </c>
      <c r="U470" s="2" t="s">
        <v>13</v>
      </c>
      <c r="V470" s="2" t="s">
        <v>9</v>
      </c>
      <c r="W470" s="7">
        <v>0</v>
      </c>
      <c r="X470" t="str">
        <f t="shared" si="15"/>
        <v>Active</v>
      </c>
    </row>
    <row r="471" spans="1:24" x14ac:dyDescent="0.3">
      <c r="A471" s="2">
        <v>470</v>
      </c>
      <c r="B471" s="7">
        <v>19.7</v>
      </c>
      <c r="C471" s="2" t="s">
        <v>5</v>
      </c>
      <c r="D471" s="7">
        <f>IF(ISBLANK('Raw sheet'!D471),AVERAGE('Raw sheet'!$D$2:'Raw sheet'!$D$1500),'Raw sheet'!D471)</f>
        <v>25000</v>
      </c>
      <c r="E471" s="7" t="str">
        <f>IF(Table1[[#This Row],[Family_Income]]&gt;=100000,"Upper",IF(D471&gt;=50000,"Middle","Lower"))</f>
        <v>Lower</v>
      </c>
      <c r="F471" s="2" t="s">
        <v>3</v>
      </c>
      <c r="G471" s="3">
        <f>IF(ISBLANK('Raw sheet'!F471),AVERAGE('Raw sheet'!$F$2:'Raw sheet'!$F$1500),'Raw sheet'!F471)</f>
        <v>3.49</v>
      </c>
      <c r="H471" s="18">
        <v>86.6</v>
      </c>
      <c r="I471" s="9" t="str">
        <f t="shared" si="14"/>
        <v>Good</v>
      </c>
      <c r="J471" s="2">
        <v>3</v>
      </c>
      <c r="K471" s="2">
        <v>46</v>
      </c>
      <c r="L471" s="2" t="s">
        <v>3</v>
      </c>
      <c r="M471" s="2" t="s">
        <v>3</v>
      </c>
      <c r="N471" s="5">
        <f>IF(ISBLANK('Raw sheet'!L471),AVERAGE('Raw sheet'!$L$2:'Raw sheet'!$L$1500),'Raw sheet'!L471)</f>
        <v>3.9</v>
      </c>
      <c r="O471" s="5" t="str">
        <f>IF(Table1[[#This Row],[Stress_Index]]&gt;=8,"High",IF(N471&gt;=5,"Medium","Low"))</f>
        <v>Low</v>
      </c>
      <c r="P471" s="3">
        <v>2.02</v>
      </c>
      <c r="Q471" s="2">
        <v>2.2999999999999998</v>
      </c>
      <c r="R471" s="3">
        <v>2.38</v>
      </c>
      <c r="S471" s="3" t="str">
        <f>IF(Table1[[#This Row],[CGPA]]&gt;=3,"High",IF(R470&gt;=2,"Medium","Low"))</f>
        <v>Medium</v>
      </c>
      <c r="T471" s="2" t="s">
        <v>7</v>
      </c>
      <c r="U471" s="2" t="s">
        <v>8</v>
      </c>
      <c r="V471" s="2" t="s">
        <v>9</v>
      </c>
      <c r="W471" s="7">
        <v>0</v>
      </c>
      <c r="X471" t="str">
        <f t="shared" si="15"/>
        <v>Active</v>
      </c>
    </row>
    <row r="472" spans="1:24" x14ac:dyDescent="0.3">
      <c r="A472" s="2">
        <v>471</v>
      </c>
      <c r="B472" s="7">
        <v>20.399999999999999</v>
      </c>
      <c r="C472" s="2" t="s">
        <v>11</v>
      </c>
      <c r="D472" s="7">
        <f>IF(ISBLANK('Raw sheet'!D472),AVERAGE('Raw sheet'!$D$2:'Raw sheet'!$D$1500),'Raw sheet'!D472)</f>
        <v>68489</v>
      </c>
      <c r="E472" s="7" t="str">
        <f>IF(Table1[[#This Row],[Family_Income]]&gt;=100000,"Upper",IF(D472&gt;=50000,"Middle","Lower"))</f>
        <v>Middle</v>
      </c>
      <c r="F472" s="2" t="s">
        <v>4</v>
      </c>
      <c r="G472" s="3">
        <f>IF(ISBLANK('Raw sheet'!F472),AVERAGE('Raw sheet'!$F$2:'Raw sheet'!$F$1500),'Raw sheet'!F472)</f>
        <v>2.68</v>
      </c>
      <c r="H472" s="18">
        <v>82.9</v>
      </c>
      <c r="I472" s="9" t="str">
        <f t="shared" si="14"/>
        <v>Good</v>
      </c>
      <c r="J472" s="2">
        <v>0</v>
      </c>
      <c r="K472" s="2">
        <v>25.5</v>
      </c>
      <c r="L472" s="2" t="s">
        <v>3</v>
      </c>
      <c r="M472" s="2" t="s">
        <v>4</v>
      </c>
      <c r="N472" s="5">
        <f>IF(ISBLANK('Raw sheet'!L472),AVERAGE('Raw sheet'!$L$2:'Raw sheet'!$L$1500),'Raw sheet'!L472)</f>
        <v>5.0999999999999996</v>
      </c>
      <c r="O472" s="5" t="str">
        <f>IF(Table1[[#This Row],[Stress_Index]]&gt;=8,"High",IF(N472&gt;=5,"Medium","Low"))</f>
        <v>Medium</v>
      </c>
      <c r="P472" s="3">
        <v>3.04</v>
      </c>
      <c r="Q472" s="2">
        <v>2.84</v>
      </c>
      <c r="R472" s="3">
        <v>2.81</v>
      </c>
      <c r="S472" s="3" t="str">
        <f>IF(Table1[[#This Row],[CGPA]]&gt;=3,"High",IF(R471&gt;=2,"Medium","Low"))</f>
        <v>Medium</v>
      </c>
      <c r="T472" s="2" t="s">
        <v>12</v>
      </c>
      <c r="U472" s="2" t="s">
        <v>8</v>
      </c>
      <c r="V472" s="2" t="s">
        <v>15</v>
      </c>
      <c r="W472" s="7">
        <v>0</v>
      </c>
      <c r="X472" t="str">
        <f t="shared" si="15"/>
        <v>Active</v>
      </c>
    </row>
    <row r="473" spans="1:24" x14ac:dyDescent="0.3">
      <c r="A473" s="2">
        <v>472</v>
      </c>
      <c r="B473" s="7">
        <v>17</v>
      </c>
      <c r="C473" s="2" t="s">
        <v>5</v>
      </c>
      <c r="D473" s="7">
        <f>IF(ISBLANK('Raw sheet'!D473),AVERAGE('Raw sheet'!$D$2:'Raw sheet'!$D$1500),'Raw sheet'!D473)</f>
        <v>25000</v>
      </c>
      <c r="E473" s="7" t="str">
        <f>IF(Table1[[#This Row],[Family_Income]]&gt;=100000,"Upper",IF(D473&gt;=50000,"Middle","Lower"))</f>
        <v>Lower</v>
      </c>
      <c r="F473" s="2" t="s">
        <v>4</v>
      </c>
      <c r="G473" s="3">
        <f>IF(ISBLANK('Raw sheet'!F473),AVERAGE('Raw sheet'!$F$2:'Raw sheet'!$F$1500),'Raw sheet'!F473)</f>
        <v>3.42</v>
      </c>
      <c r="H473" s="18">
        <v>77.7</v>
      </c>
      <c r="I473" s="9" t="str">
        <f t="shared" si="14"/>
        <v>Good</v>
      </c>
      <c r="J473" s="2">
        <v>0</v>
      </c>
      <c r="K473" s="2">
        <v>17.399999999999999</v>
      </c>
      <c r="L473" s="2" t="s">
        <v>3</v>
      </c>
      <c r="M473" s="2" t="s">
        <v>4</v>
      </c>
      <c r="N473" s="5">
        <f>IF(ISBLANK('Raw sheet'!L473),AVERAGE('Raw sheet'!$L$2:'Raw sheet'!$L$1500),'Raw sheet'!L473)</f>
        <v>5.0999999999999996</v>
      </c>
      <c r="O473" s="5" t="str">
        <f>IF(Table1[[#This Row],[Stress_Index]]&gt;=8,"High",IF(N473&gt;=5,"Medium","Low"))</f>
        <v>Medium</v>
      </c>
      <c r="P473" s="3">
        <v>2.04</v>
      </c>
      <c r="Q473" s="2">
        <v>2.08</v>
      </c>
      <c r="R473" s="3">
        <v>2.1</v>
      </c>
      <c r="S473" s="3" t="str">
        <f>IF(Table1[[#This Row],[CGPA]]&gt;=3,"High",IF(R472&gt;=2,"Medium","Low"))</f>
        <v>Medium</v>
      </c>
      <c r="T473" s="2" t="s">
        <v>12</v>
      </c>
      <c r="U473" s="2" t="s">
        <v>6</v>
      </c>
      <c r="V473" s="2" t="s">
        <v>0</v>
      </c>
      <c r="W473" s="7">
        <v>0</v>
      </c>
      <c r="X473" t="str">
        <f t="shared" si="15"/>
        <v>Active</v>
      </c>
    </row>
    <row r="474" spans="1:24" x14ac:dyDescent="0.3">
      <c r="A474" s="2">
        <v>473</v>
      </c>
      <c r="B474" s="7">
        <v>17.7</v>
      </c>
      <c r="C474" s="2" t="s">
        <v>11</v>
      </c>
      <c r="D474" s="7">
        <f>IF(ISBLANK('Raw sheet'!D474),AVERAGE('Raw sheet'!$D$2:'Raw sheet'!$D$1500),'Raw sheet'!D474)</f>
        <v>25000</v>
      </c>
      <c r="E474" s="7" t="str">
        <f>IF(Table1[[#This Row],[Family_Income]]&gt;=100000,"Upper",IF(D474&gt;=50000,"Middle","Lower"))</f>
        <v>Lower</v>
      </c>
      <c r="F474" s="2" t="s">
        <v>4</v>
      </c>
      <c r="G474" s="3">
        <f>IF(ISBLANK('Raw sheet'!F474),AVERAGE('Raw sheet'!$F$2:'Raw sheet'!$F$1500),'Raw sheet'!F474)</f>
        <v>6.97</v>
      </c>
      <c r="H474" s="18">
        <v>75.7</v>
      </c>
      <c r="I474" s="9" t="str">
        <f t="shared" si="14"/>
        <v>Good</v>
      </c>
      <c r="J474" s="2">
        <v>0</v>
      </c>
      <c r="K474" s="2">
        <v>22</v>
      </c>
      <c r="L474" s="2" t="s">
        <v>3</v>
      </c>
      <c r="M474" s="2" t="s">
        <v>3</v>
      </c>
      <c r="N474" s="5">
        <f>IF(ISBLANK('Raw sheet'!L474),AVERAGE('Raw sheet'!$L$2:'Raw sheet'!$L$1500),'Raw sheet'!L474)</f>
        <v>6.9</v>
      </c>
      <c r="O474" s="5" t="str">
        <f>IF(Table1[[#This Row],[Stress_Index]]&gt;=8,"High",IF(N474&gt;=5,"Medium","Low"))</f>
        <v>Medium</v>
      </c>
      <c r="P474" s="3">
        <v>2.74</v>
      </c>
      <c r="Q474" s="2">
        <v>2.67</v>
      </c>
      <c r="R474" s="3">
        <v>2.64</v>
      </c>
      <c r="S474" s="3" t="str">
        <f>IF(Table1[[#This Row],[CGPA]]&gt;=3,"High",IF(R473&gt;=2,"Medium","Low"))</f>
        <v>Medium</v>
      </c>
      <c r="T474" s="2" t="s">
        <v>12</v>
      </c>
      <c r="U474" s="2" t="s">
        <v>6</v>
      </c>
      <c r="V474" s="2" t="s">
        <v>17</v>
      </c>
      <c r="W474" s="7">
        <v>0</v>
      </c>
      <c r="X474" t="str">
        <f t="shared" si="15"/>
        <v>Active</v>
      </c>
    </row>
    <row r="475" spans="1:24" x14ac:dyDescent="0.3">
      <c r="A475" s="2">
        <v>474</v>
      </c>
      <c r="B475" s="7">
        <v>24</v>
      </c>
      <c r="C475" s="2" t="s">
        <v>5</v>
      </c>
      <c r="D475" s="7">
        <f>IF(ISBLANK('Raw sheet'!D475),AVERAGE('Raw sheet'!$D$2:'Raw sheet'!$D$1500),'Raw sheet'!D475)</f>
        <v>84757</v>
      </c>
      <c r="E475" s="7" t="str">
        <f>IF(Table1[[#This Row],[Family_Income]]&gt;=100000,"Upper",IF(D475&gt;=50000,"Middle","Lower"))</f>
        <v>Middle</v>
      </c>
      <c r="F475" s="2" t="s">
        <v>4</v>
      </c>
      <c r="G475" s="3">
        <f>IF(ISBLANK('Raw sheet'!F475),AVERAGE('Raw sheet'!$F$2:'Raw sheet'!$F$1500),'Raw sheet'!F475)</f>
        <v>2.68</v>
      </c>
      <c r="H475" s="18">
        <v>82.3</v>
      </c>
      <c r="I475" s="9" t="str">
        <f t="shared" si="14"/>
        <v>Good</v>
      </c>
      <c r="J475" s="2">
        <v>1</v>
      </c>
      <c r="K475" s="2">
        <v>20.5</v>
      </c>
      <c r="L475" s="2" t="s">
        <v>3</v>
      </c>
      <c r="M475" s="2" t="s">
        <v>3</v>
      </c>
      <c r="N475" s="5">
        <f>IF(ISBLANK('Raw sheet'!L475),AVERAGE('Raw sheet'!$L$2:'Raw sheet'!$L$1500),'Raw sheet'!L475)</f>
        <v>4.7</v>
      </c>
      <c r="O475" s="5" t="str">
        <f>IF(Table1[[#This Row],[Stress_Index]]&gt;=8,"High",IF(N475&gt;=5,"Medium","Low"))</f>
        <v>Low</v>
      </c>
      <c r="P475" s="3">
        <v>1.95</v>
      </c>
      <c r="Q475" s="2">
        <v>2.0499999999999998</v>
      </c>
      <c r="R475" s="3">
        <v>2.09</v>
      </c>
      <c r="S475" s="3" t="str">
        <f>IF(Table1[[#This Row],[CGPA]]&gt;=3,"High",IF(R474&gt;=2,"Medium","Low"))</f>
        <v>Medium</v>
      </c>
      <c r="T475" s="2" t="s">
        <v>10</v>
      </c>
      <c r="U475" s="2" t="s">
        <v>8</v>
      </c>
      <c r="V475" s="2" t="s">
        <v>9</v>
      </c>
      <c r="W475" s="7">
        <v>0</v>
      </c>
      <c r="X475" t="str">
        <f t="shared" si="15"/>
        <v>Active</v>
      </c>
    </row>
    <row r="476" spans="1:24" x14ac:dyDescent="0.3">
      <c r="A476" s="2">
        <v>475</v>
      </c>
      <c r="B476" s="7">
        <v>24.6</v>
      </c>
      <c r="C476" s="2" t="s">
        <v>5</v>
      </c>
      <c r="D476" s="7">
        <f>IF(ISBLANK('Raw sheet'!D476),AVERAGE('Raw sheet'!$D$2:'Raw sheet'!$D$1500),'Raw sheet'!D476)</f>
        <v>40638</v>
      </c>
      <c r="E476" s="7" t="str">
        <f>IF(Table1[[#This Row],[Family_Income]]&gt;=100000,"Upper",IF(D476&gt;=50000,"Middle","Lower"))</f>
        <v>Lower</v>
      </c>
      <c r="F476" s="2" t="s">
        <v>4</v>
      </c>
      <c r="G476" s="3">
        <f>IF(ISBLANK('Raw sheet'!F476),AVERAGE('Raw sheet'!$F$2:'Raw sheet'!$F$1500),'Raw sheet'!F476)</f>
        <v>3.16</v>
      </c>
      <c r="H476" s="18">
        <v>89.9</v>
      </c>
      <c r="I476" s="9" t="str">
        <f t="shared" si="14"/>
        <v>Good</v>
      </c>
      <c r="J476" s="2">
        <v>1</v>
      </c>
      <c r="K476" s="2">
        <v>24.5</v>
      </c>
      <c r="L476" s="2" t="s">
        <v>4</v>
      </c>
      <c r="M476" s="2" t="s">
        <v>3</v>
      </c>
      <c r="N476" s="5">
        <f>IF(ISBLANK('Raw sheet'!L476),AVERAGE('Raw sheet'!$L$2:'Raw sheet'!$L$1500),'Raw sheet'!L476)</f>
        <v>6.9</v>
      </c>
      <c r="O476" s="5" t="str">
        <f>IF(Table1[[#This Row],[Stress_Index]]&gt;=8,"High",IF(N476&gt;=5,"Medium","Low"))</f>
        <v>Medium</v>
      </c>
      <c r="P476" s="3">
        <v>3.46</v>
      </c>
      <c r="Q476" s="2">
        <v>3.69</v>
      </c>
      <c r="R476" s="3">
        <v>3.76</v>
      </c>
      <c r="S476" s="3" t="str">
        <f>IF(Table1[[#This Row],[CGPA]]&gt;=3,"High",IF(R475&gt;=2,"Medium","Low"))</f>
        <v>High</v>
      </c>
      <c r="T476" s="2" t="s">
        <v>10</v>
      </c>
      <c r="U476" s="2" t="s">
        <v>6</v>
      </c>
      <c r="V476" s="2" t="s">
        <v>0</v>
      </c>
      <c r="W476" s="7">
        <v>0</v>
      </c>
      <c r="X476" t="str">
        <f t="shared" si="15"/>
        <v>Active</v>
      </c>
    </row>
    <row r="477" spans="1:24" x14ac:dyDescent="0.3">
      <c r="A477" s="2">
        <v>476</v>
      </c>
      <c r="B477" s="7">
        <v>20.5</v>
      </c>
      <c r="C477" s="2" t="s">
        <v>5</v>
      </c>
      <c r="D477" s="7">
        <f>IF(ISBLANK('Raw sheet'!D477),AVERAGE('Raw sheet'!$D$2:'Raw sheet'!$D$1500),'Raw sheet'!D477)</f>
        <v>29812</v>
      </c>
      <c r="E477" s="7" t="str">
        <f>IF(Table1[[#This Row],[Family_Income]]&gt;=100000,"Upper",IF(D477&gt;=50000,"Middle","Lower"))</f>
        <v>Lower</v>
      </c>
      <c r="F477" s="2" t="s">
        <v>4</v>
      </c>
      <c r="G477" s="3">
        <f>IF(ISBLANK('Raw sheet'!F477),AVERAGE('Raw sheet'!$F$2:'Raw sheet'!$F$1500),'Raw sheet'!F477)</f>
        <v>5.19</v>
      </c>
      <c r="H477" s="18">
        <v>58.3</v>
      </c>
      <c r="I477" s="9" t="str">
        <f t="shared" si="14"/>
        <v>Low</v>
      </c>
      <c r="J477" s="2">
        <v>4</v>
      </c>
      <c r="K477" s="2">
        <v>26.8</v>
      </c>
      <c r="L477" s="2" t="s">
        <v>3</v>
      </c>
      <c r="M477" s="2" t="s">
        <v>3</v>
      </c>
      <c r="N477" s="5">
        <f>IF(ISBLANK('Raw sheet'!L477),AVERAGE('Raw sheet'!$L$2:'Raw sheet'!$L$1500),'Raw sheet'!L477)</f>
        <v>6.8</v>
      </c>
      <c r="O477" s="5" t="str">
        <f>IF(Table1[[#This Row],[Stress_Index]]&gt;=8,"High",IF(N477&gt;=5,"Medium","Low"))</f>
        <v>Medium</v>
      </c>
      <c r="P477" s="3">
        <v>0</v>
      </c>
      <c r="Q477" s="2">
        <v>0</v>
      </c>
      <c r="R477" s="3">
        <v>0.01</v>
      </c>
      <c r="S477" s="3" t="str">
        <f>IF(Table1[[#This Row],[CGPA]]&gt;=3,"High",IF(R476&gt;=2,"Medium","Low"))</f>
        <v>Medium</v>
      </c>
      <c r="T477" s="2" t="s">
        <v>7</v>
      </c>
      <c r="U477" s="2" t="s">
        <v>14</v>
      </c>
      <c r="V477" s="2" t="s">
        <v>0</v>
      </c>
      <c r="W477" s="7">
        <v>1</v>
      </c>
      <c r="X477" t="str">
        <f t="shared" si="15"/>
        <v>Dropped Out</v>
      </c>
    </row>
    <row r="478" spans="1:24" x14ac:dyDescent="0.3">
      <c r="A478" s="2">
        <v>477</v>
      </c>
      <c r="B478" s="7">
        <v>22.3</v>
      </c>
      <c r="C478" s="2" t="s">
        <v>5</v>
      </c>
      <c r="D478" s="7">
        <f>IF(ISBLANK('Raw sheet'!D478),AVERAGE('Raw sheet'!$D$2:'Raw sheet'!$D$1500),'Raw sheet'!D478)</f>
        <v>44905</v>
      </c>
      <c r="E478" s="7" t="str">
        <f>IF(Table1[[#This Row],[Family_Income]]&gt;=100000,"Upper",IF(D478&gt;=50000,"Middle","Lower"))</f>
        <v>Lower</v>
      </c>
      <c r="F478" s="2" t="s">
        <v>4</v>
      </c>
      <c r="G478" s="3">
        <f>IF(ISBLANK('Raw sheet'!F478),AVERAGE('Raw sheet'!$F$2:'Raw sheet'!$F$1500),'Raw sheet'!F478)</f>
        <v>4.38</v>
      </c>
      <c r="H478" s="18">
        <v>89.5</v>
      </c>
      <c r="I478" s="9" t="str">
        <f t="shared" si="14"/>
        <v>Good</v>
      </c>
      <c r="J478" s="2">
        <v>1</v>
      </c>
      <c r="K478" s="2">
        <v>27.3</v>
      </c>
      <c r="L478" s="2" t="s">
        <v>4</v>
      </c>
      <c r="M478" s="2" t="s">
        <v>3</v>
      </c>
      <c r="N478" s="5">
        <f>IF(ISBLANK('Raw sheet'!L478),AVERAGE('Raw sheet'!$L$2:'Raw sheet'!$L$1500),'Raw sheet'!L478)</f>
        <v>4.3</v>
      </c>
      <c r="O478" s="5" t="str">
        <f>IF(Table1[[#This Row],[Stress_Index]]&gt;=8,"High",IF(N478&gt;=5,"Medium","Low"))</f>
        <v>Low</v>
      </c>
      <c r="P478" s="3">
        <v>2.4500000000000002</v>
      </c>
      <c r="Q478" s="2">
        <v>2.4500000000000002</v>
      </c>
      <c r="R478" s="3">
        <v>2.3199999999999998</v>
      </c>
      <c r="S478" s="3" t="str">
        <f>IF(Table1[[#This Row],[CGPA]]&gt;=3,"High",IF(R477&gt;=2,"Medium","Low"))</f>
        <v>Low</v>
      </c>
      <c r="T478" s="2" t="s">
        <v>10</v>
      </c>
      <c r="U478" s="2" t="s">
        <v>6</v>
      </c>
      <c r="V478" s="2" t="s">
        <v>15</v>
      </c>
      <c r="W478" s="7">
        <v>1</v>
      </c>
      <c r="X478" t="str">
        <f t="shared" si="15"/>
        <v>Dropped Out</v>
      </c>
    </row>
    <row r="479" spans="1:24" x14ac:dyDescent="0.3">
      <c r="A479" s="2">
        <v>478</v>
      </c>
      <c r="B479" s="7">
        <v>21.7</v>
      </c>
      <c r="C479" s="2" t="s">
        <v>11</v>
      </c>
      <c r="D479" s="7">
        <f>IF(ISBLANK('Raw sheet'!D479),AVERAGE('Raw sheet'!$D$2:'Raw sheet'!$D$1500),'Raw sheet'!D479)</f>
        <v>35050</v>
      </c>
      <c r="E479" s="7" t="str">
        <f>IF(Table1[[#This Row],[Family_Income]]&gt;=100000,"Upper",IF(D479&gt;=50000,"Middle","Lower"))</f>
        <v>Lower</v>
      </c>
      <c r="F479" s="2" t="s">
        <v>4</v>
      </c>
      <c r="G479" s="3">
        <f>IF(ISBLANK('Raw sheet'!F479),AVERAGE('Raw sheet'!$F$2:'Raw sheet'!$F$1500),'Raw sheet'!F479)</f>
        <v>5.95</v>
      </c>
      <c r="H479" s="18">
        <v>79.7</v>
      </c>
      <c r="I479" s="9" t="str">
        <f t="shared" si="14"/>
        <v>Good</v>
      </c>
      <c r="J479" s="2">
        <v>1</v>
      </c>
      <c r="K479" s="2">
        <v>32.799999999999997</v>
      </c>
      <c r="L479" s="2" t="s">
        <v>3</v>
      </c>
      <c r="M479" s="2" t="s">
        <v>3</v>
      </c>
      <c r="N479" s="5">
        <f>IF(ISBLANK('Raw sheet'!L479),AVERAGE('Raw sheet'!$L$2:'Raw sheet'!$L$1500),'Raw sheet'!L479)</f>
        <v>5</v>
      </c>
      <c r="O479" s="5" t="str">
        <f>IF(Table1[[#This Row],[Stress_Index]]&gt;=8,"High",IF(N479&gt;=5,"Medium","Low"))</f>
        <v>Medium</v>
      </c>
      <c r="P479" s="3">
        <v>3.85</v>
      </c>
      <c r="Q479" s="2">
        <v>3.6</v>
      </c>
      <c r="R479" s="3">
        <v>3.6</v>
      </c>
      <c r="S479" s="3" t="str">
        <f>IF(Table1[[#This Row],[CGPA]]&gt;=3,"High",IF(R478&gt;=2,"Medium","Low"))</f>
        <v>High</v>
      </c>
      <c r="T479" s="2" t="s">
        <v>2</v>
      </c>
      <c r="U479" s="2" t="s">
        <v>13</v>
      </c>
      <c r="V479" s="2" t="s">
        <v>17</v>
      </c>
      <c r="W479" s="7">
        <v>0</v>
      </c>
      <c r="X479" t="str">
        <f t="shared" si="15"/>
        <v>Active</v>
      </c>
    </row>
    <row r="480" spans="1:24" x14ac:dyDescent="0.3">
      <c r="A480" s="2">
        <v>479</v>
      </c>
      <c r="B480" s="7">
        <v>27.8</v>
      </c>
      <c r="C480" s="2" t="s">
        <v>11</v>
      </c>
      <c r="D480" s="7">
        <f>IF(ISBLANK('Raw sheet'!D480),AVERAGE('Raw sheet'!$D$2:'Raw sheet'!$D$1500),'Raw sheet'!D480)</f>
        <v>28523</v>
      </c>
      <c r="E480" s="7" t="str">
        <f>IF(Table1[[#This Row],[Family_Income]]&gt;=100000,"Upper",IF(D480&gt;=50000,"Middle","Lower"))</f>
        <v>Lower</v>
      </c>
      <c r="F480" s="2" t="s">
        <v>4</v>
      </c>
      <c r="G480" s="3">
        <f>IF(ISBLANK('Raw sheet'!F480),AVERAGE('Raw sheet'!$F$2:'Raw sheet'!$F$1500),'Raw sheet'!F480)</f>
        <v>5.0599999999999996</v>
      </c>
      <c r="H480" s="18">
        <v>80.7</v>
      </c>
      <c r="I480" s="9" t="str">
        <f t="shared" si="14"/>
        <v>Good</v>
      </c>
      <c r="J480" s="2">
        <v>2</v>
      </c>
      <c r="K480" s="2">
        <v>24.5</v>
      </c>
      <c r="L480" s="2" t="s">
        <v>4</v>
      </c>
      <c r="M480" s="2" t="s">
        <v>4</v>
      </c>
      <c r="N480" s="5">
        <f>IF(ISBLANK('Raw sheet'!L480),AVERAGE('Raw sheet'!$L$2:'Raw sheet'!$L$1500),'Raw sheet'!L480)</f>
        <v>5.6</v>
      </c>
      <c r="O480" s="5" t="str">
        <f>IF(Table1[[#This Row],[Stress_Index]]&gt;=8,"High",IF(N480&gt;=5,"Medium","Low"))</f>
        <v>Medium</v>
      </c>
      <c r="P480" s="3">
        <v>2.9</v>
      </c>
      <c r="Q480" s="2">
        <v>3.3</v>
      </c>
      <c r="R480" s="3">
        <v>3.32</v>
      </c>
      <c r="S480" s="3" t="str">
        <f>IF(Table1[[#This Row],[CGPA]]&gt;=3,"High",IF(R479&gt;=2,"Medium","Low"))</f>
        <v>High</v>
      </c>
      <c r="T480" s="2" t="s">
        <v>12</v>
      </c>
      <c r="U480" s="2" t="s">
        <v>6</v>
      </c>
      <c r="V480" s="2" t="s">
        <v>15</v>
      </c>
      <c r="W480" s="7">
        <v>0</v>
      </c>
      <c r="X480" t="str">
        <f t="shared" si="15"/>
        <v>Active</v>
      </c>
    </row>
    <row r="481" spans="1:24" x14ac:dyDescent="0.3">
      <c r="A481" s="2">
        <v>480</v>
      </c>
      <c r="B481" s="7">
        <v>23.5</v>
      </c>
      <c r="C481" s="2" t="s">
        <v>11</v>
      </c>
      <c r="D481" s="7">
        <f>IF(ISBLANK('Raw sheet'!D481),AVERAGE('Raw sheet'!$D$2:'Raw sheet'!$D$1500),'Raw sheet'!D481)</f>
        <v>25000</v>
      </c>
      <c r="E481" s="7" t="str">
        <f>IF(Table1[[#This Row],[Family_Income]]&gt;=100000,"Upper",IF(D481&gt;=50000,"Middle","Lower"))</f>
        <v>Lower</v>
      </c>
      <c r="F481" s="2" t="s">
        <v>4</v>
      </c>
      <c r="G481" s="3">
        <f>IF(ISBLANK('Raw sheet'!F481),AVERAGE('Raw sheet'!$F$2:'Raw sheet'!$F$1500),'Raw sheet'!F481)</f>
        <v>3.1</v>
      </c>
      <c r="H481" s="18">
        <v>87.6</v>
      </c>
      <c r="I481" s="9" t="str">
        <f t="shared" si="14"/>
        <v>Good</v>
      </c>
      <c r="J481" s="2">
        <v>1</v>
      </c>
      <c r="K481" s="2">
        <v>42.6</v>
      </c>
      <c r="L481" s="2" t="s">
        <v>3</v>
      </c>
      <c r="M481" s="2" t="s">
        <v>3</v>
      </c>
      <c r="N481" s="5">
        <f>IF(ISBLANK('Raw sheet'!L481),AVERAGE('Raw sheet'!$L$2:'Raw sheet'!$L$1500),'Raw sheet'!L481)</f>
        <v>4.7</v>
      </c>
      <c r="O481" s="5" t="str">
        <f>IF(Table1[[#This Row],[Stress_Index]]&gt;=8,"High",IF(N481&gt;=5,"Medium","Low"))</f>
        <v>Low</v>
      </c>
      <c r="P481" s="3">
        <v>2.19</v>
      </c>
      <c r="Q481" s="2">
        <v>1.86</v>
      </c>
      <c r="R481" s="3">
        <v>1.91</v>
      </c>
      <c r="S481" s="3" t="str">
        <f>IF(Table1[[#This Row],[CGPA]]&gt;=3,"High",IF(R480&gt;=2,"Medium","Low"))</f>
        <v>Medium</v>
      </c>
      <c r="T481" s="2" t="s">
        <v>12</v>
      </c>
      <c r="U481" s="2" t="s">
        <v>6</v>
      </c>
      <c r="V481" s="2" t="s">
        <v>15</v>
      </c>
      <c r="W481" s="7">
        <v>0</v>
      </c>
      <c r="X481" t="str">
        <f t="shared" si="15"/>
        <v>Active</v>
      </c>
    </row>
    <row r="482" spans="1:24" x14ac:dyDescent="0.3">
      <c r="A482" s="2">
        <v>481</v>
      </c>
      <c r="B482" s="7">
        <v>20.7</v>
      </c>
      <c r="C482" s="2" t="s">
        <v>11</v>
      </c>
      <c r="D482" s="7">
        <f>IF(ISBLANK('Raw sheet'!D482),AVERAGE('Raw sheet'!$D$2:'Raw sheet'!$D$1500),'Raw sheet'!D482)</f>
        <v>25278</v>
      </c>
      <c r="E482" s="7" t="str">
        <f>IF(Table1[[#This Row],[Family_Income]]&gt;=100000,"Upper",IF(D482&gt;=50000,"Middle","Lower"))</f>
        <v>Lower</v>
      </c>
      <c r="F482" s="2" t="s">
        <v>4</v>
      </c>
      <c r="G482" s="3">
        <f>IF(ISBLANK('Raw sheet'!F482),AVERAGE('Raw sheet'!$F$2:'Raw sheet'!$F$1500),'Raw sheet'!F482)</f>
        <v>4.67</v>
      </c>
      <c r="H482" s="18">
        <v>80.599999999999994</v>
      </c>
      <c r="I482" s="9" t="str">
        <f t="shared" si="14"/>
        <v>Good</v>
      </c>
      <c r="J482" s="2">
        <v>2</v>
      </c>
      <c r="K482" s="2">
        <v>6.7</v>
      </c>
      <c r="L482" s="2" t="s">
        <v>3</v>
      </c>
      <c r="M482" s="2" t="s">
        <v>3</v>
      </c>
      <c r="N482" s="5">
        <f>IF(ISBLANK('Raw sheet'!L482),AVERAGE('Raw sheet'!$L$2:'Raw sheet'!$L$1500),'Raw sheet'!L482)</f>
        <v>3.9</v>
      </c>
      <c r="O482" s="5" t="str">
        <f>IF(Table1[[#This Row],[Stress_Index]]&gt;=8,"High",IF(N482&gt;=5,"Medium","Low"))</f>
        <v>Low</v>
      </c>
      <c r="P482" s="3">
        <v>3.31</v>
      </c>
      <c r="Q482" s="2">
        <v>3.55</v>
      </c>
      <c r="R482" s="3">
        <v>3.56</v>
      </c>
      <c r="S482" s="3" t="str">
        <f>IF(Table1[[#This Row],[CGPA]]&gt;=3,"High",IF(R481&gt;=2,"Medium","Low"))</f>
        <v>High</v>
      </c>
      <c r="T482" s="2" t="s">
        <v>7</v>
      </c>
      <c r="U482" s="2" t="s">
        <v>14</v>
      </c>
      <c r="V482" s="2" t="s">
        <v>9</v>
      </c>
      <c r="W482" s="7">
        <v>0</v>
      </c>
      <c r="X482" t="str">
        <f t="shared" si="15"/>
        <v>Active</v>
      </c>
    </row>
    <row r="483" spans="1:24" x14ac:dyDescent="0.3">
      <c r="A483" s="2">
        <v>482</v>
      </c>
      <c r="B483" s="7">
        <v>18.899999999999999</v>
      </c>
      <c r="C483" s="2" t="s">
        <v>11</v>
      </c>
      <c r="D483" s="7">
        <f>IF(ISBLANK('Raw sheet'!D483),AVERAGE('Raw sheet'!$D$2:'Raw sheet'!$D$1500),'Raw sheet'!D483)</f>
        <v>43215</v>
      </c>
      <c r="E483" s="7" t="str">
        <f>IF(Table1[[#This Row],[Family_Income]]&gt;=100000,"Upper",IF(D483&gt;=50000,"Middle","Lower"))</f>
        <v>Lower</v>
      </c>
      <c r="F483" s="2" t="s">
        <v>4</v>
      </c>
      <c r="G483" s="3">
        <f>IF(ISBLANK('Raw sheet'!F483),AVERAGE('Raw sheet'!$F$2:'Raw sheet'!$F$1500),'Raw sheet'!F483)</f>
        <v>4.1500000000000004</v>
      </c>
      <c r="H483" s="18">
        <v>83.8</v>
      </c>
      <c r="I483" s="9" t="str">
        <f t="shared" si="14"/>
        <v>Good</v>
      </c>
      <c r="J483" s="2">
        <v>4</v>
      </c>
      <c r="K483" s="2">
        <v>5</v>
      </c>
      <c r="L483" s="2" t="s">
        <v>3</v>
      </c>
      <c r="M483" s="2" t="s">
        <v>3</v>
      </c>
      <c r="N483" s="5">
        <f>IF(ISBLANK('Raw sheet'!L483),AVERAGE('Raw sheet'!$L$2:'Raw sheet'!$L$1500),'Raw sheet'!L483)</f>
        <v>8.1999999999999993</v>
      </c>
      <c r="O483" s="5" t="str">
        <f>IF(Table1[[#This Row],[Stress_Index]]&gt;=8,"High",IF(N483&gt;=5,"Medium","Low"))</f>
        <v>High</v>
      </c>
      <c r="P483" s="3">
        <v>2.0099999999999998</v>
      </c>
      <c r="Q483" s="2">
        <v>1.44</v>
      </c>
      <c r="R483" s="3">
        <v>1.44</v>
      </c>
      <c r="S483" s="3" t="str">
        <f>IF(Table1[[#This Row],[CGPA]]&gt;=3,"High",IF(R482&gt;=2,"Medium","Low"))</f>
        <v>Medium</v>
      </c>
      <c r="T483" s="2" t="s">
        <v>12</v>
      </c>
      <c r="U483" s="2" t="s">
        <v>14</v>
      </c>
      <c r="V483" s="2" t="s">
        <v>0</v>
      </c>
      <c r="W483" s="7">
        <v>0</v>
      </c>
      <c r="X483" t="str">
        <f t="shared" si="15"/>
        <v>Active</v>
      </c>
    </row>
    <row r="484" spans="1:24" x14ac:dyDescent="0.3">
      <c r="A484" s="2">
        <v>483</v>
      </c>
      <c r="B484" s="7">
        <v>17.5</v>
      </c>
      <c r="C484" s="2" t="s">
        <v>5</v>
      </c>
      <c r="D484" s="7">
        <f>IF(ISBLANK('Raw sheet'!D484),AVERAGE('Raw sheet'!$D$2:'Raw sheet'!$D$1500),'Raw sheet'!D484)</f>
        <v>27621</v>
      </c>
      <c r="E484" s="7" t="str">
        <f>IF(Table1[[#This Row],[Family_Income]]&gt;=100000,"Upper",IF(D484&gt;=50000,"Middle","Lower"))</f>
        <v>Lower</v>
      </c>
      <c r="F484" s="2" t="s">
        <v>4</v>
      </c>
      <c r="G484" s="3">
        <f>IF(ISBLANK('Raw sheet'!F484),AVERAGE('Raw sheet'!$F$2:'Raw sheet'!$F$1500),'Raw sheet'!F484)</f>
        <v>1.71</v>
      </c>
      <c r="H484" s="18">
        <v>68.900000000000006</v>
      </c>
      <c r="I484" s="9" t="str">
        <f t="shared" si="14"/>
        <v>Low</v>
      </c>
      <c r="J484" s="2">
        <v>1</v>
      </c>
      <c r="K484" s="2">
        <v>42</v>
      </c>
      <c r="L484" s="2" t="s">
        <v>3</v>
      </c>
      <c r="M484" s="2" t="s">
        <v>4</v>
      </c>
      <c r="N484" s="5">
        <f>IF(ISBLANK('Raw sheet'!L484),AVERAGE('Raw sheet'!$L$2:'Raw sheet'!$L$1500),'Raw sheet'!L484)</f>
        <v>2.2999999999999998</v>
      </c>
      <c r="O484" s="5" t="str">
        <f>IF(Table1[[#This Row],[Stress_Index]]&gt;=8,"High",IF(N484&gt;=5,"Medium","Low"))</f>
        <v>Low</v>
      </c>
      <c r="P484" s="3">
        <v>1.69</v>
      </c>
      <c r="Q484" s="2">
        <v>1.45</v>
      </c>
      <c r="R484" s="3">
        <v>1.47</v>
      </c>
      <c r="S484" s="3" t="str">
        <f>IF(Table1[[#This Row],[CGPA]]&gt;=3,"High",IF(R483&gt;=2,"Medium","Low"))</f>
        <v>Low</v>
      </c>
      <c r="T484" s="2" t="s">
        <v>10</v>
      </c>
      <c r="U484" s="2" t="s">
        <v>13</v>
      </c>
      <c r="V484" s="2" t="s">
        <v>15</v>
      </c>
      <c r="W484" s="7">
        <v>0</v>
      </c>
      <c r="X484" t="str">
        <f t="shared" si="15"/>
        <v>Active</v>
      </c>
    </row>
    <row r="485" spans="1:24" x14ac:dyDescent="0.3">
      <c r="A485" s="2">
        <v>484</v>
      </c>
      <c r="B485" s="7">
        <v>21.4</v>
      </c>
      <c r="C485" s="2" t="s">
        <v>5</v>
      </c>
      <c r="D485" s="7">
        <f>IF(ISBLANK('Raw sheet'!D485),AVERAGE('Raw sheet'!$D$2:'Raw sheet'!$D$1500),'Raw sheet'!D485)</f>
        <v>38587.00282087447</v>
      </c>
      <c r="E485" s="7" t="str">
        <f>IF(Table1[[#This Row],[Family_Income]]&gt;=100000,"Upper",IF(D485&gt;=50000,"Middle","Lower"))</f>
        <v>Lower</v>
      </c>
      <c r="F485" s="2" t="s">
        <v>4</v>
      </c>
      <c r="G485" s="3">
        <f>IF(ISBLANK('Raw sheet'!F485),AVERAGE('Raw sheet'!$F$2:'Raw sheet'!$F$1500),'Raw sheet'!F485)</f>
        <v>4.0178702397743278</v>
      </c>
      <c r="H485" s="18">
        <v>79.8</v>
      </c>
      <c r="I485" s="9" t="str">
        <f t="shared" si="14"/>
        <v>Good</v>
      </c>
      <c r="J485" s="2">
        <v>2</v>
      </c>
      <c r="K485" s="2">
        <v>41.1</v>
      </c>
      <c r="L485" s="2" t="s">
        <v>3</v>
      </c>
      <c r="M485" s="2" t="s">
        <v>4</v>
      </c>
      <c r="N485" s="5">
        <f>IF(ISBLANK('Raw sheet'!L485),AVERAGE('Raw sheet'!$L$2:'Raw sheet'!$L$1500),'Raw sheet'!L485)</f>
        <v>5.5242595204513369</v>
      </c>
      <c r="O485" s="5" t="str">
        <f>IF(Table1[[#This Row],[Stress_Index]]&gt;=8,"High",IF(N485&gt;=5,"Medium","Low"))</f>
        <v>Medium</v>
      </c>
      <c r="P485" s="3">
        <v>3.12</v>
      </c>
      <c r="Q485" s="2">
        <v>2.89</v>
      </c>
      <c r="R485" s="3">
        <v>2.89</v>
      </c>
      <c r="S485" s="3" t="str">
        <f>IF(Table1[[#This Row],[CGPA]]&gt;=3,"High",IF(R484&gt;=2,"Medium","Low"))</f>
        <v>Low</v>
      </c>
      <c r="T485" s="2" t="s">
        <v>2</v>
      </c>
      <c r="U485" s="2" t="s">
        <v>14</v>
      </c>
      <c r="V485" s="2" t="s">
        <v>15</v>
      </c>
      <c r="W485" s="7">
        <v>0</v>
      </c>
      <c r="X485" t="str">
        <f t="shared" si="15"/>
        <v>Active</v>
      </c>
    </row>
    <row r="486" spans="1:24" x14ac:dyDescent="0.3">
      <c r="A486" s="2">
        <v>485</v>
      </c>
      <c r="B486" s="7">
        <v>19.3</v>
      </c>
      <c r="C486" s="2" t="s">
        <v>5</v>
      </c>
      <c r="D486" s="7">
        <f>IF(ISBLANK('Raw sheet'!D486),AVERAGE('Raw sheet'!$D$2:'Raw sheet'!$D$1500),'Raw sheet'!D486)</f>
        <v>37429</v>
      </c>
      <c r="E486" s="7" t="str">
        <f>IF(Table1[[#This Row],[Family_Income]]&gt;=100000,"Upper",IF(D486&gt;=50000,"Middle","Lower"))</f>
        <v>Lower</v>
      </c>
      <c r="F486" s="2" t="s">
        <v>4</v>
      </c>
      <c r="G486" s="3">
        <f>IF(ISBLANK('Raw sheet'!F486),AVERAGE('Raw sheet'!$F$2:'Raw sheet'!$F$1500),'Raw sheet'!F486)</f>
        <v>2.62</v>
      </c>
      <c r="H486" s="18">
        <v>86.1</v>
      </c>
      <c r="I486" s="9" t="str">
        <f t="shared" si="14"/>
        <v>Good</v>
      </c>
      <c r="J486" s="2">
        <v>5</v>
      </c>
      <c r="K486" s="2">
        <v>44.9</v>
      </c>
      <c r="L486" s="2" t="s">
        <v>3</v>
      </c>
      <c r="M486" s="2" t="s">
        <v>3</v>
      </c>
      <c r="N486" s="5">
        <f>IF(ISBLANK('Raw sheet'!L486),AVERAGE('Raw sheet'!$L$2:'Raw sheet'!$L$1500),'Raw sheet'!L486)</f>
        <v>8</v>
      </c>
      <c r="O486" s="5" t="str">
        <f>IF(Table1[[#This Row],[Stress_Index]]&gt;=8,"High",IF(N486&gt;=5,"Medium","Low"))</f>
        <v>High</v>
      </c>
      <c r="P486" s="3">
        <v>1.57</v>
      </c>
      <c r="Q486" s="2">
        <v>1.34</v>
      </c>
      <c r="R486" s="3">
        <v>1.24</v>
      </c>
      <c r="S486" s="3" t="str">
        <f>IF(Table1[[#This Row],[CGPA]]&gt;=3,"High",IF(R485&gt;=2,"Medium","Low"))</f>
        <v>Medium</v>
      </c>
      <c r="T486" s="2" t="s">
        <v>7</v>
      </c>
      <c r="U486" s="2" t="s">
        <v>6</v>
      </c>
      <c r="V486" s="2" t="s">
        <v>9</v>
      </c>
      <c r="W486" s="7">
        <v>0</v>
      </c>
      <c r="X486" t="str">
        <f t="shared" si="15"/>
        <v>Active</v>
      </c>
    </row>
    <row r="487" spans="1:24" x14ac:dyDescent="0.3">
      <c r="A487" s="2">
        <v>486</v>
      </c>
      <c r="B487" s="7">
        <v>17.899999999999999</v>
      </c>
      <c r="C487" s="2" t="s">
        <v>5</v>
      </c>
      <c r="D487" s="7">
        <f>IF(ISBLANK('Raw sheet'!D487),AVERAGE('Raw sheet'!$D$2:'Raw sheet'!$D$1500),'Raw sheet'!D487)</f>
        <v>25000</v>
      </c>
      <c r="E487" s="7" t="str">
        <f>IF(Table1[[#This Row],[Family_Income]]&gt;=100000,"Upper",IF(D487&gt;=50000,"Middle","Lower"))</f>
        <v>Lower</v>
      </c>
      <c r="F487" s="2" t="s">
        <v>4</v>
      </c>
      <c r="G487" s="3">
        <f>IF(ISBLANK('Raw sheet'!F487),AVERAGE('Raw sheet'!$F$2:'Raw sheet'!$F$1500),'Raw sheet'!F487)</f>
        <v>3.86</v>
      </c>
      <c r="H487" s="18">
        <v>78.900000000000006</v>
      </c>
      <c r="I487" s="9" t="str">
        <f t="shared" si="14"/>
        <v>Good</v>
      </c>
      <c r="J487" s="2">
        <v>3</v>
      </c>
      <c r="K487" s="2">
        <v>37.6</v>
      </c>
      <c r="L487" s="2" t="s">
        <v>4</v>
      </c>
      <c r="M487" s="2" t="s">
        <v>3</v>
      </c>
      <c r="N487" s="5">
        <f>IF(ISBLANK('Raw sheet'!L487),AVERAGE('Raw sheet'!$L$2:'Raw sheet'!$L$1500),'Raw sheet'!L487)</f>
        <v>4</v>
      </c>
      <c r="O487" s="5" t="str">
        <f>IF(Table1[[#This Row],[Stress_Index]]&gt;=8,"High",IF(N487&gt;=5,"Medium","Low"))</f>
        <v>Low</v>
      </c>
      <c r="P487" s="3">
        <v>1.38</v>
      </c>
      <c r="Q487" s="2">
        <v>1.39</v>
      </c>
      <c r="R487" s="3">
        <v>1.44</v>
      </c>
      <c r="S487" s="3" t="str">
        <f>IF(Table1[[#This Row],[CGPA]]&gt;=3,"High",IF(R486&gt;=2,"Medium","Low"))</f>
        <v>Low</v>
      </c>
      <c r="T487" s="2" t="s">
        <v>12</v>
      </c>
      <c r="U487" s="2" t="s">
        <v>1</v>
      </c>
      <c r="V487" s="2" t="s">
        <v>0</v>
      </c>
      <c r="W487" s="7">
        <v>0</v>
      </c>
      <c r="X487" t="str">
        <f t="shared" si="15"/>
        <v>Active</v>
      </c>
    </row>
    <row r="488" spans="1:24" x14ac:dyDescent="0.3">
      <c r="A488" s="2">
        <v>487</v>
      </c>
      <c r="B488" s="7">
        <v>19.600000000000001</v>
      </c>
      <c r="C488" s="2" t="s">
        <v>5</v>
      </c>
      <c r="D488" s="7">
        <f>IF(ISBLANK('Raw sheet'!D488),AVERAGE('Raw sheet'!$D$2:'Raw sheet'!$D$1500),'Raw sheet'!D488)</f>
        <v>25000</v>
      </c>
      <c r="E488" s="7" t="str">
        <f>IF(Table1[[#This Row],[Family_Income]]&gt;=100000,"Upper",IF(D488&gt;=50000,"Middle","Lower"))</f>
        <v>Lower</v>
      </c>
      <c r="F488" s="2" t="s">
        <v>4</v>
      </c>
      <c r="G488" s="3">
        <f>IF(ISBLANK('Raw sheet'!F488),AVERAGE('Raw sheet'!$F$2:'Raw sheet'!$F$1500),'Raw sheet'!F488)</f>
        <v>3.39</v>
      </c>
      <c r="H488" s="18">
        <v>79.3</v>
      </c>
      <c r="I488" s="9" t="str">
        <f t="shared" si="14"/>
        <v>Good</v>
      </c>
      <c r="J488" s="2">
        <v>2</v>
      </c>
      <c r="K488" s="2">
        <v>30</v>
      </c>
      <c r="L488" s="2" t="s">
        <v>4</v>
      </c>
      <c r="M488" s="2" t="s">
        <v>3</v>
      </c>
      <c r="N488" s="5">
        <f>IF(ISBLANK('Raw sheet'!L488),AVERAGE('Raw sheet'!$L$2:'Raw sheet'!$L$1500),'Raw sheet'!L488)</f>
        <v>5.5</v>
      </c>
      <c r="O488" s="5" t="str">
        <f>IF(Table1[[#This Row],[Stress_Index]]&gt;=8,"High",IF(N488&gt;=5,"Medium","Low"))</f>
        <v>Medium</v>
      </c>
      <c r="P488" s="3">
        <v>2.95</v>
      </c>
      <c r="Q488" s="2">
        <v>3.25</v>
      </c>
      <c r="R488" s="3">
        <v>3.27</v>
      </c>
      <c r="S488" s="3" t="str">
        <f>IF(Table1[[#This Row],[CGPA]]&gt;=3,"High",IF(R487&gt;=2,"Medium","Low"))</f>
        <v>High</v>
      </c>
      <c r="T488" s="2" t="s">
        <v>7</v>
      </c>
      <c r="U488" s="2" t="s">
        <v>6</v>
      </c>
      <c r="V488" s="2" t="s">
        <v>0</v>
      </c>
      <c r="W488" s="7">
        <v>0</v>
      </c>
      <c r="X488" t="str">
        <f t="shared" si="15"/>
        <v>Active</v>
      </c>
    </row>
    <row r="489" spans="1:24" x14ac:dyDescent="0.3">
      <c r="A489" s="2">
        <v>488</v>
      </c>
      <c r="B489" s="7">
        <v>18.600000000000001</v>
      </c>
      <c r="C489" s="2" t="s">
        <v>5</v>
      </c>
      <c r="D489" s="7">
        <f>IF(ISBLANK('Raw sheet'!D489),AVERAGE('Raw sheet'!$D$2:'Raw sheet'!$D$1500),'Raw sheet'!D489)</f>
        <v>38587.00282087447</v>
      </c>
      <c r="E489" s="7" t="str">
        <f>IF(Table1[[#This Row],[Family_Income]]&gt;=100000,"Upper",IF(D489&gt;=50000,"Middle","Lower"))</f>
        <v>Lower</v>
      </c>
      <c r="F489" s="2" t="s">
        <v>4</v>
      </c>
      <c r="G489" s="3">
        <f>IF(ISBLANK('Raw sheet'!F489),AVERAGE('Raw sheet'!$F$2:'Raw sheet'!$F$1500),'Raw sheet'!F489)</f>
        <v>4.0178702397743278</v>
      </c>
      <c r="H489" s="18">
        <v>83.3</v>
      </c>
      <c r="I489" s="9" t="str">
        <f t="shared" si="14"/>
        <v>Good</v>
      </c>
      <c r="J489" s="2">
        <v>2</v>
      </c>
      <c r="K489" s="2">
        <v>26.9</v>
      </c>
      <c r="L489" s="2" t="s">
        <v>3</v>
      </c>
      <c r="M489" s="2" t="s">
        <v>3</v>
      </c>
      <c r="N489" s="5">
        <f>IF(ISBLANK('Raw sheet'!L489),AVERAGE('Raw sheet'!$L$2:'Raw sheet'!$L$1500),'Raw sheet'!L489)</f>
        <v>5.5242595204513369</v>
      </c>
      <c r="O489" s="5" t="str">
        <f>IF(Table1[[#This Row],[Stress_Index]]&gt;=8,"High",IF(N489&gt;=5,"Medium","Low"))</f>
        <v>Medium</v>
      </c>
      <c r="P489" s="3">
        <v>1.7</v>
      </c>
      <c r="Q489" s="2">
        <v>2.0299999999999998</v>
      </c>
      <c r="R489" s="3">
        <v>2.04</v>
      </c>
      <c r="S489" s="3" t="str">
        <f>IF(Table1[[#This Row],[CGPA]]&gt;=3,"High",IF(R488&gt;=2,"Medium","Low"))</f>
        <v>Medium</v>
      </c>
      <c r="T489" s="2" t="s">
        <v>12</v>
      </c>
      <c r="U489" s="2" t="s">
        <v>1</v>
      </c>
      <c r="V489" s="2" t="s">
        <v>15</v>
      </c>
      <c r="W489" s="7">
        <v>0</v>
      </c>
      <c r="X489" t="str">
        <f t="shared" si="15"/>
        <v>Active</v>
      </c>
    </row>
    <row r="490" spans="1:24" x14ac:dyDescent="0.3">
      <c r="A490" s="2">
        <v>489</v>
      </c>
      <c r="B490" s="7">
        <v>24.7</v>
      </c>
      <c r="C490" s="2" t="s">
        <v>5</v>
      </c>
      <c r="D490" s="7">
        <f>IF(ISBLANK('Raw sheet'!D490),AVERAGE('Raw sheet'!$D$2:'Raw sheet'!$D$1500),'Raw sheet'!D490)</f>
        <v>25000</v>
      </c>
      <c r="E490" s="7" t="str">
        <f>IF(Table1[[#This Row],[Family_Income]]&gt;=100000,"Upper",IF(D490&gt;=50000,"Middle","Lower"))</f>
        <v>Lower</v>
      </c>
      <c r="F490" s="2" t="s">
        <v>4</v>
      </c>
      <c r="G490" s="3">
        <f>IF(ISBLANK('Raw sheet'!F490),AVERAGE('Raw sheet'!$F$2:'Raw sheet'!$F$1500),'Raw sheet'!F490)</f>
        <v>4.25</v>
      </c>
      <c r="H490" s="18">
        <v>85.4</v>
      </c>
      <c r="I490" s="9" t="str">
        <f t="shared" si="14"/>
        <v>Good</v>
      </c>
      <c r="J490" s="2">
        <v>4</v>
      </c>
      <c r="K490" s="2">
        <v>10.8</v>
      </c>
      <c r="L490" s="2" t="s">
        <v>3</v>
      </c>
      <c r="M490" s="2" t="s">
        <v>3</v>
      </c>
      <c r="N490" s="5">
        <f>IF(ISBLANK('Raw sheet'!L490),AVERAGE('Raw sheet'!$L$2:'Raw sheet'!$L$1500),'Raw sheet'!L490)</f>
        <v>1</v>
      </c>
      <c r="O490" s="5" t="str">
        <f>IF(Table1[[#This Row],[Stress_Index]]&gt;=8,"High",IF(N490&gt;=5,"Medium","Low"))</f>
        <v>Low</v>
      </c>
      <c r="P490" s="3">
        <v>3.38</v>
      </c>
      <c r="Q490" s="2">
        <v>3.33</v>
      </c>
      <c r="R490" s="3">
        <v>3.36</v>
      </c>
      <c r="S490" s="3" t="str">
        <f>IF(Table1[[#This Row],[CGPA]]&gt;=3,"High",IF(R489&gt;=2,"Medium","Low"))</f>
        <v>High</v>
      </c>
      <c r="T490" s="2" t="s">
        <v>10</v>
      </c>
      <c r="U490" s="2" t="s">
        <v>8</v>
      </c>
      <c r="V490" s="2" t="s">
        <v>9</v>
      </c>
      <c r="W490" s="7">
        <v>0</v>
      </c>
      <c r="X490" t="str">
        <f t="shared" si="15"/>
        <v>Active</v>
      </c>
    </row>
    <row r="491" spans="1:24" x14ac:dyDescent="0.3">
      <c r="A491" s="2">
        <v>490</v>
      </c>
      <c r="B491" s="7">
        <v>22.9</v>
      </c>
      <c r="C491" s="2" t="s">
        <v>5</v>
      </c>
      <c r="D491" s="7">
        <f>IF(ISBLANK('Raw sheet'!D491),AVERAGE('Raw sheet'!$D$2:'Raw sheet'!$D$1500),'Raw sheet'!D491)</f>
        <v>36381</v>
      </c>
      <c r="E491" s="7" t="str">
        <f>IF(Table1[[#This Row],[Family_Income]]&gt;=100000,"Upper",IF(D491&gt;=50000,"Middle","Lower"))</f>
        <v>Lower</v>
      </c>
      <c r="F491" s="2" t="s">
        <v>4</v>
      </c>
      <c r="G491" s="3">
        <f>IF(ISBLANK('Raw sheet'!F491),AVERAGE('Raw sheet'!$F$2:'Raw sheet'!$F$1500),'Raw sheet'!F491)</f>
        <v>4.75</v>
      </c>
      <c r="H491" s="18">
        <v>94.2</v>
      </c>
      <c r="I491" s="9" t="str">
        <f t="shared" si="14"/>
        <v>Good</v>
      </c>
      <c r="J491" s="2">
        <v>1</v>
      </c>
      <c r="K491" s="2">
        <v>31.8</v>
      </c>
      <c r="L491" s="2" t="s">
        <v>3</v>
      </c>
      <c r="M491" s="2" t="s">
        <v>4</v>
      </c>
      <c r="N491" s="5">
        <f>IF(ISBLANK('Raw sheet'!L491),AVERAGE('Raw sheet'!$L$2:'Raw sheet'!$L$1500),'Raw sheet'!L491)</f>
        <v>5.4</v>
      </c>
      <c r="O491" s="5" t="str">
        <f>IF(Table1[[#This Row],[Stress_Index]]&gt;=8,"High",IF(N491&gt;=5,"Medium","Low"))</f>
        <v>Medium</v>
      </c>
      <c r="P491" s="3">
        <v>2.3199999999999998</v>
      </c>
      <c r="Q491" s="2">
        <v>2.14</v>
      </c>
      <c r="R491" s="3">
        <v>2.1800000000000002</v>
      </c>
      <c r="S491" s="3" t="str">
        <f>IF(Table1[[#This Row],[CGPA]]&gt;=3,"High",IF(R490&gt;=2,"Medium","Low"))</f>
        <v>Medium</v>
      </c>
      <c r="T491" s="2" t="s">
        <v>12</v>
      </c>
      <c r="U491" s="2" t="s">
        <v>13</v>
      </c>
      <c r="V491" s="2" t="s">
        <v>15</v>
      </c>
      <c r="W491" s="7">
        <v>0</v>
      </c>
      <c r="X491" t="str">
        <f t="shared" si="15"/>
        <v>Active</v>
      </c>
    </row>
    <row r="492" spans="1:24" x14ac:dyDescent="0.3">
      <c r="A492" s="2">
        <v>491</v>
      </c>
      <c r="B492" s="7">
        <v>21</v>
      </c>
      <c r="C492" s="2" t="s">
        <v>11</v>
      </c>
      <c r="D492" s="7">
        <f>IF(ISBLANK('Raw sheet'!D492),AVERAGE('Raw sheet'!$D$2:'Raw sheet'!$D$1500),'Raw sheet'!D492)</f>
        <v>25000</v>
      </c>
      <c r="E492" s="7" t="str">
        <f>IF(Table1[[#This Row],[Family_Income]]&gt;=100000,"Upper",IF(D492&gt;=50000,"Middle","Lower"))</f>
        <v>Lower</v>
      </c>
      <c r="F492" s="2" t="s">
        <v>4</v>
      </c>
      <c r="G492" s="3">
        <f>IF(ISBLANK('Raw sheet'!F492),AVERAGE('Raw sheet'!$F$2:'Raw sheet'!$F$1500),'Raw sheet'!F492)</f>
        <v>3.38</v>
      </c>
      <c r="H492" s="18">
        <v>85.5</v>
      </c>
      <c r="I492" s="9" t="str">
        <f t="shared" si="14"/>
        <v>Good</v>
      </c>
      <c r="J492" s="2">
        <v>1</v>
      </c>
      <c r="K492" s="2">
        <v>12.8</v>
      </c>
      <c r="L492" s="2" t="s">
        <v>3</v>
      </c>
      <c r="M492" s="2" t="s">
        <v>4</v>
      </c>
      <c r="N492" s="5">
        <f>IF(ISBLANK('Raw sheet'!L492),AVERAGE('Raw sheet'!$L$2:'Raw sheet'!$L$1500),'Raw sheet'!L492)</f>
        <v>2.7</v>
      </c>
      <c r="O492" s="5" t="str">
        <f>IF(Table1[[#This Row],[Stress_Index]]&gt;=8,"High",IF(N492&gt;=5,"Medium","Low"))</f>
        <v>Low</v>
      </c>
      <c r="P492" s="3">
        <v>1.94</v>
      </c>
      <c r="Q492" s="2">
        <v>2.4300000000000002</v>
      </c>
      <c r="R492" s="3">
        <v>2.41</v>
      </c>
      <c r="S492" s="3" t="str">
        <f>IF(Table1[[#This Row],[CGPA]]&gt;=3,"High",IF(R491&gt;=2,"Medium","Low"))</f>
        <v>Medium</v>
      </c>
      <c r="T492" s="2" t="s">
        <v>7</v>
      </c>
      <c r="U492" s="2" t="s">
        <v>14</v>
      </c>
      <c r="V492" s="2" t="s">
        <v>9</v>
      </c>
      <c r="W492" s="7">
        <v>1</v>
      </c>
      <c r="X492" t="str">
        <f t="shared" si="15"/>
        <v>Dropped Out</v>
      </c>
    </row>
    <row r="493" spans="1:24" x14ac:dyDescent="0.3">
      <c r="A493" s="2">
        <v>492</v>
      </c>
      <c r="B493" s="7">
        <v>24.3</v>
      </c>
      <c r="C493" s="2" t="s">
        <v>5</v>
      </c>
      <c r="D493" s="7">
        <f>IF(ISBLANK('Raw sheet'!D493),AVERAGE('Raw sheet'!$D$2:'Raw sheet'!$D$1500),'Raw sheet'!D493)</f>
        <v>25000</v>
      </c>
      <c r="E493" s="7" t="str">
        <f>IF(Table1[[#This Row],[Family_Income]]&gt;=100000,"Upper",IF(D493&gt;=50000,"Middle","Lower"))</f>
        <v>Lower</v>
      </c>
      <c r="F493" s="2" t="s">
        <v>4</v>
      </c>
      <c r="G493" s="3">
        <f>IF(ISBLANK('Raw sheet'!F493),AVERAGE('Raw sheet'!$F$2:'Raw sheet'!$F$1500),'Raw sheet'!F493)</f>
        <v>5.41</v>
      </c>
      <c r="H493" s="18">
        <v>92.8</v>
      </c>
      <c r="I493" s="9" t="str">
        <f t="shared" si="14"/>
        <v>Good</v>
      </c>
      <c r="J493" s="2">
        <v>0</v>
      </c>
      <c r="K493" s="2">
        <v>59.6</v>
      </c>
      <c r="L493" s="2" t="s">
        <v>3</v>
      </c>
      <c r="M493" s="2" t="s">
        <v>3</v>
      </c>
      <c r="N493" s="5">
        <f>IF(ISBLANK('Raw sheet'!L493),AVERAGE('Raw sheet'!$L$2:'Raw sheet'!$L$1500),'Raw sheet'!L493)</f>
        <v>7.2</v>
      </c>
      <c r="O493" s="5" t="str">
        <f>IF(Table1[[#This Row],[Stress_Index]]&gt;=8,"High",IF(N493&gt;=5,"Medium","Low"))</f>
        <v>Medium</v>
      </c>
      <c r="P493" s="3">
        <v>2.39</v>
      </c>
      <c r="Q493" s="2">
        <v>2.37</v>
      </c>
      <c r="R493" s="3">
        <v>2.36</v>
      </c>
      <c r="S493" s="3" t="str">
        <f>IF(Table1[[#This Row],[CGPA]]&gt;=3,"High",IF(R492&gt;=2,"Medium","Low"))</f>
        <v>Medium</v>
      </c>
      <c r="T493" s="2" t="s">
        <v>7</v>
      </c>
      <c r="U493" s="2" t="s">
        <v>8</v>
      </c>
      <c r="V493" s="2" t="s">
        <v>9</v>
      </c>
      <c r="W493" s="7">
        <v>0</v>
      </c>
      <c r="X493" t="str">
        <f t="shared" si="15"/>
        <v>Active</v>
      </c>
    </row>
    <row r="494" spans="1:24" x14ac:dyDescent="0.3">
      <c r="A494" s="2">
        <v>493</v>
      </c>
      <c r="B494" s="7">
        <v>21.2</v>
      </c>
      <c r="C494" s="2" t="s">
        <v>11</v>
      </c>
      <c r="D494" s="7">
        <f>IF(ISBLANK('Raw sheet'!D494),AVERAGE('Raw sheet'!$D$2:'Raw sheet'!$D$1500),'Raw sheet'!D494)</f>
        <v>55929</v>
      </c>
      <c r="E494" s="7" t="str">
        <f>IF(Table1[[#This Row],[Family_Income]]&gt;=100000,"Upper",IF(D494&gt;=50000,"Middle","Lower"))</f>
        <v>Middle</v>
      </c>
      <c r="F494" s="2" t="s">
        <v>4</v>
      </c>
      <c r="G494" s="3">
        <f>IF(ISBLANK('Raw sheet'!F494),AVERAGE('Raw sheet'!$F$2:'Raw sheet'!$F$1500),'Raw sheet'!F494)</f>
        <v>3.12</v>
      </c>
      <c r="H494" s="18">
        <v>81.2</v>
      </c>
      <c r="I494" s="9" t="str">
        <f t="shared" si="14"/>
        <v>Good</v>
      </c>
      <c r="J494" s="2">
        <v>1</v>
      </c>
      <c r="K494" s="2">
        <v>17.600000000000001</v>
      </c>
      <c r="L494" s="2" t="s">
        <v>3</v>
      </c>
      <c r="M494" s="2" t="s">
        <v>4</v>
      </c>
      <c r="N494" s="5">
        <f>IF(ISBLANK('Raw sheet'!L494),AVERAGE('Raw sheet'!$L$2:'Raw sheet'!$L$1500),'Raw sheet'!L494)</f>
        <v>4.0999999999999996</v>
      </c>
      <c r="O494" s="5" t="str">
        <f>IF(Table1[[#This Row],[Stress_Index]]&gt;=8,"High",IF(N494&gt;=5,"Medium","Low"))</f>
        <v>Low</v>
      </c>
      <c r="P494" s="3">
        <v>1.71</v>
      </c>
      <c r="Q494" s="2">
        <v>1.86</v>
      </c>
      <c r="R494" s="3">
        <v>1.86</v>
      </c>
      <c r="S494" s="3" t="str">
        <f>IF(Table1[[#This Row],[CGPA]]&gt;=3,"High",IF(R493&gt;=2,"Medium","Low"))</f>
        <v>Medium</v>
      </c>
      <c r="T494" s="2" t="s">
        <v>2</v>
      </c>
      <c r="U494" s="2" t="s">
        <v>6</v>
      </c>
      <c r="V494" s="2" t="s">
        <v>15</v>
      </c>
      <c r="W494" s="7">
        <v>0</v>
      </c>
      <c r="X494" t="str">
        <f t="shared" si="15"/>
        <v>Active</v>
      </c>
    </row>
    <row r="495" spans="1:24" x14ac:dyDescent="0.3">
      <c r="A495" s="2">
        <v>494</v>
      </c>
      <c r="B495" s="7">
        <v>19.100000000000001</v>
      </c>
      <c r="C495" s="2" t="s">
        <v>11</v>
      </c>
      <c r="D495" s="7">
        <f>IF(ISBLANK('Raw sheet'!D495),AVERAGE('Raw sheet'!$D$2:'Raw sheet'!$D$1500),'Raw sheet'!D495)</f>
        <v>32498</v>
      </c>
      <c r="E495" s="7" t="str">
        <f>IF(Table1[[#This Row],[Family_Income]]&gt;=100000,"Upper",IF(D495&gt;=50000,"Middle","Lower"))</f>
        <v>Lower</v>
      </c>
      <c r="F495" s="2" t="s">
        <v>4</v>
      </c>
      <c r="G495" s="3">
        <f>IF(ISBLANK('Raw sheet'!F495),AVERAGE('Raw sheet'!$F$2:'Raw sheet'!$F$1500),'Raw sheet'!F495)</f>
        <v>3.31</v>
      </c>
      <c r="H495" s="18">
        <v>63.1</v>
      </c>
      <c r="I495" s="9" t="str">
        <f t="shared" si="14"/>
        <v>Low</v>
      </c>
      <c r="J495" s="2">
        <v>3</v>
      </c>
      <c r="K495" s="2">
        <v>29.1</v>
      </c>
      <c r="L495" s="2" t="s">
        <v>4</v>
      </c>
      <c r="M495" s="2" t="s">
        <v>3</v>
      </c>
      <c r="N495" s="5">
        <f>IF(ISBLANK('Raw sheet'!L495),AVERAGE('Raw sheet'!$L$2:'Raw sheet'!$L$1500),'Raw sheet'!L495)</f>
        <v>8.6999999999999993</v>
      </c>
      <c r="O495" s="5" t="str">
        <f>IF(Table1[[#This Row],[Stress_Index]]&gt;=8,"High",IF(N495&gt;=5,"Medium","Low"))</f>
        <v>High</v>
      </c>
      <c r="P495" s="3">
        <v>0.4</v>
      </c>
      <c r="Q495" s="2">
        <v>0.55000000000000004</v>
      </c>
      <c r="R495" s="3">
        <v>0.56000000000000005</v>
      </c>
      <c r="S495" s="3" t="str">
        <f>IF(Table1[[#This Row],[CGPA]]&gt;=3,"High",IF(R494&gt;=2,"Medium","Low"))</f>
        <v>Low</v>
      </c>
      <c r="T495" s="2" t="s">
        <v>10</v>
      </c>
      <c r="U495" s="2" t="s">
        <v>8</v>
      </c>
      <c r="V495" s="2" t="s">
        <v>15</v>
      </c>
      <c r="W495" s="7">
        <v>1</v>
      </c>
      <c r="X495" t="str">
        <f t="shared" si="15"/>
        <v>Dropped Out</v>
      </c>
    </row>
    <row r="496" spans="1:24" x14ac:dyDescent="0.3">
      <c r="A496" s="2">
        <v>495</v>
      </c>
      <c r="B496" s="7">
        <v>24.4</v>
      </c>
      <c r="C496" s="2" t="s">
        <v>11</v>
      </c>
      <c r="D496" s="7">
        <f>IF(ISBLANK('Raw sheet'!D496),AVERAGE('Raw sheet'!$D$2:'Raw sheet'!$D$1500),'Raw sheet'!D496)</f>
        <v>25000</v>
      </c>
      <c r="E496" s="7" t="str">
        <f>IF(Table1[[#This Row],[Family_Income]]&gt;=100000,"Upper",IF(D496&gt;=50000,"Middle","Lower"))</f>
        <v>Lower</v>
      </c>
      <c r="F496" s="2" t="s">
        <v>4</v>
      </c>
      <c r="G496" s="3">
        <f>IF(ISBLANK('Raw sheet'!F496),AVERAGE('Raw sheet'!$F$2:'Raw sheet'!$F$1500),'Raw sheet'!F496)</f>
        <v>1.76</v>
      </c>
      <c r="H496" s="18">
        <v>78.599999999999994</v>
      </c>
      <c r="I496" s="9" t="str">
        <f t="shared" si="14"/>
        <v>Good</v>
      </c>
      <c r="J496" s="2">
        <v>0</v>
      </c>
      <c r="K496" s="2">
        <v>48.1</v>
      </c>
      <c r="L496" s="2" t="s">
        <v>4</v>
      </c>
      <c r="M496" s="2" t="s">
        <v>3</v>
      </c>
      <c r="N496" s="5">
        <f>IF(ISBLANK('Raw sheet'!L496),AVERAGE('Raw sheet'!$L$2:'Raw sheet'!$L$1500),'Raw sheet'!L496)</f>
        <v>3.8</v>
      </c>
      <c r="O496" s="5" t="str">
        <f>IF(Table1[[#This Row],[Stress_Index]]&gt;=8,"High",IF(N496&gt;=5,"Medium","Low"))</f>
        <v>Low</v>
      </c>
      <c r="P496" s="3">
        <v>3.14</v>
      </c>
      <c r="Q496" s="2">
        <v>2.9</v>
      </c>
      <c r="R496" s="3">
        <v>2.85</v>
      </c>
      <c r="S496" s="3" t="str">
        <f>IF(Table1[[#This Row],[CGPA]]&gt;=3,"High",IF(R495&gt;=2,"Medium","Low"))</f>
        <v>Low</v>
      </c>
      <c r="T496" s="2" t="s">
        <v>12</v>
      </c>
      <c r="U496" s="2" t="s">
        <v>13</v>
      </c>
      <c r="V496" s="2" t="s">
        <v>9</v>
      </c>
      <c r="W496" s="7">
        <v>0</v>
      </c>
      <c r="X496" t="str">
        <f t="shared" si="15"/>
        <v>Active</v>
      </c>
    </row>
    <row r="497" spans="1:24" x14ac:dyDescent="0.3">
      <c r="A497" s="2">
        <v>496</v>
      </c>
      <c r="B497" s="7">
        <v>22.2</v>
      </c>
      <c r="C497" s="2" t="s">
        <v>5</v>
      </c>
      <c r="D497" s="7">
        <f>IF(ISBLANK('Raw sheet'!D497),AVERAGE('Raw sheet'!$D$2:'Raw sheet'!$D$1500),'Raw sheet'!D497)</f>
        <v>30049</v>
      </c>
      <c r="E497" s="7" t="str">
        <f>IF(Table1[[#This Row],[Family_Income]]&gt;=100000,"Upper",IF(D497&gt;=50000,"Middle","Lower"))</f>
        <v>Lower</v>
      </c>
      <c r="F497" s="2" t="s">
        <v>4</v>
      </c>
      <c r="G497" s="3">
        <f>IF(ISBLANK('Raw sheet'!F497),AVERAGE('Raw sheet'!$F$2:'Raw sheet'!$F$1500),'Raw sheet'!F497)</f>
        <v>4.3</v>
      </c>
      <c r="H497" s="18">
        <v>75.5</v>
      </c>
      <c r="I497" s="9" t="str">
        <f t="shared" si="14"/>
        <v>Good</v>
      </c>
      <c r="J497" s="2">
        <v>5</v>
      </c>
      <c r="K497" s="2">
        <v>25.6</v>
      </c>
      <c r="L497" s="2" t="s">
        <v>4</v>
      </c>
      <c r="M497" s="2" t="s">
        <v>4</v>
      </c>
      <c r="N497" s="5">
        <f>IF(ISBLANK('Raw sheet'!L497),AVERAGE('Raw sheet'!$L$2:'Raw sheet'!$L$1500),'Raw sheet'!L497)</f>
        <v>6.3</v>
      </c>
      <c r="O497" s="5" t="str">
        <f>IF(Table1[[#This Row],[Stress_Index]]&gt;=8,"High",IF(N497&gt;=5,"Medium","Low"))</f>
        <v>Medium</v>
      </c>
      <c r="P497" s="3">
        <v>2.04</v>
      </c>
      <c r="Q497" s="2">
        <v>2.4500000000000002</v>
      </c>
      <c r="R497" s="3">
        <v>2.4500000000000002</v>
      </c>
      <c r="S497" s="3" t="str">
        <f>IF(Table1[[#This Row],[CGPA]]&gt;=3,"High",IF(R496&gt;=2,"Medium","Low"))</f>
        <v>Medium</v>
      </c>
      <c r="T497" s="2" t="s">
        <v>2</v>
      </c>
      <c r="U497" s="2" t="s">
        <v>13</v>
      </c>
      <c r="V497" s="2" t="s">
        <v>9</v>
      </c>
      <c r="W497" s="7">
        <v>0</v>
      </c>
      <c r="X497" t="str">
        <f t="shared" si="15"/>
        <v>Active</v>
      </c>
    </row>
    <row r="498" spans="1:24" x14ac:dyDescent="0.3">
      <c r="A498" s="2">
        <v>497</v>
      </c>
      <c r="B498" s="7">
        <v>18.7</v>
      </c>
      <c r="C498" s="2" t="s">
        <v>5</v>
      </c>
      <c r="D498" s="7">
        <f>IF(ISBLANK('Raw sheet'!D498),AVERAGE('Raw sheet'!$D$2:'Raw sheet'!$D$1500),'Raw sheet'!D498)</f>
        <v>68006</v>
      </c>
      <c r="E498" s="7" t="str">
        <f>IF(Table1[[#This Row],[Family_Income]]&gt;=100000,"Upper",IF(D498&gt;=50000,"Middle","Lower"))</f>
        <v>Middle</v>
      </c>
      <c r="F498" s="2" t="s">
        <v>4</v>
      </c>
      <c r="G498" s="3">
        <f>IF(ISBLANK('Raw sheet'!F498),AVERAGE('Raw sheet'!$F$2:'Raw sheet'!$F$1500),'Raw sheet'!F498)</f>
        <v>5.98</v>
      </c>
      <c r="H498" s="18">
        <v>81.5</v>
      </c>
      <c r="I498" s="9" t="str">
        <f t="shared" si="14"/>
        <v>Good</v>
      </c>
      <c r="J498" s="2">
        <v>1</v>
      </c>
      <c r="K498" s="2">
        <v>25.7</v>
      </c>
      <c r="L498" s="2" t="s">
        <v>3</v>
      </c>
      <c r="M498" s="2" t="s">
        <v>4</v>
      </c>
      <c r="N498" s="5">
        <f>IF(ISBLANK('Raw sheet'!L498),AVERAGE('Raw sheet'!$L$2:'Raw sheet'!$L$1500),'Raw sheet'!L498)</f>
        <v>3.9</v>
      </c>
      <c r="O498" s="5" t="str">
        <f>IF(Table1[[#This Row],[Stress_Index]]&gt;=8,"High",IF(N498&gt;=5,"Medium","Low"))</f>
        <v>Low</v>
      </c>
      <c r="P498" s="3">
        <v>1.35</v>
      </c>
      <c r="Q498" s="2">
        <v>1.51</v>
      </c>
      <c r="R498" s="3">
        <v>1.46</v>
      </c>
      <c r="S498" s="3" t="str">
        <f>IF(Table1[[#This Row],[CGPA]]&gt;=3,"High",IF(R497&gt;=2,"Medium","Low"))</f>
        <v>Medium</v>
      </c>
      <c r="T498" s="2" t="s">
        <v>7</v>
      </c>
      <c r="U498" s="2" t="s">
        <v>14</v>
      </c>
      <c r="V498" s="2" t="s">
        <v>15</v>
      </c>
      <c r="W498" s="7">
        <v>0</v>
      </c>
      <c r="X498" t="str">
        <f t="shared" si="15"/>
        <v>Active</v>
      </c>
    </row>
    <row r="499" spans="1:24" x14ac:dyDescent="0.3">
      <c r="A499" s="2">
        <v>498</v>
      </c>
      <c r="B499" s="7">
        <v>20.6</v>
      </c>
      <c r="C499" s="2" t="s">
        <v>5</v>
      </c>
      <c r="D499" s="7">
        <f>IF(ISBLANK('Raw sheet'!D499),AVERAGE('Raw sheet'!$D$2:'Raw sheet'!$D$1500),'Raw sheet'!D499)</f>
        <v>35464</v>
      </c>
      <c r="E499" s="7" t="str">
        <f>IF(Table1[[#This Row],[Family_Income]]&gt;=100000,"Upper",IF(D499&gt;=50000,"Middle","Lower"))</f>
        <v>Lower</v>
      </c>
      <c r="F499" s="2" t="s">
        <v>4</v>
      </c>
      <c r="G499" s="3">
        <f>IF(ISBLANK('Raw sheet'!F499),AVERAGE('Raw sheet'!$F$2:'Raw sheet'!$F$1500),'Raw sheet'!F499)</f>
        <v>3.68</v>
      </c>
      <c r="H499" s="18">
        <v>79.400000000000006</v>
      </c>
      <c r="I499" s="9" t="str">
        <f t="shared" si="14"/>
        <v>Good</v>
      </c>
      <c r="J499" s="2">
        <v>2</v>
      </c>
      <c r="K499" s="2">
        <v>5</v>
      </c>
      <c r="L499" s="2" t="s">
        <v>4</v>
      </c>
      <c r="M499" s="2" t="s">
        <v>3</v>
      </c>
      <c r="N499" s="5">
        <f>IF(ISBLANK('Raw sheet'!L499),AVERAGE('Raw sheet'!$L$2:'Raw sheet'!$L$1500),'Raw sheet'!L499)</f>
        <v>5.0999999999999996</v>
      </c>
      <c r="O499" s="5" t="str">
        <f>IF(Table1[[#This Row],[Stress_Index]]&gt;=8,"High",IF(N499&gt;=5,"Medium","Low"))</f>
        <v>Medium</v>
      </c>
      <c r="P499" s="3">
        <v>2.4300000000000002</v>
      </c>
      <c r="Q499" s="2">
        <v>2.66</v>
      </c>
      <c r="R499" s="3">
        <v>2.67</v>
      </c>
      <c r="S499" s="3" t="str">
        <f>IF(Table1[[#This Row],[CGPA]]&gt;=3,"High",IF(R498&gt;=2,"Medium","Low"))</f>
        <v>Low</v>
      </c>
      <c r="T499" s="2" t="s">
        <v>7</v>
      </c>
      <c r="U499" s="2" t="s">
        <v>14</v>
      </c>
      <c r="V499" s="2" t="s">
        <v>0</v>
      </c>
      <c r="W499" s="7">
        <v>1</v>
      </c>
      <c r="X499" t="str">
        <f t="shared" si="15"/>
        <v>Dropped Out</v>
      </c>
    </row>
    <row r="500" spans="1:24" x14ac:dyDescent="0.3">
      <c r="A500" s="2">
        <v>499</v>
      </c>
      <c r="B500" s="7">
        <v>19.100000000000001</v>
      </c>
      <c r="C500" s="2" t="s">
        <v>5</v>
      </c>
      <c r="D500" s="7">
        <f>IF(ISBLANK('Raw sheet'!D500),AVERAGE('Raw sheet'!$D$2:'Raw sheet'!$D$1500),'Raw sheet'!D500)</f>
        <v>42437</v>
      </c>
      <c r="E500" s="7" t="str">
        <f>IF(Table1[[#This Row],[Family_Income]]&gt;=100000,"Upper",IF(D500&gt;=50000,"Middle","Lower"))</f>
        <v>Lower</v>
      </c>
      <c r="F500" s="2" t="s">
        <v>4</v>
      </c>
      <c r="G500" s="3">
        <f>IF(ISBLANK('Raw sheet'!F500),AVERAGE('Raw sheet'!$F$2:'Raw sheet'!$F$1500),'Raw sheet'!F500)</f>
        <v>6.29</v>
      </c>
      <c r="H500" s="18">
        <v>84.1</v>
      </c>
      <c r="I500" s="9" t="str">
        <f t="shared" si="14"/>
        <v>Good</v>
      </c>
      <c r="J500" s="2">
        <v>3</v>
      </c>
      <c r="K500" s="2">
        <v>14.3</v>
      </c>
      <c r="L500" s="2" t="s">
        <v>3</v>
      </c>
      <c r="M500" s="2" t="s">
        <v>4</v>
      </c>
      <c r="N500" s="5">
        <f>IF(ISBLANK('Raw sheet'!L500),AVERAGE('Raw sheet'!$L$2:'Raw sheet'!$L$1500),'Raw sheet'!L500)</f>
        <v>5.5</v>
      </c>
      <c r="O500" s="5" t="str">
        <f>IF(Table1[[#This Row],[Stress_Index]]&gt;=8,"High",IF(N500&gt;=5,"Medium","Low"))</f>
        <v>Medium</v>
      </c>
      <c r="P500" s="3">
        <v>2.89</v>
      </c>
      <c r="Q500" s="2">
        <v>2.66</v>
      </c>
      <c r="R500" s="3">
        <v>2.58</v>
      </c>
      <c r="S500" s="3" t="str">
        <f>IF(Table1[[#This Row],[CGPA]]&gt;=3,"High",IF(R499&gt;=2,"Medium","Low"))</f>
        <v>Medium</v>
      </c>
      <c r="T500" s="2" t="s">
        <v>12</v>
      </c>
      <c r="U500" s="2" t="s">
        <v>8</v>
      </c>
      <c r="V500" s="2" t="s">
        <v>15</v>
      </c>
      <c r="W500" s="7">
        <v>1</v>
      </c>
      <c r="X500" t="str">
        <f t="shared" si="15"/>
        <v>Dropped Out</v>
      </c>
    </row>
    <row r="501" spans="1:24" x14ac:dyDescent="0.3">
      <c r="A501" s="2">
        <v>500</v>
      </c>
      <c r="B501" s="7">
        <v>18</v>
      </c>
      <c r="C501" s="2" t="s">
        <v>5</v>
      </c>
      <c r="D501" s="7">
        <f>IF(ISBLANK('Raw sheet'!D501),AVERAGE('Raw sheet'!$D$2:'Raw sheet'!$D$1500),'Raw sheet'!D501)</f>
        <v>25000</v>
      </c>
      <c r="E501" s="7" t="str">
        <f>IF(Table1[[#This Row],[Family_Income]]&gt;=100000,"Upper",IF(D501&gt;=50000,"Middle","Lower"))</f>
        <v>Lower</v>
      </c>
      <c r="F501" s="2" t="s">
        <v>4</v>
      </c>
      <c r="G501" s="3">
        <f>IF(ISBLANK('Raw sheet'!F501),AVERAGE('Raw sheet'!$F$2:'Raw sheet'!$F$1500),'Raw sheet'!F501)</f>
        <v>2.58</v>
      </c>
      <c r="H501" s="18">
        <v>76.599999999999994</v>
      </c>
      <c r="I501" s="9" t="str">
        <f t="shared" si="14"/>
        <v>Good</v>
      </c>
      <c r="J501" s="2">
        <v>2</v>
      </c>
      <c r="K501" s="2">
        <v>36.700000000000003</v>
      </c>
      <c r="L501" s="2" t="s">
        <v>3</v>
      </c>
      <c r="M501" s="2" t="s">
        <v>3</v>
      </c>
      <c r="N501" s="5">
        <f>IF(ISBLANK('Raw sheet'!L501),AVERAGE('Raw sheet'!$L$2:'Raw sheet'!$L$1500),'Raw sheet'!L501)</f>
        <v>5.5</v>
      </c>
      <c r="O501" s="5" t="str">
        <f>IF(Table1[[#This Row],[Stress_Index]]&gt;=8,"High",IF(N501&gt;=5,"Medium","Low"))</f>
        <v>Medium</v>
      </c>
      <c r="P501" s="3">
        <v>2.95</v>
      </c>
      <c r="Q501" s="2">
        <v>2.4300000000000002</v>
      </c>
      <c r="R501" s="3">
        <v>2.4500000000000002</v>
      </c>
      <c r="S501" s="3" t="str">
        <f>IF(Table1[[#This Row],[CGPA]]&gt;=3,"High",IF(R500&gt;=2,"Medium","Low"))</f>
        <v>Medium</v>
      </c>
      <c r="T501" s="2" t="s">
        <v>7</v>
      </c>
      <c r="U501" s="2" t="s">
        <v>14</v>
      </c>
      <c r="V501" s="2" t="s">
        <v>0</v>
      </c>
      <c r="W501" s="7">
        <v>0</v>
      </c>
      <c r="X501" t="str">
        <f t="shared" si="15"/>
        <v>Active</v>
      </c>
    </row>
    <row r="502" spans="1:24" x14ac:dyDescent="0.3">
      <c r="A502" s="2">
        <v>501</v>
      </c>
      <c r="B502" s="7">
        <v>23</v>
      </c>
      <c r="C502" s="2" t="s">
        <v>11</v>
      </c>
      <c r="D502" s="7">
        <f>IF(ISBLANK('Raw sheet'!D502),AVERAGE('Raw sheet'!$D$2:'Raw sheet'!$D$1500),'Raw sheet'!D502)</f>
        <v>38587.00282087447</v>
      </c>
      <c r="E502" s="7" t="str">
        <f>IF(Table1[[#This Row],[Family_Income]]&gt;=100000,"Upper",IF(D502&gt;=50000,"Middle","Lower"))</f>
        <v>Lower</v>
      </c>
      <c r="F502" s="2" t="s">
        <v>4</v>
      </c>
      <c r="G502" s="3">
        <f>IF(ISBLANK('Raw sheet'!F502),AVERAGE('Raw sheet'!$F$2:'Raw sheet'!$F$1500),'Raw sheet'!F502)</f>
        <v>4.0178702397743278</v>
      </c>
      <c r="H502" s="18">
        <v>83.7</v>
      </c>
      <c r="I502" s="9" t="str">
        <f t="shared" si="14"/>
        <v>Good</v>
      </c>
      <c r="J502" s="2">
        <v>2</v>
      </c>
      <c r="K502" s="2">
        <v>50.1</v>
      </c>
      <c r="L502" s="2" t="s">
        <v>4</v>
      </c>
      <c r="M502" s="2" t="s">
        <v>3</v>
      </c>
      <c r="N502" s="5">
        <f>IF(ISBLANK('Raw sheet'!L502),AVERAGE('Raw sheet'!$L$2:'Raw sheet'!$L$1500),'Raw sheet'!L502)</f>
        <v>5.5242595204513369</v>
      </c>
      <c r="O502" s="5" t="str">
        <f>IF(Table1[[#This Row],[Stress_Index]]&gt;=8,"High",IF(N502&gt;=5,"Medium","Low"))</f>
        <v>Medium</v>
      </c>
      <c r="P502" s="3">
        <v>1.47</v>
      </c>
      <c r="Q502" s="2">
        <v>1.17</v>
      </c>
      <c r="R502" s="3">
        <v>1.17</v>
      </c>
      <c r="S502" s="3" t="str">
        <f>IF(Table1[[#This Row],[CGPA]]&gt;=3,"High",IF(R501&gt;=2,"Medium","Low"))</f>
        <v>Medium</v>
      </c>
      <c r="T502" s="2" t="s">
        <v>12</v>
      </c>
      <c r="U502" s="2" t="s">
        <v>1</v>
      </c>
      <c r="V502" s="2" t="s">
        <v>15</v>
      </c>
      <c r="W502" s="7">
        <v>0</v>
      </c>
      <c r="X502" t="str">
        <f t="shared" si="15"/>
        <v>Active</v>
      </c>
    </row>
    <row r="503" spans="1:24" x14ac:dyDescent="0.3">
      <c r="A503" s="2">
        <v>502</v>
      </c>
      <c r="B503" s="7">
        <v>25.2</v>
      </c>
      <c r="C503" s="2" t="s">
        <v>11</v>
      </c>
      <c r="D503" s="7">
        <f>IF(ISBLANK('Raw sheet'!D503),AVERAGE('Raw sheet'!$D$2:'Raw sheet'!$D$1500),'Raw sheet'!D503)</f>
        <v>119475</v>
      </c>
      <c r="E503" s="7" t="str">
        <f>IF(Table1[[#This Row],[Family_Income]]&gt;=100000,"Upper",IF(D503&gt;=50000,"Middle","Lower"))</f>
        <v>Upper</v>
      </c>
      <c r="F503" s="2" t="s">
        <v>4</v>
      </c>
      <c r="G503" s="3">
        <f>IF(ISBLANK('Raw sheet'!F503),AVERAGE('Raw sheet'!$F$2:'Raw sheet'!$F$1500),'Raw sheet'!F503)</f>
        <v>5.81</v>
      </c>
      <c r="H503" s="18">
        <v>85</v>
      </c>
      <c r="I503" s="9" t="str">
        <f t="shared" si="14"/>
        <v>Good</v>
      </c>
      <c r="J503" s="2">
        <v>1</v>
      </c>
      <c r="K503" s="2">
        <v>19.3</v>
      </c>
      <c r="L503" s="2" t="s">
        <v>4</v>
      </c>
      <c r="M503" s="2" t="s">
        <v>4</v>
      </c>
      <c r="N503" s="5">
        <f>IF(ISBLANK('Raw sheet'!L503),AVERAGE('Raw sheet'!$L$2:'Raw sheet'!$L$1500),'Raw sheet'!L503)</f>
        <v>8.1</v>
      </c>
      <c r="O503" s="5" t="str">
        <f>IF(Table1[[#This Row],[Stress_Index]]&gt;=8,"High",IF(N503&gt;=5,"Medium","Low"))</f>
        <v>High</v>
      </c>
      <c r="P503" s="3">
        <v>1.06</v>
      </c>
      <c r="Q503" s="2">
        <v>0.95</v>
      </c>
      <c r="R503" s="3">
        <v>0.91</v>
      </c>
      <c r="S503" s="3" t="str">
        <f>IF(Table1[[#This Row],[CGPA]]&gt;=3,"High",IF(R502&gt;=2,"Medium","Low"))</f>
        <v>Low</v>
      </c>
      <c r="T503" s="2" t="s">
        <v>12</v>
      </c>
      <c r="U503" s="2" t="s">
        <v>14</v>
      </c>
      <c r="V503" s="2" t="s">
        <v>9</v>
      </c>
      <c r="W503" s="7">
        <v>1</v>
      </c>
      <c r="X503" t="str">
        <f t="shared" si="15"/>
        <v>Dropped Out</v>
      </c>
    </row>
    <row r="504" spans="1:24" x14ac:dyDescent="0.3">
      <c r="A504" s="2">
        <v>503</v>
      </c>
      <c r="B504" s="7">
        <v>17.899999999999999</v>
      </c>
      <c r="C504" s="2" t="s">
        <v>11</v>
      </c>
      <c r="D504" s="7">
        <f>IF(ISBLANK('Raw sheet'!D504),AVERAGE('Raw sheet'!$D$2:'Raw sheet'!$D$1500),'Raw sheet'!D504)</f>
        <v>25000</v>
      </c>
      <c r="E504" s="7" t="str">
        <f>IF(Table1[[#This Row],[Family_Income]]&gt;=100000,"Upper",IF(D504&gt;=50000,"Middle","Lower"))</f>
        <v>Lower</v>
      </c>
      <c r="F504" s="2" t="s">
        <v>4</v>
      </c>
      <c r="G504" s="3">
        <f>IF(ISBLANK('Raw sheet'!F504),AVERAGE('Raw sheet'!$F$2:'Raw sheet'!$F$1500),'Raw sheet'!F504)</f>
        <v>3.78</v>
      </c>
      <c r="H504" s="18">
        <v>82.3</v>
      </c>
      <c r="I504" s="9" t="str">
        <f t="shared" si="14"/>
        <v>Good</v>
      </c>
      <c r="J504" s="2">
        <v>1</v>
      </c>
      <c r="K504" s="2">
        <v>32.4</v>
      </c>
      <c r="L504" s="2" t="s">
        <v>3</v>
      </c>
      <c r="M504" s="2" t="s">
        <v>3</v>
      </c>
      <c r="N504" s="5">
        <f>IF(ISBLANK('Raw sheet'!L504),AVERAGE('Raw sheet'!$L$2:'Raw sheet'!$L$1500),'Raw sheet'!L504)</f>
        <v>4.2</v>
      </c>
      <c r="O504" s="5" t="str">
        <f>IF(Table1[[#This Row],[Stress_Index]]&gt;=8,"High",IF(N504&gt;=5,"Medium","Low"))</f>
        <v>Low</v>
      </c>
      <c r="P504" s="3">
        <v>1.86</v>
      </c>
      <c r="Q504" s="2">
        <v>2.15</v>
      </c>
      <c r="R504" s="3">
        <v>2.15</v>
      </c>
      <c r="S504" s="3" t="str">
        <f>IF(Table1[[#This Row],[CGPA]]&gt;=3,"High",IF(R503&gt;=2,"Medium","Low"))</f>
        <v>Low</v>
      </c>
      <c r="T504" s="2" t="s">
        <v>2</v>
      </c>
      <c r="U504" s="2" t="s">
        <v>6</v>
      </c>
      <c r="V504" s="2" t="s">
        <v>9</v>
      </c>
      <c r="W504" s="7">
        <v>0</v>
      </c>
      <c r="X504" t="str">
        <f t="shared" si="15"/>
        <v>Active</v>
      </c>
    </row>
    <row r="505" spans="1:24" x14ac:dyDescent="0.3">
      <c r="A505" s="2">
        <v>504</v>
      </c>
      <c r="B505" s="7">
        <v>22.2</v>
      </c>
      <c r="C505" s="2" t="s">
        <v>5</v>
      </c>
      <c r="D505" s="7">
        <f>IF(ISBLANK('Raw sheet'!D505),AVERAGE('Raw sheet'!$D$2:'Raw sheet'!$D$1500),'Raw sheet'!D505)</f>
        <v>25000</v>
      </c>
      <c r="E505" s="7" t="str">
        <f>IF(Table1[[#This Row],[Family_Income]]&gt;=100000,"Upper",IF(D505&gt;=50000,"Middle","Lower"))</f>
        <v>Lower</v>
      </c>
      <c r="F505" s="2" t="s">
        <v>4</v>
      </c>
      <c r="G505" s="3">
        <f>IF(ISBLANK('Raw sheet'!F505),AVERAGE('Raw sheet'!$F$2:'Raw sheet'!$F$1500),'Raw sheet'!F505)</f>
        <v>2.73</v>
      </c>
      <c r="H505" s="18">
        <v>70.3</v>
      </c>
      <c r="I505" s="9" t="str">
        <f t="shared" si="14"/>
        <v>Low</v>
      </c>
      <c r="J505" s="2">
        <v>2</v>
      </c>
      <c r="K505" s="2">
        <v>62.5</v>
      </c>
      <c r="L505" s="2" t="s">
        <v>4</v>
      </c>
      <c r="M505" s="2" t="s">
        <v>3</v>
      </c>
      <c r="N505" s="5">
        <f>IF(ISBLANK('Raw sheet'!L505),AVERAGE('Raw sheet'!$L$2:'Raw sheet'!$L$1500),'Raw sheet'!L505)</f>
        <v>5.6</v>
      </c>
      <c r="O505" s="5" t="str">
        <f>IF(Table1[[#This Row],[Stress_Index]]&gt;=8,"High",IF(N505&gt;=5,"Medium","Low"))</f>
        <v>Medium</v>
      </c>
      <c r="P505" s="3">
        <v>2.52</v>
      </c>
      <c r="Q505" s="2">
        <v>2.81</v>
      </c>
      <c r="R505" s="3">
        <v>2.81</v>
      </c>
      <c r="S505" s="3" t="str">
        <f>IF(Table1[[#This Row],[CGPA]]&gt;=3,"High",IF(R504&gt;=2,"Medium","Low"))</f>
        <v>Medium</v>
      </c>
      <c r="T505" s="2" t="s">
        <v>2</v>
      </c>
      <c r="U505" s="2" t="s">
        <v>1</v>
      </c>
      <c r="V505" s="2" t="s">
        <v>9</v>
      </c>
      <c r="W505" s="7">
        <v>1</v>
      </c>
      <c r="X505" t="str">
        <f t="shared" si="15"/>
        <v>Dropped Out</v>
      </c>
    </row>
    <row r="506" spans="1:24" x14ac:dyDescent="0.3">
      <c r="A506" s="2">
        <v>505</v>
      </c>
      <c r="B506" s="7">
        <v>19.600000000000001</v>
      </c>
      <c r="C506" s="2" t="s">
        <v>5</v>
      </c>
      <c r="D506" s="7">
        <f>IF(ISBLANK('Raw sheet'!D506),AVERAGE('Raw sheet'!$D$2:'Raw sheet'!$D$1500),'Raw sheet'!D506)</f>
        <v>33035</v>
      </c>
      <c r="E506" s="7" t="str">
        <f>IF(Table1[[#This Row],[Family_Income]]&gt;=100000,"Upper",IF(D506&gt;=50000,"Middle","Lower"))</f>
        <v>Lower</v>
      </c>
      <c r="F506" s="2" t="s">
        <v>4</v>
      </c>
      <c r="G506" s="3">
        <f>IF(ISBLANK('Raw sheet'!F506),AVERAGE('Raw sheet'!$F$2:'Raw sheet'!$F$1500),'Raw sheet'!F506)</f>
        <v>4.34</v>
      </c>
      <c r="H506" s="18">
        <v>89.2</v>
      </c>
      <c r="I506" s="9" t="str">
        <f t="shared" si="14"/>
        <v>Good</v>
      </c>
      <c r="J506" s="2">
        <v>0</v>
      </c>
      <c r="K506" s="2">
        <v>36.799999999999997</v>
      </c>
      <c r="L506" s="2" t="s">
        <v>3</v>
      </c>
      <c r="M506" s="2" t="s">
        <v>4</v>
      </c>
      <c r="N506" s="5">
        <f>IF(ISBLANK('Raw sheet'!L506),AVERAGE('Raw sheet'!$L$2:'Raw sheet'!$L$1500),'Raw sheet'!L506)</f>
        <v>3.4</v>
      </c>
      <c r="O506" s="5" t="str">
        <f>IF(Table1[[#This Row],[Stress_Index]]&gt;=8,"High",IF(N506&gt;=5,"Medium","Low"))</f>
        <v>Low</v>
      </c>
      <c r="P506" s="3">
        <v>4</v>
      </c>
      <c r="Q506" s="2">
        <v>3.75</v>
      </c>
      <c r="R506" s="3">
        <v>3.75</v>
      </c>
      <c r="S506" s="3" t="str">
        <f>IF(Table1[[#This Row],[CGPA]]&gt;=3,"High",IF(R505&gt;=2,"Medium","Low"))</f>
        <v>High</v>
      </c>
      <c r="T506" s="2" t="s">
        <v>2</v>
      </c>
      <c r="U506" s="2" t="s">
        <v>14</v>
      </c>
      <c r="V506" s="2" t="s">
        <v>0</v>
      </c>
      <c r="W506" s="7">
        <v>0</v>
      </c>
      <c r="X506" t="str">
        <f t="shared" si="15"/>
        <v>Active</v>
      </c>
    </row>
    <row r="507" spans="1:24" x14ac:dyDescent="0.3">
      <c r="A507" s="2">
        <v>506</v>
      </c>
      <c r="B507" s="7">
        <v>19.899999999999999</v>
      </c>
      <c r="C507" s="2" t="s">
        <v>11</v>
      </c>
      <c r="D507" s="7">
        <f>IF(ISBLANK('Raw sheet'!D507),AVERAGE('Raw sheet'!$D$2:'Raw sheet'!$D$1500),'Raw sheet'!D507)</f>
        <v>50277</v>
      </c>
      <c r="E507" s="7" t="str">
        <f>IF(Table1[[#This Row],[Family_Income]]&gt;=100000,"Upper",IF(D507&gt;=50000,"Middle","Lower"))</f>
        <v>Middle</v>
      </c>
      <c r="F507" s="2" t="s">
        <v>4</v>
      </c>
      <c r="G507" s="3">
        <f>IF(ISBLANK('Raw sheet'!F507),AVERAGE('Raw sheet'!$F$2:'Raw sheet'!$F$1500),'Raw sheet'!F507)</f>
        <v>4.43</v>
      </c>
      <c r="H507" s="18">
        <v>87</v>
      </c>
      <c r="I507" s="9" t="str">
        <f t="shared" si="14"/>
        <v>Good</v>
      </c>
      <c r="J507" s="2">
        <v>2</v>
      </c>
      <c r="K507" s="2">
        <v>41.7</v>
      </c>
      <c r="L507" s="2" t="s">
        <v>3</v>
      </c>
      <c r="M507" s="2" t="s">
        <v>3</v>
      </c>
      <c r="N507" s="5">
        <f>IF(ISBLANK('Raw sheet'!L507),AVERAGE('Raw sheet'!$L$2:'Raw sheet'!$L$1500),'Raw sheet'!L507)</f>
        <v>3</v>
      </c>
      <c r="O507" s="5" t="str">
        <f>IF(Table1[[#This Row],[Stress_Index]]&gt;=8,"High",IF(N507&gt;=5,"Medium","Low"))</f>
        <v>Low</v>
      </c>
      <c r="P507" s="3">
        <v>3.38</v>
      </c>
      <c r="Q507" s="2">
        <v>3.08</v>
      </c>
      <c r="R507" s="3">
        <v>3.1</v>
      </c>
      <c r="S507" s="3" t="str">
        <f>IF(Table1[[#This Row],[CGPA]]&gt;=3,"High",IF(R506&gt;=2,"Medium","Low"))</f>
        <v>High</v>
      </c>
      <c r="T507" s="2" t="s">
        <v>7</v>
      </c>
      <c r="U507" s="2" t="s">
        <v>8</v>
      </c>
      <c r="V507" s="2" t="s">
        <v>17</v>
      </c>
      <c r="W507" s="7">
        <v>0</v>
      </c>
      <c r="X507" t="str">
        <f t="shared" si="15"/>
        <v>Active</v>
      </c>
    </row>
    <row r="508" spans="1:24" x14ac:dyDescent="0.3">
      <c r="A508" s="2">
        <v>507</v>
      </c>
      <c r="B508" s="7">
        <v>19.7</v>
      </c>
      <c r="C508" s="2" t="s">
        <v>5</v>
      </c>
      <c r="D508" s="7">
        <f>IF(ISBLANK('Raw sheet'!D508),AVERAGE('Raw sheet'!$D$2:'Raw sheet'!$D$1500),'Raw sheet'!D508)</f>
        <v>28146</v>
      </c>
      <c r="E508" s="7" t="str">
        <f>IF(Table1[[#This Row],[Family_Income]]&gt;=100000,"Upper",IF(D508&gt;=50000,"Middle","Lower"))</f>
        <v>Lower</v>
      </c>
      <c r="F508" s="2" t="s">
        <v>4</v>
      </c>
      <c r="G508" s="3">
        <f>IF(ISBLANK('Raw sheet'!F508),AVERAGE('Raw sheet'!$F$2:'Raw sheet'!$F$1500),'Raw sheet'!F508)</f>
        <v>5.23</v>
      </c>
      <c r="H508" s="18">
        <v>80.5</v>
      </c>
      <c r="I508" s="9" t="str">
        <f t="shared" si="14"/>
        <v>Good</v>
      </c>
      <c r="J508" s="2">
        <v>1</v>
      </c>
      <c r="K508" s="2">
        <v>20.8</v>
      </c>
      <c r="L508" s="2" t="s">
        <v>3</v>
      </c>
      <c r="M508" s="2" t="s">
        <v>3</v>
      </c>
      <c r="N508" s="5">
        <f>IF(ISBLANK('Raw sheet'!L508),AVERAGE('Raw sheet'!$L$2:'Raw sheet'!$L$1500),'Raw sheet'!L508)</f>
        <v>4.3</v>
      </c>
      <c r="O508" s="5" t="str">
        <f>IF(Table1[[#This Row],[Stress_Index]]&gt;=8,"High",IF(N508&gt;=5,"Medium","Low"))</f>
        <v>Low</v>
      </c>
      <c r="P508" s="3">
        <v>4</v>
      </c>
      <c r="Q508" s="2">
        <v>3.66</v>
      </c>
      <c r="R508" s="3">
        <v>3.66</v>
      </c>
      <c r="S508" s="3" t="str">
        <f>IF(Table1[[#This Row],[CGPA]]&gt;=3,"High",IF(R507&gt;=2,"Medium","Low"))</f>
        <v>High</v>
      </c>
      <c r="T508" s="2" t="s">
        <v>7</v>
      </c>
      <c r="U508" s="2" t="s">
        <v>14</v>
      </c>
      <c r="V508" s="2" t="s">
        <v>15</v>
      </c>
      <c r="W508" s="7">
        <v>0</v>
      </c>
      <c r="X508" t="str">
        <f t="shared" si="15"/>
        <v>Active</v>
      </c>
    </row>
    <row r="509" spans="1:24" x14ac:dyDescent="0.3">
      <c r="A509" s="2">
        <v>508</v>
      </c>
      <c r="B509" s="7">
        <v>19.100000000000001</v>
      </c>
      <c r="C509" s="2" t="s">
        <v>11</v>
      </c>
      <c r="D509" s="7">
        <f>IF(ISBLANK('Raw sheet'!D509),AVERAGE('Raw sheet'!$D$2:'Raw sheet'!$D$1500),'Raw sheet'!D509)</f>
        <v>25000</v>
      </c>
      <c r="E509" s="7" t="str">
        <f>IF(Table1[[#This Row],[Family_Income]]&gt;=100000,"Upper",IF(D509&gt;=50000,"Middle","Lower"))</f>
        <v>Lower</v>
      </c>
      <c r="F509" s="2" t="s">
        <v>4</v>
      </c>
      <c r="G509" s="3">
        <f>IF(ISBLANK('Raw sheet'!F509),AVERAGE('Raw sheet'!$F$2:'Raw sheet'!$F$1500),'Raw sheet'!F509)</f>
        <v>3.57</v>
      </c>
      <c r="H509" s="18">
        <v>67.5</v>
      </c>
      <c r="I509" s="9" t="str">
        <f t="shared" si="14"/>
        <v>Low</v>
      </c>
      <c r="J509" s="2">
        <v>1</v>
      </c>
      <c r="K509" s="2">
        <v>48.6</v>
      </c>
      <c r="L509" s="2" t="s">
        <v>3</v>
      </c>
      <c r="M509" s="2" t="s">
        <v>3</v>
      </c>
      <c r="N509" s="5">
        <f>IF(ISBLANK('Raw sheet'!L509),AVERAGE('Raw sheet'!$L$2:'Raw sheet'!$L$1500),'Raw sheet'!L509)</f>
        <v>8.5</v>
      </c>
      <c r="O509" s="5" t="str">
        <f>IF(Table1[[#This Row],[Stress_Index]]&gt;=8,"High",IF(N509&gt;=5,"Medium","Low"))</f>
        <v>High</v>
      </c>
      <c r="P509" s="3">
        <v>0</v>
      </c>
      <c r="Q509" s="2">
        <v>0</v>
      </c>
      <c r="R509" s="3">
        <v>0</v>
      </c>
      <c r="S509" s="3" t="str">
        <f>IF(Table1[[#This Row],[CGPA]]&gt;=3,"High",IF(R508&gt;=2,"Medium","Low"))</f>
        <v>Medium</v>
      </c>
      <c r="T509" s="2" t="s">
        <v>7</v>
      </c>
      <c r="U509" s="2" t="s">
        <v>8</v>
      </c>
      <c r="V509" s="2" t="s">
        <v>9</v>
      </c>
      <c r="W509" s="7">
        <v>1</v>
      </c>
      <c r="X509" t="str">
        <f t="shared" si="15"/>
        <v>Dropped Out</v>
      </c>
    </row>
    <row r="510" spans="1:24" x14ac:dyDescent="0.3">
      <c r="A510" s="2">
        <v>509</v>
      </c>
      <c r="B510" s="7">
        <v>21.1</v>
      </c>
      <c r="C510" s="2" t="s">
        <v>11</v>
      </c>
      <c r="D510" s="7">
        <f>IF(ISBLANK('Raw sheet'!D510),AVERAGE('Raw sheet'!$D$2:'Raw sheet'!$D$1500),'Raw sheet'!D510)</f>
        <v>27857</v>
      </c>
      <c r="E510" s="7" t="str">
        <f>IF(Table1[[#This Row],[Family_Income]]&gt;=100000,"Upper",IF(D510&gt;=50000,"Middle","Lower"))</f>
        <v>Lower</v>
      </c>
      <c r="F510" s="2" t="s">
        <v>4</v>
      </c>
      <c r="G510" s="3">
        <f>IF(ISBLANK('Raw sheet'!F510),AVERAGE('Raw sheet'!$F$2:'Raw sheet'!$F$1500),'Raw sheet'!F510)</f>
        <v>2.2400000000000002</v>
      </c>
      <c r="H510" s="18">
        <v>84.4</v>
      </c>
      <c r="I510" s="9" t="str">
        <f t="shared" si="14"/>
        <v>Good</v>
      </c>
      <c r="J510" s="2">
        <v>2</v>
      </c>
      <c r="K510" s="2">
        <v>21.7</v>
      </c>
      <c r="L510" s="2" t="s">
        <v>4</v>
      </c>
      <c r="M510" s="2" t="s">
        <v>3</v>
      </c>
      <c r="N510" s="5">
        <f>IF(ISBLANK('Raw sheet'!L510),AVERAGE('Raw sheet'!$L$2:'Raw sheet'!$L$1500),'Raw sheet'!L510)</f>
        <v>2.5</v>
      </c>
      <c r="O510" s="5" t="str">
        <f>IF(Table1[[#This Row],[Stress_Index]]&gt;=8,"High",IF(N510&gt;=5,"Medium","Low"))</f>
        <v>Low</v>
      </c>
      <c r="P510" s="3">
        <v>2.2999999999999998</v>
      </c>
      <c r="Q510" s="2">
        <v>2.23</v>
      </c>
      <c r="R510" s="3">
        <v>2.13</v>
      </c>
      <c r="S510" s="3" t="str">
        <f>IF(Table1[[#This Row],[CGPA]]&gt;=3,"High",IF(R509&gt;=2,"Medium","Low"))</f>
        <v>Low</v>
      </c>
      <c r="T510" s="2" t="s">
        <v>10</v>
      </c>
      <c r="U510" s="2" t="s">
        <v>13</v>
      </c>
      <c r="V510" s="2" t="s">
        <v>16</v>
      </c>
      <c r="W510" s="7">
        <v>0</v>
      </c>
      <c r="X510" t="str">
        <f t="shared" si="15"/>
        <v>Active</v>
      </c>
    </row>
    <row r="511" spans="1:24" x14ac:dyDescent="0.3">
      <c r="A511" s="2">
        <v>510</v>
      </c>
      <c r="B511" s="7">
        <v>19.2</v>
      </c>
      <c r="C511" s="2" t="s">
        <v>5</v>
      </c>
      <c r="D511" s="7">
        <f>IF(ISBLANK('Raw sheet'!D511),AVERAGE('Raw sheet'!$D$2:'Raw sheet'!$D$1500),'Raw sheet'!D511)</f>
        <v>42568</v>
      </c>
      <c r="E511" s="7" t="str">
        <f>IF(Table1[[#This Row],[Family_Income]]&gt;=100000,"Upper",IF(D511&gt;=50000,"Middle","Lower"))</f>
        <v>Lower</v>
      </c>
      <c r="F511" s="2" t="s">
        <v>4</v>
      </c>
      <c r="G511" s="3">
        <f>IF(ISBLANK('Raw sheet'!F511),AVERAGE('Raw sheet'!$F$2:'Raw sheet'!$F$1500),'Raw sheet'!F511)</f>
        <v>3.64</v>
      </c>
      <c r="H511" s="18">
        <v>77.8</v>
      </c>
      <c r="I511" s="9" t="str">
        <f t="shared" si="14"/>
        <v>Good</v>
      </c>
      <c r="J511" s="2">
        <v>1</v>
      </c>
      <c r="K511" s="2">
        <v>19.600000000000001</v>
      </c>
      <c r="L511" s="2" t="s">
        <v>4</v>
      </c>
      <c r="M511" s="2" t="s">
        <v>4</v>
      </c>
      <c r="N511" s="5">
        <f>IF(ISBLANK('Raw sheet'!L511),AVERAGE('Raw sheet'!$L$2:'Raw sheet'!$L$1500),'Raw sheet'!L511)</f>
        <v>6.5</v>
      </c>
      <c r="O511" s="5" t="str">
        <f>IF(Table1[[#This Row],[Stress_Index]]&gt;=8,"High",IF(N511&gt;=5,"Medium","Low"))</f>
        <v>Medium</v>
      </c>
      <c r="P511" s="3">
        <v>2.2599999999999998</v>
      </c>
      <c r="Q511" s="2">
        <v>2.2200000000000002</v>
      </c>
      <c r="R511" s="3">
        <v>2.33</v>
      </c>
      <c r="S511" s="3" t="str">
        <f>IF(Table1[[#This Row],[CGPA]]&gt;=3,"High",IF(R510&gt;=2,"Medium","Low"))</f>
        <v>Medium</v>
      </c>
      <c r="T511" s="2" t="s">
        <v>7</v>
      </c>
      <c r="U511" s="2" t="s">
        <v>6</v>
      </c>
      <c r="V511" s="2" t="s">
        <v>9</v>
      </c>
      <c r="W511" s="7">
        <v>1</v>
      </c>
      <c r="X511" t="str">
        <f t="shared" si="15"/>
        <v>Dropped Out</v>
      </c>
    </row>
    <row r="512" spans="1:24" x14ac:dyDescent="0.3">
      <c r="A512" s="2">
        <v>511</v>
      </c>
      <c r="B512" s="7">
        <v>21.6</v>
      </c>
      <c r="C512" s="2" t="s">
        <v>5</v>
      </c>
      <c r="D512" s="7">
        <f>IF(ISBLANK('Raw sheet'!D512),AVERAGE('Raw sheet'!$D$2:'Raw sheet'!$D$1500),'Raw sheet'!D512)</f>
        <v>38587.00282087447</v>
      </c>
      <c r="E512" s="7" t="str">
        <f>IF(Table1[[#This Row],[Family_Income]]&gt;=100000,"Upper",IF(D512&gt;=50000,"Middle","Lower"))</f>
        <v>Lower</v>
      </c>
      <c r="F512" s="2" t="s">
        <v>4</v>
      </c>
      <c r="G512" s="3">
        <f>IF(ISBLANK('Raw sheet'!F512),AVERAGE('Raw sheet'!$F$2:'Raw sheet'!$F$1500),'Raw sheet'!F512)</f>
        <v>4.0178702397743278</v>
      </c>
      <c r="H512" s="18">
        <v>62.599999999999902</v>
      </c>
      <c r="I512" s="9" t="str">
        <f t="shared" si="14"/>
        <v>Low</v>
      </c>
      <c r="J512" s="2">
        <v>1</v>
      </c>
      <c r="K512" s="2">
        <v>47.8</v>
      </c>
      <c r="L512" s="2" t="s">
        <v>3</v>
      </c>
      <c r="M512" s="2" t="s">
        <v>4</v>
      </c>
      <c r="N512" s="5">
        <f>IF(ISBLANK('Raw sheet'!L512),AVERAGE('Raw sheet'!$L$2:'Raw sheet'!$L$1500),'Raw sheet'!L512)</f>
        <v>5.5242595204513369</v>
      </c>
      <c r="O512" s="5" t="str">
        <f>IF(Table1[[#This Row],[Stress_Index]]&gt;=8,"High",IF(N512&gt;=5,"Medium","Low"))</f>
        <v>Medium</v>
      </c>
      <c r="P512" s="3">
        <v>2.5</v>
      </c>
      <c r="Q512" s="2">
        <v>2.75</v>
      </c>
      <c r="R512" s="3">
        <v>2.66</v>
      </c>
      <c r="S512" s="3" t="str">
        <f>IF(Table1[[#This Row],[CGPA]]&gt;=3,"High",IF(R511&gt;=2,"Medium","Low"))</f>
        <v>Medium</v>
      </c>
      <c r="T512" s="2" t="s">
        <v>12</v>
      </c>
      <c r="U512" s="2" t="s">
        <v>14</v>
      </c>
      <c r="V512" s="2" t="s">
        <v>15</v>
      </c>
      <c r="W512" s="7">
        <v>0</v>
      </c>
      <c r="X512" t="str">
        <f t="shared" si="15"/>
        <v>Active</v>
      </c>
    </row>
    <row r="513" spans="1:24" x14ac:dyDescent="0.3">
      <c r="A513" s="2">
        <v>512</v>
      </c>
      <c r="B513" s="7">
        <v>20.9</v>
      </c>
      <c r="C513" s="2" t="s">
        <v>5</v>
      </c>
      <c r="D513" s="7">
        <f>IF(ISBLANK('Raw sheet'!D513),AVERAGE('Raw sheet'!$D$2:'Raw sheet'!$D$1500),'Raw sheet'!D513)</f>
        <v>42803</v>
      </c>
      <c r="E513" s="7" t="str">
        <f>IF(Table1[[#This Row],[Family_Income]]&gt;=100000,"Upper",IF(D513&gt;=50000,"Middle","Lower"))</f>
        <v>Lower</v>
      </c>
      <c r="F513" s="2" t="s">
        <v>4</v>
      </c>
      <c r="G513" s="3">
        <f>IF(ISBLANK('Raw sheet'!F513),AVERAGE('Raw sheet'!$F$2:'Raw sheet'!$F$1500),'Raw sheet'!F513)</f>
        <v>5.46</v>
      </c>
      <c r="H513" s="18">
        <v>81.400000000000006</v>
      </c>
      <c r="I513" s="9" t="str">
        <f t="shared" si="14"/>
        <v>Good</v>
      </c>
      <c r="J513" s="2">
        <v>0</v>
      </c>
      <c r="K513" s="2">
        <v>22.4</v>
      </c>
      <c r="L513" s="2" t="s">
        <v>4</v>
      </c>
      <c r="M513" s="2" t="s">
        <v>4</v>
      </c>
      <c r="N513" s="5">
        <f>IF(ISBLANK('Raw sheet'!L513),AVERAGE('Raw sheet'!$L$2:'Raw sheet'!$L$1500),'Raw sheet'!L513)</f>
        <v>4.2</v>
      </c>
      <c r="O513" s="5" t="str">
        <f>IF(Table1[[#This Row],[Stress_Index]]&gt;=8,"High",IF(N513&gt;=5,"Medium","Low"))</f>
        <v>Low</v>
      </c>
      <c r="P513" s="3">
        <v>2.0499999999999998</v>
      </c>
      <c r="Q513" s="2">
        <v>2.4500000000000002</v>
      </c>
      <c r="R513" s="3">
        <v>2.5299999999999998</v>
      </c>
      <c r="S513" s="3" t="str">
        <f>IF(Table1[[#This Row],[CGPA]]&gt;=3,"High",IF(R512&gt;=2,"Medium","Low"))</f>
        <v>Medium</v>
      </c>
      <c r="T513" s="2" t="s">
        <v>10</v>
      </c>
      <c r="U513" s="2" t="s">
        <v>1</v>
      </c>
      <c r="V513" s="2" t="s">
        <v>9</v>
      </c>
      <c r="W513" s="7">
        <v>0</v>
      </c>
      <c r="X513" t="str">
        <f t="shared" si="15"/>
        <v>Active</v>
      </c>
    </row>
    <row r="514" spans="1:24" x14ac:dyDescent="0.3">
      <c r="A514" s="2">
        <v>513</v>
      </c>
      <c r="B514" s="7">
        <v>20.5</v>
      </c>
      <c r="C514" s="2" t="s">
        <v>5</v>
      </c>
      <c r="D514" s="7">
        <f>IF(ISBLANK('Raw sheet'!D514),AVERAGE('Raw sheet'!$D$2:'Raw sheet'!$D$1500),'Raw sheet'!D514)</f>
        <v>59804</v>
      </c>
      <c r="E514" s="7" t="str">
        <f>IF(Table1[[#This Row],[Family_Income]]&gt;=100000,"Upper",IF(D514&gt;=50000,"Middle","Lower"))</f>
        <v>Middle</v>
      </c>
      <c r="F514" s="2" t="s">
        <v>4</v>
      </c>
      <c r="G514" s="3">
        <f>IF(ISBLANK('Raw sheet'!F514),AVERAGE('Raw sheet'!$F$2:'Raw sheet'!$F$1500),'Raw sheet'!F514)</f>
        <v>2.04</v>
      </c>
      <c r="H514" s="18">
        <v>93.6</v>
      </c>
      <c r="I514" s="9" t="str">
        <f t="shared" ref="I514:I577" si="16">IF(H514&gt;=75,"Good","Low")</f>
        <v>Good</v>
      </c>
      <c r="J514" s="2">
        <v>3</v>
      </c>
      <c r="K514" s="2">
        <v>30</v>
      </c>
      <c r="L514" s="2" t="s">
        <v>4</v>
      </c>
      <c r="M514" s="2" t="s">
        <v>4</v>
      </c>
      <c r="N514" s="5">
        <f>IF(ISBLANK('Raw sheet'!L514),AVERAGE('Raw sheet'!$L$2:'Raw sheet'!$L$1500),'Raw sheet'!L514)</f>
        <v>6.7</v>
      </c>
      <c r="O514" s="5" t="str">
        <f>IF(Table1[[#This Row],[Stress_Index]]&gt;=8,"High",IF(N514&gt;=5,"Medium","Low"))</f>
        <v>Medium</v>
      </c>
      <c r="P514" s="3">
        <v>1</v>
      </c>
      <c r="Q514" s="2">
        <v>0.49</v>
      </c>
      <c r="R514" s="3">
        <v>0.51</v>
      </c>
      <c r="S514" s="3" t="str">
        <f>IF(Table1[[#This Row],[CGPA]]&gt;=3,"High",IF(R513&gt;=2,"Medium","Low"))</f>
        <v>Medium</v>
      </c>
      <c r="T514" s="2" t="s">
        <v>10</v>
      </c>
      <c r="U514" s="2" t="s">
        <v>8</v>
      </c>
      <c r="V514" s="2" t="s">
        <v>15</v>
      </c>
      <c r="W514" s="7">
        <v>0</v>
      </c>
      <c r="X514" t="str">
        <f t="shared" ref="X514:X577" si="17">IF(W514=1,"Dropped Out","Active")</f>
        <v>Active</v>
      </c>
    </row>
    <row r="515" spans="1:24" x14ac:dyDescent="0.3">
      <c r="A515" s="2">
        <v>514</v>
      </c>
      <c r="B515" s="7">
        <v>19</v>
      </c>
      <c r="C515" s="2" t="s">
        <v>5</v>
      </c>
      <c r="D515" s="7">
        <f>IF(ISBLANK('Raw sheet'!D515),AVERAGE('Raw sheet'!$D$2:'Raw sheet'!$D$1500),'Raw sheet'!D515)</f>
        <v>34342</v>
      </c>
      <c r="E515" s="7" t="str">
        <f>IF(Table1[[#This Row],[Family_Income]]&gt;=100000,"Upper",IF(D515&gt;=50000,"Middle","Lower"))</f>
        <v>Lower</v>
      </c>
      <c r="F515" s="2" t="s">
        <v>3</v>
      </c>
      <c r="G515" s="3">
        <f>IF(ISBLANK('Raw sheet'!F515),AVERAGE('Raw sheet'!$F$2:'Raw sheet'!$F$1500),'Raw sheet'!F515)</f>
        <v>3.51</v>
      </c>
      <c r="H515" s="18">
        <v>83.2</v>
      </c>
      <c r="I515" s="9" t="str">
        <f t="shared" si="16"/>
        <v>Good</v>
      </c>
      <c r="J515" s="2">
        <v>0</v>
      </c>
      <c r="K515" s="2">
        <v>49.5</v>
      </c>
      <c r="L515" s="2" t="s">
        <v>3</v>
      </c>
      <c r="M515" s="2" t="s">
        <v>4</v>
      </c>
      <c r="N515" s="5">
        <f>IF(ISBLANK('Raw sheet'!L515),AVERAGE('Raw sheet'!$L$2:'Raw sheet'!$L$1500),'Raw sheet'!L515)</f>
        <v>6.7</v>
      </c>
      <c r="O515" s="5" t="str">
        <f>IF(Table1[[#This Row],[Stress_Index]]&gt;=8,"High",IF(N515&gt;=5,"Medium","Low"))</f>
        <v>Medium</v>
      </c>
      <c r="P515" s="3">
        <v>0.72</v>
      </c>
      <c r="Q515" s="2">
        <v>0.61</v>
      </c>
      <c r="R515" s="3">
        <v>0.6</v>
      </c>
      <c r="S515" s="3" t="str">
        <f>IF(Table1[[#This Row],[CGPA]]&gt;=3,"High",IF(R514&gt;=2,"Medium","Low"))</f>
        <v>Low</v>
      </c>
      <c r="T515" s="2" t="s">
        <v>12</v>
      </c>
      <c r="U515" s="2" t="s">
        <v>1</v>
      </c>
      <c r="V515" s="2" t="s">
        <v>9</v>
      </c>
      <c r="W515" s="7">
        <v>1</v>
      </c>
      <c r="X515" t="str">
        <f t="shared" si="17"/>
        <v>Dropped Out</v>
      </c>
    </row>
    <row r="516" spans="1:24" x14ac:dyDescent="0.3">
      <c r="A516" s="2">
        <v>515</v>
      </c>
      <c r="B516" s="7">
        <v>19.7</v>
      </c>
      <c r="C516" s="2" t="s">
        <v>5</v>
      </c>
      <c r="D516" s="7">
        <f>IF(ISBLANK('Raw sheet'!D516),AVERAGE('Raw sheet'!$D$2:'Raw sheet'!$D$1500),'Raw sheet'!D516)</f>
        <v>29238</v>
      </c>
      <c r="E516" s="7" t="str">
        <f>IF(Table1[[#This Row],[Family_Income]]&gt;=100000,"Upper",IF(D516&gt;=50000,"Middle","Lower"))</f>
        <v>Lower</v>
      </c>
      <c r="F516" s="2" t="s">
        <v>4</v>
      </c>
      <c r="G516" s="3">
        <f>IF(ISBLANK('Raw sheet'!F516),AVERAGE('Raw sheet'!$F$2:'Raw sheet'!$F$1500),'Raw sheet'!F516)</f>
        <v>4.38</v>
      </c>
      <c r="H516" s="18">
        <v>81.099999999999994</v>
      </c>
      <c r="I516" s="9" t="str">
        <f t="shared" si="16"/>
        <v>Good</v>
      </c>
      <c r="J516" s="2">
        <v>3</v>
      </c>
      <c r="K516" s="2">
        <v>19</v>
      </c>
      <c r="L516" s="2" t="s">
        <v>4</v>
      </c>
      <c r="M516" s="2" t="s">
        <v>4</v>
      </c>
      <c r="N516" s="5">
        <f>IF(ISBLANK('Raw sheet'!L516),AVERAGE('Raw sheet'!$L$2:'Raw sheet'!$L$1500),'Raw sheet'!L516)</f>
        <v>5.4</v>
      </c>
      <c r="O516" s="5" t="str">
        <f>IF(Table1[[#This Row],[Stress_Index]]&gt;=8,"High",IF(N516&gt;=5,"Medium","Low"))</f>
        <v>Medium</v>
      </c>
      <c r="P516" s="3">
        <v>1.78</v>
      </c>
      <c r="Q516" s="2">
        <v>1.52</v>
      </c>
      <c r="R516" s="3">
        <v>1.59</v>
      </c>
      <c r="S516" s="3" t="str">
        <f>IF(Table1[[#This Row],[CGPA]]&gt;=3,"High",IF(R515&gt;=2,"Medium","Low"))</f>
        <v>Low</v>
      </c>
      <c r="T516" s="2" t="s">
        <v>10</v>
      </c>
      <c r="U516" s="2" t="s">
        <v>14</v>
      </c>
      <c r="V516" s="2" t="s">
        <v>15</v>
      </c>
      <c r="W516" s="7">
        <v>0</v>
      </c>
      <c r="X516" t="str">
        <f t="shared" si="17"/>
        <v>Active</v>
      </c>
    </row>
    <row r="517" spans="1:24" x14ac:dyDescent="0.3">
      <c r="A517" s="2">
        <v>516</v>
      </c>
      <c r="B517" s="7">
        <v>22.7</v>
      </c>
      <c r="C517" s="2" t="s">
        <v>5</v>
      </c>
      <c r="D517" s="7">
        <f>IF(ISBLANK('Raw sheet'!D517),AVERAGE('Raw sheet'!$D$2:'Raw sheet'!$D$1500),'Raw sheet'!D517)</f>
        <v>48904</v>
      </c>
      <c r="E517" s="7" t="str">
        <f>IF(Table1[[#This Row],[Family_Income]]&gt;=100000,"Upper",IF(D517&gt;=50000,"Middle","Lower"))</f>
        <v>Lower</v>
      </c>
      <c r="F517" s="2" t="s">
        <v>4</v>
      </c>
      <c r="G517" s="3">
        <f>IF(ISBLANK('Raw sheet'!F517),AVERAGE('Raw sheet'!$F$2:'Raw sheet'!$F$1500),'Raw sheet'!F517)</f>
        <v>6.01</v>
      </c>
      <c r="H517" s="18">
        <v>77.8</v>
      </c>
      <c r="I517" s="9" t="str">
        <f t="shared" si="16"/>
        <v>Good</v>
      </c>
      <c r="J517" s="2">
        <v>2</v>
      </c>
      <c r="K517" s="2">
        <v>27.2</v>
      </c>
      <c r="L517" s="2" t="s">
        <v>4</v>
      </c>
      <c r="M517" s="2" t="s">
        <v>4</v>
      </c>
      <c r="N517" s="5">
        <f>IF(ISBLANK('Raw sheet'!L517),AVERAGE('Raw sheet'!$L$2:'Raw sheet'!$L$1500),'Raw sheet'!L517)</f>
        <v>5.2</v>
      </c>
      <c r="O517" s="5" t="str">
        <f>IF(Table1[[#This Row],[Stress_Index]]&gt;=8,"High",IF(N517&gt;=5,"Medium","Low"))</f>
        <v>Medium</v>
      </c>
      <c r="P517" s="3">
        <v>2.0299999999999998</v>
      </c>
      <c r="Q517" s="2">
        <v>2.27</v>
      </c>
      <c r="R517" s="3">
        <v>2.27</v>
      </c>
      <c r="S517" s="3" t="str">
        <f>IF(Table1[[#This Row],[CGPA]]&gt;=3,"High",IF(R516&gt;=2,"Medium","Low"))</f>
        <v>Low</v>
      </c>
      <c r="T517" s="2" t="s">
        <v>2</v>
      </c>
      <c r="U517" s="2" t="s">
        <v>8</v>
      </c>
      <c r="V517" s="2" t="s">
        <v>9</v>
      </c>
      <c r="W517" s="7">
        <v>1</v>
      </c>
      <c r="X517" t="str">
        <f t="shared" si="17"/>
        <v>Dropped Out</v>
      </c>
    </row>
    <row r="518" spans="1:24" x14ac:dyDescent="0.3">
      <c r="A518" s="2">
        <v>517</v>
      </c>
      <c r="B518" s="7">
        <v>22.1</v>
      </c>
      <c r="C518" s="2" t="s">
        <v>5</v>
      </c>
      <c r="D518" s="7">
        <f>IF(ISBLANK('Raw sheet'!D518),AVERAGE('Raw sheet'!$D$2:'Raw sheet'!$D$1500),'Raw sheet'!D518)</f>
        <v>25000</v>
      </c>
      <c r="E518" s="7" t="str">
        <f>IF(Table1[[#This Row],[Family_Income]]&gt;=100000,"Upper",IF(D518&gt;=50000,"Middle","Lower"))</f>
        <v>Lower</v>
      </c>
      <c r="F518" s="2" t="s">
        <v>4</v>
      </c>
      <c r="G518" s="3">
        <f>IF(ISBLANK('Raw sheet'!F518),AVERAGE('Raw sheet'!$F$2:'Raw sheet'!$F$1500),'Raw sheet'!F518)</f>
        <v>3.13</v>
      </c>
      <c r="H518" s="18">
        <v>82.2</v>
      </c>
      <c r="I518" s="9" t="str">
        <f t="shared" si="16"/>
        <v>Good</v>
      </c>
      <c r="J518" s="2">
        <v>3</v>
      </c>
      <c r="K518" s="2">
        <v>22.7</v>
      </c>
      <c r="L518" s="2" t="s">
        <v>3</v>
      </c>
      <c r="M518" s="2" t="s">
        <v>4</v>
      </c>
      <c r="N518" s="5">
        <f>IF(ISBLANK('Raw sheet'!L518),AVERAGE('Raw sheet'!$L$2:'Raw sheet'!$L$1500),'Raw sheet'!L518)</f>
        <v>5.0999999999999996</v>
      </c>
      <c r="O518" s="5" t="str">
        <f>IF(Table1[[#This Row],[Stress_Index]]&gt;=8,"High",IF(N518&gt;=5,"Medium","Low"))</f>
        <v>Medium</v>
      </c>
      <c r="P518" s="3">
        <v>3.21</v>
      </c>
      <c r="Q518" s="2">
        <v>3.18</v>
      </c>
      <c r="R518" s="3">
        <v>3.16</v>
      </c>
      <c r="S518" s="3" t="str">
        <f>IF(Table1[[#This Row],[CGPA]]&gt;=3,"High",IF(R517&gt;=2,"Medium","Low"))</f>
        <v>High</v>
      </c>
      <c r="T518" s="2" t="s">
        <v>7</v>
      </c>
      <c r="U518" s="2" t="s">
        <v>13</v>
      </c>
      <c r="V518" s="2" t="s">
        <v>15</v>
      </c>
      <c r="W518" s="7">
        <v>0</v>
      </c>
      <c r="X518" t="str">
        <f t="shared" si="17"/>
        <v>Active</v>
      </c>
    </row>
    <row r="519" spans="1:24" x14ac:dyDescent="0.3">
      <c r="A519" s="2">
        <v>518</v>
      </c>
      <c r="B519" s="7">
        <v>18.8</v>
      </c>
      <c r="C519" s="2" t="s">
        <v>11</v>
      </c>
      <c r="D519" s="7">
        <f>IF(ISBLANK('Raw sheet'!D519),AVERAGE('Raw sheet'!$D$2:'Raw sheet'!$D$1500),'Raw sheet'!D519)</f>
        <v>25000</v>
      </c>
      <c r="E519" s="7" t="str">
        <f>IF(Table1[[#This Row],[Family_Income]]&gt;=100000,"Upper",IF(D519&gt;=50000,"Middle","Lower"))</f>
        <v>Lower</v>
      </c>
      <c r="F519" s="2" t="s">
        <v>4</v>
      </c>
      <c r="G519" s="3">
        <f>IF(ISBLANK('Raw sheet'!F519),AVERAGE('Raw sheet'!$F$2:'Raw sheet'!$F$1500),'Raw sheet'!F519)</f>
        <v>2.94</v>
      </c>
      <c r="H519" s="18">
        <v>82</v>
      </c>
      <c r="I519" s="9" t="str">
        <f t="shared" si="16"/>
        <v>Good</v>
      </c>
      <c r="J519" s="2">
        <v>4</v>
      </c>
      <c r="K519" s="2">
        <v>26.1</v>
      </c>
      <c r="L519" s="2" t="s">
        <v>4</v>
      </c>
      <c r="M519" s="2" t="s">
        <v>3</v>
      </c>
      <c r="N519" s="5">
        <f>IF(ISBLANK('Raw sheet'!L519),AVERAGE('Raw sheet'!$L$2:'Raw sheet'!$L$1500),'Raw sheet'!L519)</f>
        <v>4</v>
      </c>
      <c r="O519" s="5" t="str">
        <f>IF(Table1[[#This Row],[Stress_Index]]&gt;=8,"High",IF(N519&gt;=5,"Medium","Low"))</f>
        <v>Low</v>
      </c>
      <c r="P519" s="3">
        <v>1.18</v>
      </c>
      <c r="Q519" s="2">
        <v>1.59</v>
      </c>
      <c r="R519" s="3">
        <v>1.57</v>
      </c>
      <c r="S519" s="3" t="str">
        <f>IF(Table1[[#This Row],[CGPA]]&gt;=3,"High",IF(R518&gt;=2,"Medium","Low"))</f>
        <v>Medium</v>
      </c>
      <c r="T519" s="2" t="s">
        <v>7</v>
      </c>
      <c r="U519" s="2" t="s">
        <v>14</v>
      </c>
      <c r="V519" s="2" t="s">
        <v>17</v>
      </c>
      <c r="W519" s="7">
        <v>1</v>
      </c>
      <c r="X519" t="str">
        <f t="shared" si="17"/>
        <v>Dropped Out</v>
      </c>
    </row>
    <row r="520" spans="1:24" x14ac:dyDescent="0.3">
      <c r="A520" s="2">
        <v>519</v>
      </c>
      <c r="B520" s="7">
        <v>21.2</v>
      </c>
      <c r="C520" s="2" t="s">
        <v>5</v>
      </c>
      <c r="D520" s="7">
        <f>IF(ISBLANK('Raw sheet'!D520),AVERAGE('Raw sheet'!$D$2:'Raw sheet'!$D$1500),'Raw sheet'!D520)</f>
        <v>38587.00282087447</v>
      </c>
      <c r="E520" s="7" t="str">
        <f>IF(Table1[[#This Row],[Family_Income]]&gt;=100000,"Upper",IF(D520&gt;=50000,"Middle","Lower"))</f>
        <v>Lower</v>
      </c>
      <c r="F520" s="2" t="s">
        <v>4</v>
      </c>
      <c r="G520" s="3">
        <f>IF(ISBLANK('Raw sheet'!F520),AVERAGE('Raw sheet'!$F$2:'Raw sheet'!$F$1500),'Raw sheet'!F520)</f>
        <v>4.0178702397743278</v>
      </c>
      <c r="H520" s="18">
        <v>86.8</v>
      </c>
      <c r="I520" s="9" t="str">
        <f t="shared" si="16"/>
        <v>Good</v>
      </c>
      <c r="J520" s="2">
        <v>2</v>
      </c>
      <c r="K520" s="2">
        <v>30.5</v>
      </c>
      <c r="L520" s="2" t="s">
        <v>3</v>
      </c>
      <c r="M520" s="2" t="s">
        <v>4</v>
      </c>
      <c r="N520" s="5">
        <f>IF(ISBLANK('Raw sheet'!L520),AVERAGE('Raw sheet'!$L$2:'Raw sheet'!$L$1500),'Raw sheet'!L520)</f>
        <v>5.5242595204513369</v>
      </c>
      <c r="O520" s="5" t="str">
        <f>IF(Table1[[#This Row],[Stress_Index]]&gt;=8,"High",IF(N520&gt;=5,"Medium","Low"))</f>
        <v>Medium</v>
      </c>
      <c r="P520" s="3">
        <v>1.83</v>
      </c>
      <c r="Q520" s="2">
        <v>1.9</v>
      </c>
      <c r="R520" s="3">
        <v>1.89</v>
      </c>
      <c r="S520" s="3" t="str">
        <f>IF(Table1[[#This Row],[CGPA]]&gt;=3,"High",IF(R519&gt;=2,"Medium","Low"))</f>
        <v>Low</v>
      </c>
      <c r="T520" s="2" t="s">
        <v>12</v>
      </c>
      <c r="U520" s="2" t="s">
        <v>14</v>
      </c>
      <c r="V520" s="2" t="s">
        <v>9</v>
      </c>
      <c r="W520" s="7">
        <v>0</v>
      </c>
      <c r="X520" t="str">
        <f t="shared" si="17"/>
        <v>Active</v>
      </c>
    </row>
    <row r="521" spans="1:24" x14ac:dyDescent="0.3">
      <c r="A521" s="2">
        <v>520</v>
      </c>
      <c r="B521" s="7">
        <v>22.7</v>
      </c>
      <c r="C521" s="2" t="s">
        <v>11</v>
      </c>
      <c r="D521" s="7">
        <f>IF(ISBLANK('Raw sheet'!D521),AVERAGE('Raw sheet'!$D$2:'Raw sheet'!$D$1500),'Raw sheet'!D521)</f>
        <v>25000</v>
      </c>
      <c r="E521" s="7" t="str">
        <f>IF(Table1[[#This Row],[Family_Income]]&gt;=100000,"Upper",IF(D521&gt;=50000,"Middle","Lower"))</f>
        <v>Lower</v>
      </c>
      <c r="F521" s="2" t="s">
        <v>4</v>
      </c>
      <c r="G521" s="3">
        <f>IF(ISBLANK('Raw sheet'!F521),AVERAGE('Raw sheet'!$F$2:'Raw sheet'!$F$1500),'Raw sheet'!F521)</f>
        <v>1.04</v>
      </c>
      <c r="H521" s="18">
        <v>77.7</v>
      </c>
      <c r="I521" s="9" t="str">
        <f t="shared" si="16"/>
        <v>Good</v>
      </c>
      <c r="J521" s="2">
        <v>2</v>
      </c>
      <c r="K521" s="2">
        <v>46.1</v>
      </c>
      <c r="L521" s="2" t="s">
        <v>3</v>
      </c>
      <c r="M521" s="2" t="s">
        <v>3</v>
      </c>
      <c r="N521" s="5">
        <f>IF(ISBLANK('Raw sheet'!L521),AVERAGE('Raw sheet'!$L$2:'Raw sheet'!$L$1500),'Raw sheet'!L521)</f>
        <v>4.5999999999999996</v>
      </c>
      <c r="O521" s="5" t="str">
        <f>IF(Table1[[#This Row],[Stress_Index]]&gt;=8,"High",IF(N521&gt;=5,"Medium","Low"))</f>
        <v>Low</v>
      </c>
      <c r="P521" s="3">
        <v>0.11</v>
      </c>
      <c r="Q521" s="2">
        <v>0</v>
      </c>
      <c r="R521" s="3">
        <v>0.09</v>
      </c>
      <c r="S521" s="3" t="str">
        <f>IF(Table1[[#This Row],[CGPA]]&gt;=3,"High",IF(R520&gt;=2,"Medium","Low"))</f>
        <v>Low</v>
      </c>
      <c r="T521" s="2" t="s">
        <v>7</v>
      </c>
      <c r="U521" s="2" t="s">
        <v>13</v>
      </c>
      <c r="V521" s="2" t="s">
        <v>9</v>
      </c>
      <c r="W521" s="7">
        <v>0</v>
      </c>
      <c r="X521" t="str">
        <f t="shared" si="17"/>
        <v>Active</v>
      </c>
    </row>
    <row r="522" spans="1:24" x14ac:dyDescent="0.3">
      <c r="A522" s="2">
        <v>521</v>
      </c>
      <c r="B522" s="7">
        <v>17.3</v>
      </c>
      <c r="C522" s="2" t="s">
        <v>11</v>
      </c>
      <c r="D522" s="7">
        <f>IF(ISBLANK('Raw sheet'!D522),AVERAGE('Raw sheet'!$D$2:'Raw sheet'!$D$1500),'Raw sheet'!D522)</f>
        <v>25000</v>
      </c>
      <c r="E522" s="7" t="str">
        <f>IF(Table1[[#This Row],[Family_Income]]&gt;=100000,"Upper",IF(D522&gt;=50000,"Middle","Lower"))</f>
        <v>Lower</v>
      </c>
      <c r="F522" s="2" t="s">
        <v>4</v>
      </c>
      <c r="G522" s="3">
        <f>IF(ISBLANK('Raw sheet'!F522),AVERAGE('Raw sheet'!$F$2:'Raw sheet'!$F$1500),'Raw sheet'!F522)</f>
        <v>3.26</v>
      </c>
      <c r="H522" s="18">
        <v>75.5</v>
      </c>
      <c r="I522" s="9" t="str">
        <f t="shared" si="16"/>
        <v>Good</v>
      </c>
      <c r="J522" s="2">
        <v>1</v>
      </c>
      <c r="K522" s="2">
        <v>49.7</v>
      </c>
      <c r="L522" s="2" t="s">
        <v>3</v>
      </c>
      <c r="M522" s="2" t="s">
        <v>3</v>
      </c>
      <c r="N522" s="5">
        <f>IF(ISBLANK('Raw sheet'!L522),AVERAGE('Raw sheet'!$L$2:'Raw sheet'!$L$1500),'Raw sheet'!L522)</f>
        <v>5.8</v>
      </c>
      <c r="O522" s="5" t="str">
        <f>IF(Table1[[#This Row],[Stress_Index]]&gt;=8,"High",IF(N522&gt;=5,"Medium","Low"))</f>
        <v>Medium</v>
      </c>
      <c r="P522" s="3">
        <v>2.29</v>
      </c>
      <c r="Q522" s="2">
        <v>2.09</v>
      </c>
      <c r="R522" s="3">
        <v>2.2200000000000002</v>
      </c>
      <c r="S522" s="3" t="str">
        <f>IF(Table1[[#This Row],[CGPA]]&gt;=3,"High",IF(R521&gt;=2,"Medium","Low"))</f>
        <v>Low</v>
      </c>
      <c r="T522" s="2" t="s">
        <v>12</v>
      </c>
      <c r="U522" s="2" t="s">
        <v>1</v>
      </c>
      <c r="V522" s="2" t="s">
        <v>0</v>
      </c>
      <c r="W522" s="7">
        <v>0</v>
      </c>
      <c r="X522" t="str">
        <f t="shared" si="17"/>
        <v>Active</v>
      </c>
    </row>
    <row r="523" spans="1:24" x14ac:dyDescent="0.3">
      <c r="A523" s="2">
        <v>522</v>
      </c>
      <c r="B523" s="7">
        <v>22.2</v>
      </c>
      <c r="C523" s="2" t="s">
        <v>11</v>
      </c>
      <c r="D523" s="7">
        <f>IF(ISBLANK('Raw sheet'!D523),AVERAGE('Raw sheet'!$D$2:'Raw sheet'!$D$1500),'Raw sheet'!D523)</f>
        <v>89168</v>
      </c>
      <c r="E523" s="7" t="str">
        <f>IF(Table1[[#This Row],[Family_Income]]&gt;=100000,"Upper",IF(D523&gt;=50000,"Middle","Lower"))</f>
        <v>Middle</v>
      </c>
      <c r="F523" s="2" t="s">
        <v>4</v>
      </c>
      <c r="G523" s="3">
        <f>IF(ISBLANK('Raw sheet'!F523),AVERAGE('Raw sheet'!$F$2:'Raw sheet'!$F$1500),'Raw sheet'!F523)</f>
        <v>4.7699999999999996</v>
      </c>
      <c r="H523" s="18">
        <v>78.5</v>
      </c>
      <c r="I523" s="9" t="str">
        <f t="shared" si="16"/>
        <v>Good</v>
      </c>
      <c r="J523" s="2">
        <v>4</v>
      </c>
      <c r="K523" s="2">
        <v>31.9</v>
      </c>
      <c r="L523" s="2" t="s">
        <v>4</v>
      </c>
      <c r="M523" s="2" t="s">
        <v>3</v>
      </c>
      <c r="N523" s="5">
        <f>IF(ISBLANK('Raw sheet'!L523),AVERAGE('Raw sheet'!$L$2:'Raw sheet'!$L$1500),'Raw sheet'!L523)</f>
        <v>4.4000000000000004</v>
      </c>
      <c r="O523" s="5" t="str">
        <f>IF(Table1[[#This Row],[Stress_Index]]&gt;=8,"High",IF(N523&gt;=5,"Medium","Low"))</f>
        <v>Low</v>
      </c>
      <c r="P523" s="3">
        <v>1.34</v>
      </c>
      <c r="Q523" s="2">
        <v>1.32</v>
      </c>
      <c r="R523" s="3">
        <v>1.36</v>
      </c>
      <c r="S523" s="3" t="str">
        <f>IF(Table1[[#This Row],[CGPA]]&gt;=3,"High",IF(R522&gt;=2,"Medium","Low"))</f>
        <v>Medium</v>
      </c>
      <c r="T523" s="2" t="s">
        <v>12</v>
      </c>
      <c r="U523" s="2" t="s">
        <v>6</v>
      </c>
      <c r="V523" s="2" t="s">
        <v>9</v>
      </c>
      <c r="W523" s="7">
        <v>0</v>
      </c>
      <c r="X523" t="str">
        <f t="shared" si="17"/>
        <v>Active</v>
      </c>
    </row>
    <row r="524" spans="1:24" x14ac:dyDescent="0.3">
      <c r="A524" s="2">
        <v>523</v>
      </c>
      <c r="B524" s="7">
        <v>19.5</v>
      </c>
      <c r="C524" s="2" t="s">
        <v>11</v>
      </c>
      <c r="D524" s="7">
        <f>IF(ISBLANK('Raw sheet'!D524),AVERAGE('Raw sheet'!$D$2:'Raw sheet'!$D$1500),'Raw sheet'!D524)</f>
        <v>109447</v>
      </c>
      <c r="E524" s="7" t="str">
        <f>IF(Table1[[#This Row],[Family_Income]]&gt;=100000,"Upper",IF(D524&gt;=50000,"Middle","Lower"))</f>
        <v>Upper</v>
      </c>
      <c r="F524" s="2" t="s">
        <v>3</v>
      </c>
      <c r="G524" s="3">
        <f>IF(ISBLANK('Raw sheet'!F524),AVERAGE('Raw sheet'!$F$2:'Raw sheet'!$F$1500),'Raw sheet'!F524)</f>
        <v>4.46</v>
      </c>
      <c r="H524" s="18">
        <v>81.3</v>
      </c>
      <c r="I524" s="9" t="str">
        <f t="shared" si="16"/>
        <v>Good</v>
      </c>
      <c r="J524" s="2">
        <v>1</v>
      </c>
      <c r="K524" s="2">
        <v>21.3</v>
      </c>
      <c r="L524" s="2" t="s">
        <v>3</v>
      </c>
      <c r="M524" s="2" t="s">
        <v>3</v>
      </c>
      <c r="N524" s="5">
        <f>IF(ISBLANK('Raw sheet'!L524),AVERAGE('Raw sheet'!$L$2:'Raw sheet'!$L$1500),'Raw sheet'!L524)</f>
        <v>4.3</v>
      </c>
      <c r="O524" s="5" t="str">
        <f>IF(Table1[[#This Row],[Stress_Index]]&gt;=8,"High",IF(N524&gt;=5,"Medium","Low"))</f>
        <v>Low</v>
      </c>
      <c r="P524" s="3">
        <v>3.73</v>
      </c>
      <c r="Q524" s="2">
        <v>3.83</v>
      </c>
      <c r="R524" s="3">
        <v>3.88</v>
      </c>
      <c r="S524" s="3" t="str">
        <f>IF(Table1[[#This Row],[CGPA]]&gt;=3,"High",IF(R523&gt;=2,"Medium","Low"))</f>
        <v>High</v>
      </c>
      <c r="T524" s="2" t="s">
        <v>10</v>
      </c>
      <c r="U524" s="2" t="s">
        <v>1</v>
      </c>
      <c r="V524" s="2" t="s">
        <v>9</v>
      </c>
      <c r="W524" s="7">
        <v>0</v>
      </c>
      <c r="X524" t="str">
        <f t="shared" si="17"/>
        <v>Active</v>
      </c>
    </row>
    <row r="525" spans="1:24" x14ac:dyDescent="0.3">
      <c r="A525" s="2">
        <v>524</v>
      </c>
      <c r="B525" s="7">
        <v>22.3</v>
      </c>
      <c r="C525" s="2" t="s">
        <v>5</v>
      </c>
      <c r="D525" s="7">
        <f>IF(ISBLANK('Raw sheet'!D525),AVERAGE('Raw sheet'!$D$2:'Raw sheet'!$D$1500),'Raw sheet'!D525)</f>
        <v>25000</v>
      </c>
      <c r="E525" s="7" t="str">
        <f>IF(Table1[[#This Row],[Family_Income]]&gt;=100000,"Upper",IF(D525&gt;=50000,"Middle","Lower"))</f>
        <v>Lower</v>
      </c>
      <c r="F525" s="2" t="s">
        <v>4</v>
      </c>
      <c r="G525" s="3">
        <f>IF(ISBLANK('Raw sheet'!F525),AVERAGE('Raw sheet'!$F$2:'Raw sheet'!$F$1500),'Raw sheet'!F525)</f>
        <v>4.26</v>
      </c>
      <c r="H525" s="18">
        <v>81.8</v>
      </c>
      <c r="I525" s="9" t="str">
        <f t="shared" si="16"/>
        <v>Good</v>
      </c>
      <c r="J525" s="2">
        <v>1</v>
      </c>
      <c r="K525" s="2">
        <v>38.1</v>
      </c>
      <c r="L525" s="2" t="s">
        <v>4</v>
      </c>
      <c r="M525" s="2" t="s">
        <v>3</v>
      </c>
      <c r="N525" s="5">
        <f>IF(ISBLANK('Raw sheet'!L525),AVERAGE('Raw sheet'!$L$2:'Raw sheet'!$L$1500),'Raw sheet'!L525)</f>
        <v>4.5</v>
      </c>
      <c r="O525" s="5" t="str">
        <f>IF(Table1[[#This Row],[Stress_Index]]&gt;=8,"High",IF(N525&gt;=5,"Medium","Low"))</f>
        <v>Low</v>
      </c>
      <c r="P525" s="3">
        <v>2.69</v>
      </c>
      <c r="Q525" s="2">
        <v>2.57</v>
      </c>
      <c r="R525" s="3">
        <v>2.57</v>
      </c>
      <c r="S525" s="3" t="str">
        <f>IF(Table1[[#This Row],[CGPA]]&gt;=3,"High",IF(R524&gt;=2,"Medium","Low"))</f>
        <v>Medium</v>
      </c>
      <c r="T525" s="2" t="s">
        <v>10</v>
      </c>
      <c r="U525" s="2" t="s">
        <v>6</v>
      </c>
      <c r="V525" s="2" t="s">
        <v>15</v>
      </c>
      <c r="W525" s="7">
        <v>0</v>
      </c>
      <c r="X525" t="str">
        <f t="shared" si="17"/>
        <v>Active</v>
      </c>
    </row>
    <row r="526" spans="1:24" x14ac:dyDescent="0.3">
      <c r="A526" s="2">
        <v>525</v>
      </c>
      <c r="B526" s="7">
        <v>19.3</v>
      </c>
      <c r="C526" s="2" t="s">
        <v>5</v>
      </c>
      <c r="D526" s="7">
        <f>IF(ISBLANK('Raw sheet'!D526),AVERAGE('Raw sheet'!$D$2:'Raw sheet'!$D$1500),'Raw sheet'!D526)</f>
        <v>31415</v>
      </c>
      <c r="E526" s="7" t="str">
        <f>IF(Table1[[#This Row],[Family_Income]]&gt;=100000,"Upper",IF(D526&gt;=50000,"Middle","Lower"))</f>
        <v>Lower</v>
      </c>
      <c r="F526" s="2" t="s">
        <v>4</v>
      </c>
      <c r="G526" s="3">
        <f>IF(ISBLANK('Raw sheet'!F526),AVERAGE('Raw sheet'!$F$2:'Raw sheet'!$F$1500),'Raw sheet'!F526)</f>
        <v>1.87</v>
      </c>
      <c r="H526" s="18">
        <v>81.900000000000006</v>
      </c>
      <c r="I526" s="9" t="str">
        <f t="shared" si="16"/>
        <v>Good</v>
      </c>
      <c r="J526" s="2">
        <v>0</v>
      </c>
      <c r="K526" s="2">
        <v>30.1</v>
      </c>
      <c r="L526" s="2" t="s">
        <v>3</v>
      </c>
      <c r="M526" s="2" t="s">
        <v>3</v>
      </c>
      <c r="N526" s="5">
        <f>IF(ISBLANK('Raw sheet'!L526),AVERAGE('Raw sheet'!$L$2:'Raw sheet'!$L$1500),'Raw sheet'!L526)</f>
        <v>7.8</v>
      </c>
      <c r="O526" s="5" t="str">
        <f>IF(Table1[[#This Row],[Stress_Index]]&gt;=8,"High",IF(N526&gt;=5,"Medium","Low"))</f>
        <v>Medium</v>
      </c>
      <c r="P526" s="3">
        <v>2.89</v>
      </c>
      <c r="Q526" s="2">
        <v>2.6</v>
      </c>
      <c r="R526" s="3">
        <v>2.6</v>
      </c>
      <c r="S526" s="3" t="str">
        <f>IF(Table1[[#This Row],[CGPA]]&gt;=3,"High",IF(R525&gt;=2,"Medium","Low"))</f>
        <v>Medium</v>
      </c>
      <c r="T526" s="2" t="s">
        <v>2</v>
      </c>
      <c r="U526" s="2" t="s">
        <v>1</v>
      </c>
      <c r="V526" s="2" t="s">
        <v>15</v>
      </c>
      <c r="W526" s="7">
        <v>0</v>
      </c>
      <c r="X526" t="str">
        <f t="shared" si="17"/>
        <v>Active</v>
      </c>
    </row>
    <row r="527" spans="1:24" x14ac:dyDescent="0.3">
      <c r="A527" s="2">
        <v>526</v>
      </c>
      <c r="B527" s="7">
        <v>17</v>
      </c>
      <c r="C527" s="2" t="s">
        <v>11</v>
      </c>
      <c r="D527" s="7">
        <f>IF(ISBLANK('Raw sheet'!D527),AVERAGE('Raw sheet'!$D$2:'Raw sheet'!$D$1500),'Raw sheet'!D527)</f>
        <v>26564</v>
      </c>
      <c r="E527" s="7" t="str">
        <f>IF(Table1[[#This Row],[Family_Income]]&gt;=100000,"Upper",IF(D527&gt;=50000,"Middle","Lower"))</f>
        <v>Lower</v>
      </c>
      <c r="F527" s="2" t="s">
        <v>4</v>
      </c>
      <c r="G527" s="3">
        <f>IF(ISBLANK('Raw sheet'!F527),AVERAGE('Raw sheet'!$F$2:'Raw sheet'!$F$1500),'Raw sheet'!F527)</f>
        <v>2.34</v>
      </c>
      <c r="H527" s="18">
        <v>74.099999999999994</v>
      </c>
      <c r="I527" s="9" t="str">
        <f t="shared" si="16"/>
        <v>Low</v>
      </c>
      <c r="J527" s="2">
        <v>2</v>
      </c>
      <c r="K527" s="2">
        <v>30.5</v>
      </c>
      <c r="L527" s="2" t="s">
        <v>3</v>
      </c>
      <c r="M527" s="2" t="s">
        <v>4</v>
      </c>
      <c r="N527" s="5">
        <f>IF(ISBLANK('Raw sheet'!L527),AVERAGE('Raw sheet'!$L$2:'Raw sheet'!$L$1500),'Raw sheet'!L527)</f>
        <v>3</v>
      </c>
      <c r="O527" s="5" t="str">
        <f>IF(Table1[[#This Row],[Stress_Index]]&gt;=8,"High",IF(N527&gt;=5,"Medium","Low"))</f>
        <v>Low</v>
      </c>
      <c r="P527" s="3">
        <v>2.2000000000000002</v>
      </c>
      <c r="Q527" s="2">
        <v>1.74</v>
      </c>
      <c r="R527" s="3">
        <v>1.75</v>
      </c>
      <c r="S527" s="3" t="str">
        <f>IF(Table1[[#This Row],[CGPA]]&gt;=3,"High",IF(R526&gt;=2,"Medium","Low"))</f>
        <v>Medium</v>
      </c>
      <c r="T527" s="2" t="s">
        <v>7</v>
      </c>
      <c r="U527" s="2" t="s">
        <v>13</v>
      </c>
      <c r="V527" s="2" t="s">
        <v>9</v>
      </c>
      <c r="W527" s="7">
        <v>0</v>
      </c>
      <c r="X527" t="str">
        <f t="shared" si="17"/>
        <v>Active</v>
      </c>
    </row>
    <row r="528" spans="1:24" x14ac:dyDescent="0.3">
      <c r="A528" s="2">
        <v>527</v>
      </c>
      <c r="B528" s="7">
        <v>17.399999999999999</v>
      </c>
      <c r="C528" s="2" t="s">
        <v>11</v>
      </c>
      <c r="D528" s="7">
        <f>IF(ISBLANK('Raw sheet'!D528),AVERAGE('Raw sheet'!$D$2:'Raw sheet'!$D$1500),'Raw sheet'!D528)</f>
        <v>57786</v>
      </c>
      <c r="E528" s="7" t="str">
        <f>IF(Table1[[#This Row],[Family_Income]]&gt;=100000,"Upper",IF(D528&gt;=50000,"Middle","Lower"))</f>
        <v>Middle</v>
      </c>
      <c r="F528" s="2" t="s">
        <v>4</v>
      </c>
      <c r="G528" s="3">
        <f>IF(ISBLANK('Raw sheet'!F528),AVERAGE('Raw sheet'!$F$2:'Raw sheet'!$F$1500),'Raw sheet'!F528)</f>
        <v>5.75</v>
      </c>
      <c r="H528" s="18">
        <v>81.3</v>
      </c>
      <c r="I528" s="9" t="str">
        <f t="shared" si="16"/>
        <v>Good</v>
      </c>
      <c r="J528" s="2">
        <v>2</v>
      </c>
      <c r="K528" s="2">
        <v>17.600000000000001</v>
      </c>
      <c r="L528" s="2" t="s">
        <v>3</v>
      </c>
      <c r="M528" s="2" t="s">
        <v>3</v>
      </c>
      <c r="N528" s="5">
        <f>IF(ISBLANK('Raw sheet'!L528),AVERAGE('Raw sheet'!$L$2:'Raw sheet'!$L$1500),'Raw sheet'!L528)</f>
        <v>8.6999999999999993</v>
      </c>
      <c r="O528" s="5" t="str">
        <f>IF(Table1[[#This Row],[Stress_Index]]&gt;=8,"High",IF(N528&gt;=5,"Medium","Low"))</f>
        <v>High</v>
      </c>
      <c r="P528" s="3">
        <v>2.4700000000000002</v>
      </c>
      <c r="Q528" s="2">
        <v>2.12</v>
      </c>
      <c r="R528" s="3">
        <v>2.12</v>
      </c>
      <c r="S528" s="3" t="str">
        <f>IF(Table1[[#This Row],[CGPA]]&gt;=3,"High",IF(R527&gt;=2,"Medium","Low"))</f>
        <v>Low</v>
      </c>
      <c r="T528" s="2" t="s">
        <v>2</v>
      </c>
      <c r="U528" s="2" t="s">
        <v>6</v>
      </c>
      <c r="V528" s="2" t="s">
        <v>0</v>
      </c>
      <c r="W528" s="7">
        <v>0</v>
      </c>
      <c r="X528" t="str">
        <f t="shared" si="17"/>
        <v>Active</v>
      </c>
    </row>
    <row r="529" spans="1:24" x14ac:dyDescent="0.3">
      <c r="A529" s="2">
        <v>528</v>
      </c>
      <c r="B529" s="7">
        <v>21.1</v>
      </c>
      <c r="C529" s="2" t="s">
        <v>11</v>
      </c>
      <c r="D529" s="7">
        <f>IF(ISBLANK('Raw sheet'!D529),AVERAGE('Raw sheet'!$D$2:'Raw sheet'!$D$1500),'Raw sheet'!D529)</f>
        <v>65081</v>
      </c>
      <c r="E529" s="7" t="str">
        <f>IF(Table1[[#This Row],[Family_Income]]&gt;=100000,"Upper",IF(D529&gt;=50000,"Middle","Lower"))</f>
        <v>Middle</v>
      </c>
      <c r="F529" s="2" t="s">
        <v>4</v>
      </c>
      <c r="G529" s="3">
        <f>IF(ISBLANK('Raw sheet'!F529),AVERAGE('Raw sheet'!$F$2:'Raw sheet'!$F$1500),'Raw sheet'!F529)</f>
        <v>3.88</v>
      </c>
      <c r="H529" s="18">
        <v>87.5</v>
      </c>
      <c r="I529" s="9" t="str">
        <f t="shared" si="16"/>
        <v>Good</v>
      </c>
      <c r="J529" s="2">
        <v>1</v>
      </c>
      <c r="K529" s="2">
        <v>10.6</v>
      </c>
      <c r="L529" s="2" t="s">
        <v>4</v>
      </c>
      <c r="M529" s="2" t="s">
        <v>3</v>
      </c>
      <c r="N529" s="5">
        <f>IF(ISBLANK('Raw sheet'!L529),AVERAGE('Raw sheet'!$L$2:'Raw sheet'!$L$1500),'Raw sheet'!L529)</f>
        <v>6.9</v>
      </c>
      <c r="O529" s="5" t="str">
        <f>IF(Table1[[#This Row],[Stress_Index]]&gt;=8,"High",IF(N529&gt;=5,"Medium","Low"))</f>
        <v>Medium</v>
      </c>
      <c r="P529" s="3">
        <v>2.41</v>
      </c>
      <c r="Q529" s="2">
        <v>2.52</v>
      </c>
      <c r="R529" s="3">
        <v>2.54</v>
      </c>
      <c r="S529" s="3" t="str">
        <f>IF(Table1[[#This Row],[CGPA]]&gt;=3,"High",IF(R528&gt;=2,"Medium","Low"))</f>
        <v>Medium</v>
      </c>
      <c r="T529" s="2" t="s">
        <v>10</v>
      </c>
      <c r="U529" s="2" t="s">
        <v>1</v>
      </c>
      <c r="V529" s="2" t="s">
        <v>9</v>
      </c>
      <c r="W529" s="7">
        <v>1</v>
      </c>
      <c r="X529" t="str">
        <f t="shared" si="17"/>
        <v>Dropped Out</v>
      </c>
    </row>
    <row r="530" spans="1:24" x14ac:dyDescent="0.3">
      <c r="A530" s="2">
        <v>529</v>
      </c>
      <c r="B530" s="7">
        <v>21.6</v>
      </c>
      <c r="C530" s="2" t="s">
        <v>11</v>
      </c>
      <c r="D530" s="7">
        <f>IF(ISBLANK('Raw sheet'!D530),AVERAGE('Raw sheet'!$D$2:'Raw sheet'!$D$1500),'Raw sheet'!D530)</f>
        <v>25000</v>
      </c>
      <c r="E530" s="7" t="str">
        <f>IF(Table1[[#This Row],[Family_Income]]&gt;=100000,"Upper",IF(D530&gt;=50000,"Middle","Lower"))</f>
        <v>Lower</v>
      </c>
      <c r="F530" s="2" t="s">
        <v>4</v>
      </c>
      <c r="G530" s="3">
        <f>IF(ISBLANK('Raw sheet'!F530),AVERAGE('Raw sheet'!$F$2:'Raw sheet'!$F$1500),'Raw sheet'!F530)</f>
        <v>3.72</v>
      </c>
      <c r="H530" s="18">
        <v>92.2</v>
      </c>
      <c r="I530" s="9" t="str">
        <f t="shared" si="16"/>
        <v>Good</v>
      </c>
      <c r="J530" s="2">
        <v>3</v>
      </c>
      <c r="K530" s="2">
        <v>29.8</v>
      </c>
      <c r="L530" s="2" t="s">
        <v>4</v>
      </c>
      <c r="M530" s="2" t="s">
        <v>3</v>
      </c>
      <c r="N530" s="5">
        <f>IF(ISBLANK('Raw sheet'!L530),AVERAGE('Raw sheet'!$L$2:'Raw sheet'!$L$1500),'Raw sheet'!L530)</f>
        <v>2.7</v>
      </c>
      <c r="O530" s="5" t="str">
        <f>IF(Table1[[#This Row],[Stress_Index]]&gt;=8,"High",IF(N530&gt;=5,"Medium","Low"))</f>
        <v>Low</v>
      </c>
      <c r="P530" s="3">
        <v>2.87</v>
      </c>
      <c r="Q530" s="2">
        <v>3.09</v>
      </c>
      <c r="R530" s="3">
        <v>3.11</v>
      </c>
      <c r="S530" s="3" t="str">
        <f>IF(Table1[[#This Row],[CGPA]]&gt;=3,"High",IF(R529&gt;=2,"Medium","Low"))</f>
        <v>High</v>
      </c>
      <c r="T530" s="2" t="s">
        <v>7</v>
      </c>
      <c r="U530" s="2" t="s">
        <v>13</v>
      </c>
      <c r="V530" s="2" t="s">
        <v>16</v>
      </c>
      <c r="W530" s="7">
        <v>0</v>
      </c>
      <c r="X530" t="str">
        <f t="shared" si="17"/>
        <v>Active</v>
      </c>
    </row>
    <row r="531" spans="1:24" x14ac:dyDescent="0.3">
      <c r="A531" s="2">
        <v>530</v>
      </c>
      <c r="B531" s="7">
        <v>19</v>
      </c>
      <c r="C531" s="2" t="s">
        <v>5</v>
      </c>
      <c r="D531" s="7">
        <f>IF(ISBLANK('Raw sheet'!D531),AVERAGE('Raw sheet'!$D$2:'Raw sheet'!$D$1500),'Raw sheet'!D531)</f>
        <v>39561</v>
      </c>
      <c r="E531" s="7" t="str">
        <f>IF(Table1[[#This Row],[Family_Income]]&gt;=100000,"Upper",IF(D531&gt;=50000,"Middle","Lower"))</f>
        <v>Lower</v>
      </c>
      <c r="F531" s="2" t="s">
        <v>4</v>
      </c>
      <c r="G531" s="3">
        <f>IF(ISBLANK('Raw sheet'!F531),AVERAGE('Raw sheet'!$F$2:'Raw sheet'!$F$1500),'Raw sheet'!F531)</f>
        <v>2.97</v>
      </c>
      <c r="H531" s="18">
        <v>89.9</v>
      </c>
      <c r="I531" s="9" t="str">
        <f t="shared" si="16"/>
        <v>Good</v>
      </c>
      <c r="J531" s="2">
        <v>2</v>
      </c>
      <c r="K531" s="2">
        <v>17.2</v>
      </c>
      <c r="L531" s="2" t="s">
        <v>3</v>
      </c>
      <c r="M531" s="2" t="s">
        <v>3</v>
      </c>
      <c r="N531" s="5">
        <f>IF(ISBLANK('Raw sheet'!L531),AVERAGE('Raw sheet'!$L$2:'Raw sheet'!$L$1500),'Raw sheet'!L531)</f>
        <v>4.5</v>
      </c>
      <c r="O531" s="5" t="str">
        <f>IF(Table1[[#This Row],[Stress_Index]]&gt;=8,"High",IF(N531&gt;=5,"Medium","Low"))</f>
        <v>Low</v>
      </c>
      <c r="P531" s="3">
        <v>4</v>
      </c>
      <c r="Q531" s="2">
        <v>4</v>
      </c>
      <c r="R531" s="3">
        <v>4</v>
      </c>
      <c r="S531" s="3" t="str">
        <f>IF(Table1[[#This Row],[CGPA]]&gt;=3,"High",IF(R530&gt;=2,"Medium","Low"))</f>
        <v>High</v>
      </c>
      <c r="T531" s="2" t="s">
        <v>2</v>
      </c>
      <c r="U531" s="2" t="s">
        <v>14</v>
      </c>
      <c r="V531" s="2" t="s">
        <v>0</v>
      </c>
      <c r="W531" s="7">
        <v>0</v>
      </c>
      <c r="X531" t="str">
        <f t="shared" si="17"/>
        <v>Active</v>
      </c>
    </row>
    <row r="532" spans="1:24" x14ac:dyDescent="0.3">
      <c r="A532" s="2">
        <v>531</v>
      </c>
      <c r="B532" s="7">
        <v>22.4</v>
      </c>
      <c r="C532" s="2" t="s">
        <v>5</v>
      </c>
      <c r="D532" s="7">
        <f>IF(ISBLANK('Raw sheet'!D532),AVERAGE('Raw sheet'!$D$2:'Raw sheet'!$D$1500),'Raw sheet'!D532)</f>
        <v>25000</v>
      </c>
      <c r="E532" s="7" t="str">
        <f>IF(Table1[[#This Row],[Family_Income]]&gt;=100000,"Upper",IF(D532&gt;=50000,"Middle","Lower"))</f>
        <v>Lower</v>
      </c>
      <c r="F532" s="2" t="s">
        <v>4</v>
      </c>
      <c r="G532" s="3">
        <f>IF(ISBLANK('Raw sheet'!F532),AVERAGE('Raw sheet'!$F$2:'Raw sheet'!$F$1500),'Raw sheet'!F532)</f>
        <v>4.0199999999999996</v>
      </c>
      <c r="H532" s="18">
        <v>81.5</v>
      </c>
      <c r="I532" s="9" t="str">
        <f t="shared" si="16"/>
        <v>Good</v>
      </c>
      <c r="J532" s="2">
        <v>0</v>
      </c>
      <c r="K532" s="2">
        <v>23.6</v>
      </c>
      <c r="L532" s="2" t="s">
        <v>3</v>
      </c>
      <c r="M532" s="2" t="s">
        <v>3</v>
      </c>
      <c r="N532" s="5">
        <f>IF(ISBLANK('Raw sheet'!L532),AVERAGE('Raw sheet'!$L$2:'Raw sheet'!$L$1500),'Raw sheet'!L532)</f>
        <v>2.6</v>
      </c>
      <c r="O532" s="5" t="str">
        <f>IF(Table1[[#This Row],[Stress_Index]]&gt;=8,"High",IF(N532&gt;=5,"Medium","Low"))</f>
        <v>Low</v>
      </c>
      <c r="P532" s="3">
        <v>0.47</v>
      </c>
      <c r="Q532" s="2">
        <v>0.37</v>
      </c>
      <c r="R532" s="3">
        <v>0.47</v>
      </c>
      <c r="S532" s="3" t="str">
        <f>IF(Table1[[#This Row],[CGPA]]&gt;=3,"High",IF(R531&gt;=2,"Medium","Low"))</f>
        <v>Medium</v>
      </c>
      <c r="T532" s="2" t="s">
        <v>7</v>
      </c>
      <c r="U532" s="2" t="s">
        <v>14</v>
      </c>
      <c r="V532" s="2" t="s">
        <v>9</v>
      </c>
      <c r="W532" s="7">
        <v>0</v>
      </c>
      <c r="X532" t="str">
        <f t="shared" si="17"/>
        <v>Active</v>
      </c>
    </row>
    <row r="533" spans="1:24" x14ac:dyDescent="0.3">
      <c r="A533" s="2">
        <v>532</v>
      </c>
      <c r="B533" s="7">
        <v>17.3</v>
      </c>
      <c r="C533" s="2" t="s">
        <v>5</v>
      </c>
      <c r="D533" s="7">
        <f>IF(ISBLANK('Raw sheet'!D533),AVERAGE('Raw sheet'!$D$2:'Raw sheet'!$D$1500),'Raw sheet'!D533)</f>
        <v>85388</v>
      </c>
      <c r="E533" s="7" t="str">
        <f>IF(Table1[[#This Row],[Family_Income]]&gt;=100000,"Upper",IF(D533&gt;=50000,"Middle","Lower"))</f>
        <v>Middle</v>
      </c>
      <c r="F533" s="2" t="s">
        <v>4</v>
      </c>
      <c r="G533" s="3">
        <f>IF(ISBLANK('Raw sheet'!F533),AVERAGE('Raw sheet'!$F$2:'Raw sheet'!$F$1500),'Raw sheet'!F533)</f>
        <v>3.37</v>
      </c>
      <c r="H533" s="18">
        <v>80.7</v>
      </c>
      <c r="I533" s="9" t="str">
        <f t="shared" si="16"/>
        <v>Good</v>
      </c>
      <c r="J533" s="2">
        <v>2</v>
      </c>
      <c r="K533" s="2">
        <v>47.8</v>
      </c>
      <c r="L533" s="2" t="s">
        <v>3</v>
      </c>
      <c r="M533" s="2" t="s">
        <v>4</v>
      </c>
      <c r="N533" s="5">
        <f>IF(ISBLANK('Raw sheet'!L533),AVERAGE('Raw sheet'!$L$2:'Raw sheet'!$L$1500),'Raw sheet'!L533)</f>
        <v>6.7</v>
      </c>
      <c r="O533" s="5" t="str">
        <f>IF(Table1[[#This Row],[Stress_Index]]&gt;=8,"High",IF(N533&gt;=5,"Medium","Low"))</f>
        <v>Medium</v>
      </c>
      <c r="P533" s="3">
        <v>0.28000000000000003</v>
      </c>
      <c r="Q533" s="2">
        <v>0.28999999999999998</v>
      </c>
      <c r="R533" s="3">
        <v>0.28999999999999998</v>
      </c>
      <c r="S533" s="3" t="str">
        <f>IF(Table1[[#This Row],[CGPA]]&gt;=3,"High",IF(R532&gt;=2,"Medium","Low"))</f>
        <v>Low</v>
      </c>
      <c r="T533" s="2" t="s">
        <v>2</v>
      </c>
      <c r="U533" s="2" t="s">
        <v>1</v>
      </c>
      <c r="V533" s="2" t="s">
        <v>9</v>
      </c>
      <c r="W533" s="7">
        <v>0</v>
      </c>
      <c r="X533" t="str">
        <f t="shared" si="17"/>
        <v>Active</v>
      </c>
    </row>
    <row r="534" spans="1:24" x14ac:dyDescent="0.3">
      <c r="A534" s="2">
        <v>533</v>
      </c>
      <c r="B534" s="7">
        <v>20.9</v>
      </c>
      <c r="C534" s="2" t="s">
        <v>5</v>
      </c>
      <c r="D534" s="7">
        <f>IF(ISBLANK('Raw sheet'!D534),AVERAGE('Raw sheet'!$D$2:'Raw sheet'!$D$1500),'Raw sheet'!D534)</f>
        <v>38721</v>
      </c>
      <c r="E534" s="7" t="str">
        <f>IF(Table1[[#This Row],[Family_Income]]&gt;=100000,"Upper",IF(D534&gt;=50000,"Middle","Lower"))</f>
        <v>Lower</v>
      </c>
      <c r="F534" s="2" t="s">
        <v>3</v>
      </c>
      <c r="G534" s="3">
        <f>IF(ISBLANK('Raw sheet'!F534),AVERAGE('Raw sheet'!$F$2:'Raw sheet'!$F$1500),'Raw sheet'!F534)</f>
        <v>5.1100000000000003</v>
      </c>
      <c r="H534" s="18">
        <v>91.9</v>
      </c>
      <c r="I534" s="9" t="str">
        <f t="shared" si="16"/>
        <v>Good</v>
      </c>
      <c r="J534" s="2">
        <v>1</v>
      </c>
      <c r="K534" s="2">
        <v>29.2</v>
      </c>
      <c r="L534" s="2" t="s">
        <v>3</v>
      </c>
      <c r="M534" s="2" t="s">
        <v>3</v>
      </c>
      <c r="N534" s="5">
        <f>IF(ISBLANK('Raw sheet'!L534),AVERAGE('Raw sheet'!$L$2:'Raw sheet'!$L$1500),'Raw sheet'!L534)</f>
        <v>7.8</v>
      </c>
      <c r="O534" s="5" t="str">
        <f>IF(Table1[[#This Row],[Stress_Index]]&gt;=8,"High",IF(N534&gt;=5,"Medium","Low"))</f>
        <v>Medium</v>
      </c>
      <c r="P534" s="3">
        <v>1.56</v>
      </c>
      <c r="Q534" s="2">
        <v>1.49</v>
      </c>
      <c r="R534" s="3">
        <v>1.49</v>
      </c>
      <c r="S534" s="3" t="str">
        <f>IF(Table1[[#This Row],[CGPA]]&gt;=3,"High",IF(R533&gt;=2,"Medium","Low"))</f>
        <v>Low</v>
      </c>
      <c r="T534" s="2" t="s">
        <v>2</v>
      </c>
      <c r="U534" s="2" t="s">
        <v>14</v>
      </c>
      <c r="V534" s="2" t="s">
        <v>9</v>
      </c>
      <c r="W534" s="7">
        <v>0</v>
      </c>
      <c r="X534" t="str">
        <f t="shared" si="17"/>
        <v>Active</v>
      </c>
    </row>
    <row r="535" spans="1:24" x14ac:dyDescent="0.3">
      <c r="A535" s="2">
        <v>534</v>
      </c>
      <c r="B535" s="7">
        <v>18.3</v>
      </c>
      <c r="C535" s="2" t="s">
        <v>5</v>
      </c>
      <c r="D535" s="7">
        <f>IF(ISBLANK('Raw sheet'!D535),AVERAGE('Raw sheet'!$D$2:'Raw sheet'!$D$1500),'Raw sheet'!D535)</f>
        <v>25000</v>
      </c>
      <c r="E535" s="7" t="str">
        <f>IF(Table1[[#This Row],[Family_Income]]&gt;=100000,"Upper",IF(D535&gt;=50000,"Middle","Lower"))</f>
        <v>Lower</v>
      </c>
      <c r="F535" s="2" t="s">
        <v>4</v>
      </c>
      <c r="G535" s="3">
        <f>IF(ISBLANK('Raw sheet'!F535),AVERAGE('Raw sheet'!$F$2:'Raw sheet'!$F$1500),'Raw sheet'!F535)</f>
        <v>2.63</v>
      </c>
      <c r="H535" s="18">
        <v>81.099999999999994</v>
      </c>
      <c r="I535" s="9" t="str">
        <f t="shared" si="16"/>
        <v>Good</v>
      </c>
      <c r="J535" s="2">
        <v>1</v>
      </c>
      <c r="K535" s="2">
        <v>43.3</v>
      </c>
      <c r="L535" s="2" t="s">
        <v>4</v>
      </c>
      <c r="M535" s="2" t="s">
        <v>3</v>
      </c>
      <c r="N535" s="5">
        <f>IF(ISBLANK('Raw sheet'!L535),AVERAGE('Raw sheet'!$L$2:'Raw sheet'!$L$1500),'Raw sheet'!L535)</f>
        <v>5.9</v>
      </c>
      <c r="O535" s="5" t="str">
        <f>IF(Table1[[#This Row],[Stress_Index]]&gt;=8,"High",IF(N535&gt;=5,"Medium","Low"))</f>
        <v>Medium</v>
      </c>
      <c r="P535" s="3">
        <v>1.27</v>
      </c>
      <c r="Q535" s="2">
        <v>1.4</v>
      </c>
      <c r="R535" s="3">
        <v>1.38</v>
      </c>
      <c r="S535" s="3" t="str">
        <f>IF(Table1[[#This Row],[CGPA]]&gt;=3,"High",IF(R534&gt;=2,"Medium","Low"))</f>
        <v>Low</v>
      </c>
      <c r="T535" s="2" t="s">
        <v>10</v>
      </c>
      <c r="U535" s="2" t="s">
        <v>14</v>
      </c>
      <c r="V535" s="2" t="s">
        <v>15</v>
      </c>
      <c r="W535" s="7">
        <v>1</v>
      </c>
      <c r="X535" t="str">
        <f t="shared" si="17"/>
        <v>Dropped Out</v>
      </c>
    </row>
    <row r="536" spans="1:24" x14ac:dyDescent="0.3">
      <c r="A536" s="2">
        <v>535</v>
      </c>
      <c r="B536" s="7">
        <v>19.600000000000001</v>
      </c>
      <c r="C536" s="2" t="s">
        <v>11</v>
      </c>
      <c r="D536" s="7">
        <f>IF(ISBLANK('Raw sheet'!D536),AVERAGE('Raw sheet'!$D$2:'Raw sheet'!$D$1500),'Raw sheet'!D536)</f>
        <v>25725</v>
      </c>
      <c r="E536" s="7" t="str">
        <f>IF(Table1[[#This Row],[Family_Income]]&gt;=100000,"Upper",IF(D536&gt;=50000,"Middle","Lower"))</f>
        <v>Lower</v>
      </c>
      <c r="F536" s="2" t="s">
        <v>4</v>
      </c>
      <c r="G536" s="3">
        <f>IF(ISBLANK('Raw sheet'!F536),AVERAGE('Raw sheet'!$F$2:'Raw sheet'!$F$1500),'Raw sheet'!F536)</f>
        <v>5.09</v>
      </c>
      <c r="H536" s="18">
        <v>88.9</v>
      </c>
      <c r="I536" s="9" t="str">
        <f t="shared" si="16"/>
        <v>Good</v>
      </c>
      <c r="J536" s="2">
        <v>3</v>
      </c>
      <c r="K536" s="2">
        <v>33.6</v>
      </c>
      <c r="L536" s="2" t="s">
        <v>4</v>
      </c>
      <c r="M536" s="2" t="s">
        <v>3</v>
      </c>
      <c r="N536" s="5">
        <f>IF(ISBLANK('Raw sheet'!L536),AVERAGE('Raw sheet'!$L$2:'Raw sheet'!$L$1500),'Raw sheet'!L536)</f>
        <v>7.7</v>
      </c>
      <c r="O536" s="5" t="str">
        <f>IF(Table1[[#This Row],[Stress_Index]]&gt;=8,"High",IF(N536&gt;=5,"Medium","Low"))</f>
        <v>Medium</v>
      </c>
      <c r="P536" s="3">
        <v>2.0699999999999998</v>
      </c>
      <c r="Q536" s="2">
        <v>1.87</v>
      </c>
      <c r="R536" s="3">
        <v>1.93</v>
      </c>
      <c r="S536" s="3" t="str">
        <f>IF(Table1[[#This Row],[CGPA]]&gt;=3,"High",IF(R535&gt;=2,"Medium","Low"))</f>
        <v>Low</v>
      </c>
      <c r="T536" s="2" t="s">
        <v>10</v>
      </c>
      <c r="U536" s="2" t="s">
        <v>14</v>
      </c>
      <c r="V536" s="2" t="s">
        <v>15</v>
      </c>
      <c r="W536" s="7">
        <v>1</v>
      </c>
      <c r="X536" t="str">
        <f t="shared" si="17"/>
        <v>Dropped Out</v>
      </c>
    </row>
    <row r="537" spans="1:24" x14ac:dyDescent="0.3">
      <c r="A537" s="2">
        <v>536</v>
      </c>
      <c r="B537" s="7">
        <v>21.1</v>
      </c>
      <c r="C537" s="2" t="s">
        <v>11</v>
      </c>
      <c r="D537" s="7">
        <f>IF(ISBLANK('Raw sheet'!D537),AVERAGE('Raw sheet'!$D$2:'Raw sheet'!$D$1500),'Raw sheet'!D537)</f>
        <v>25000</v>
      </c>
      <c r="E537" s="7" t="str">
        <f>IF(Table1[[#This Row],[Family_Income]]&gt;=100000,"Upper",IF(D537&gt;=50000,"Middle","Lower"))</f>
        <v>Lower</v>
      </c>
      <c r="F537" s="2" t="s">
        <v>4</v>
      </c>
      <c r="G537" s="3">
        <f>IF(ISBLANK('Raw sheet'!F537),AVERAGE('Raw sheet'!$F$2:'Raw sheet'!$F$1500),'Raw sheet'!F537)</f>
        <v>6.14</v>
      </c>
      <c r="H537" s="18">
        <v>81.8</v>
      </c>
      <c r="I537" s="9" t="str">
        <f t="shared" si="16"/>
        <v>Good</v>
      </c>
      <c r="J537" s="2">
        <v>2</v>
      </c>
      <c r="K537" s="2">
        <v>37</v>
      </c>
      <c r="L537" s="2" t="s">
        <v>3</v>
      </c>
      <c r="M537" s="2" t="s">
        <v>3</v>
      </c>
      <c r="N537" s="5">
        <f>IF(ISBLANK('Raw sheet'!L537),AVERAGE('Raw sheet'!$L$2:'Raw sheet'!$L$1500),'Raw sheet'!L537)</f>
        <v>5.8</v>
      </c>
      <c r="O537" s="5" t="str">
        <f>IF(Table1[[#This Row],[Stress_Index]]&gt;=8,"High",IF(N537&gt;=5,"Medium","Low"))</f>
        <v>Medium</v>
      </c>
      <c r="P537" s="3">
        <v>2.56</v>
      </c>
      <c r="Q537" s="2">
        <v>3</v>
      </c>
      <c r="R537" s="3">
        <v>3.01</v>
      </c>
      <c r="S537" s="3" t="str">
        <f>IF(Table1[[#This Row],[CGPA]]&gt;=3,"High",IF(R536&gt;=2,"Medium","Low"))</f>
        <v>High</v>
      </c>
      <c r="T537" s="2" t="s">
        <v>12</v>
      </c>
      <c r="U537" s="2" t="s">
        <v>6</v>
      </c>
      <c r="V537" s="2" t="s">
        <v>15</v>
      </c>
      <c r="W537" s="7">
        <v>1</v>
      </c>
      <c r="X537" t="str">
        <f t="shared" si="17"/>
        <v>Dropped Out</v>
      </c>
    </row>
    <row r="538" spans="1:24" x14ac:dyDescent="0.3">
      <c r="A538" s="2">
        <v>537</v>
      </c>
      <c r="B538" s="7">
        <v>19.100000000000001</v>
      </c>
      <c r="C538" s="2" t="s">
        <v>5</v>
      </c>
      <c r="D538" s="7">
        <f>IF(ISBLANK('Raw sheet'!D538),AVERAGE('Raw sheet'!$D$2:'Raw sheet'!$D$1500),'Raw sheet'!D538)</f>
        <v>40744</v>
      </c>
      <c r="E538" s="7" t="str">
        <f>IF(Table1[[#This Row],[Family_Income]]&gt;=100000,"Upper",IF(D538&gt;=50000,"Middle","Lower"))</f>
        <v>Lower</v>
      </c>
      <c r="F538" s="2" t="s">
        <v>4</v>
      </c>
      <c r="G538" s="3">
        <f>IF(ISBLANK('Raw sheet'!F538),AVERAGE('Raw sheet'!$F$2:'Raw sheet'!$F$1500),'Raw sheet'!F538)</f>
        <v>4.8</v>
      </c>
      <c r="H538" s="18">
        <v>62.8</v>
      </c>
      <c r="I538" s="9" t="str">
        <f t="shared" si="16"/>
        <v>Low</v>
      </c>
      <c r="J538" s="2">
        <v>2</v>
      </c>
      <c r="K538" s="2">
        <v>23.4</v>
      </c>
      <c r="L538" s="2" t="s">
        <v>3</v>
      </c>
      <c r="M538" s="2" t="s">
        <v>3</v>
      </c>
      <c r="N538" s="5">
        <f>IF(ISBLANK('Raw sheet'!L538),AVERAGE('Raw sheet'!$L$2:'Raw sheet'!$L$1500),'Raw sheet'!L538)</f>
        <v>7.2</v>
      </c>
      <c r="O538" s="5" t="str">
        <f>IF(Table1[[#This Row],[Stress_Index]]&gt;=8,"High",IF(N538&gt;=5,"Medium","Low"))</f>
        <v>Medium</v>
      </c>
      <c r="P538" s="3">
        <v>1.94</v>
      </c>
      <c r="Q538" s="2">
        <v>1.95</v>
      </c>
      <c r="R538" s="3">
        <v>1.99</v>
      </c>
      <c r="S538" s="3" t="str">
        <f>IF(Table1[[#This Row],[CGPA]]&gt;=3,"High",IF(R537&gt;=2,"Medium","Low"))</f>
        <v>Medium</v>
      </c>
      <c r="T538" s="2" t="s">
        <v>10</v>
      </c>
      <c r="U538" s="2" t="s">
        <v>13</v>
      </c>
      <c r="V538" s="2" t="s">
        <v>15</v>
      </c>
      <c r="W538" s="7">
        <v>1</v>
      </c>
      <c r="X538" t="str">
        <f t="shared" si="17"/>
        <v>Dropped Out</v>
      </c>
    </row>
    <row r="539" spans="1:24" x14ac:dyDescent="0.3">
      <c r="A539" s="2">
        <v>538</v>
      </c>
      <c r="B539" s="7">
        <v>20.2</v>
      </c>
      <c r="C539" s="2" t="s">
        <v>11</v>
      </c>
      <c r="D539" s="7">
        <f>IF(ISBLANK('Raw sheet'!D539),AVERAGE('Raw sheet'!$D$2:'Raw sheet'!$D$1500),'Raw sheet'!D539)</f>
        <v>55556</v>
      </c>
      <c r="E539" s="7" t="str">
        <f>IF(Table1[[#This Row],[Family_Income]]&gt;=100000,"Upper",IF(D539&gt;=50000,"Middle","Lower"))</f>
        <v>Middle</v>
      </c>
      <c r="F539" s="2" t="s">
        <v>4</v>
      </c>
      <c r="G539" s="3">
        <f>IF(ISBLANK('Raw sheet'!F539),AVERAGE('Raw sheet'!$F$2:'Raw sheet'!$F$1500),'Raw sheet'!F539)</f>
        <v>2.4</v>
      </c>
      <c r="H539" s="18">
        <v>87.3</v>
      </c>
      <c r="I539" s="9" t="str">
        <f t="shared" si="16"/>
        <v>Good</v>
      </c>
      <c r="J539" s="2">
        <v>1</v>
      </c>
      <c r="K539" s="2">
        <v>43.8</v>
      </c>
      <c r="L539" s="2" t="s">
        <v>4</v>
      </c>
      <c r="M539" s="2" t="s">
        <v>3</v>
      </c>
      <c r="N539" s="5">
        <f>IF(ISBLANK('Raw sheet'!L539),AVERAGE('Raw sheet'!$L$2:'Raw sheet'!$L$1500),'Raw sheet'!L539)</f>
        <v>6</v>
      </c>
      <c r="O539" s="5" t="str">
        <f>IF(Table1[[#This Row],[Stress_Index]]&gt;=8,"High",IF(N539&gt;=5,"Medium","Low"))</f>
        <v>Medium</v>
      </c>
      <c r="P539" s="3">
        <v>1.21</v>
      </c>
      <c r="Q539" s="2">
        <v>1.59</v>
      </c>
      <c r="R539" s="3">
        <v>1.55</v>
      </c>
      <c r="S539" s="3" t="str">
        <f>IF(Table1[[#This Row],[CGPA]]&gt;=3,"High",IF(R538&gt;=2,"Medium","Low"))</f>
        <v>Low</v>
      </c>
      <c r="T539" s="2" t="s">
        <v>10</v>
      </c>
      <c r="U539" s="2" t="s">
        <v>1</v>
      </c>
      <c r="V539" s="2" t="s">
        <v>9</v>
      </c>
      <c r="W539" s="7">
        <v>1</v>
      </c>
      <c r="X539" t="str">
        <f t="shared" si="17"/>
        <v>Dropped Out</v>
      </c>
    </row>
    <row r="540" spans="1:24" x14ac:dyDescent="0.3">
      <c r="A540" s="2">
        <v>539</v>
      </c>
      <c r="B540" s="7">
        <v>23.2</v>
      </c>
      <c r="C540" s="2" t="s">
        <v>11</v>
      </c>
      <c r="D540" s="7">
        <f>IF(ISBLANK('Raw sheet'!D540),AVERAGE('Raw sheet'!$D$2:'Raw sheet'!$D$1500),'Raw sheet'!D540)</f>
        <v>25000</v>
      </c>
      <c r="E540" s="7" t="str">
        <f>IF(Table1[[#This Row],[Family_Income]]&gt;=100000,"Upper",IF(D540&gt;=50000,"Middle","Lower"))</f>
        <v>Lower</v>
      </c>
      <c r="F540" s="2" t="s">
        <v>4</v>
      </c>
      <c r="G540" s="3">
        <f>IF(ISBLANK('Raw sheet'!F540),AVERAGE('Raw sheet'!$F$2:'Raw sheet'!$F$1500),'Raw sheet'!F540)</f>
        <v>5.07</v>
      </c>
      <c r="H540" s="18">
        <v>89.7</v>
      </c>
      <c r="I540" s="9" t="str">
        <f t="shared" si="16"/>
        <v>Good</v>
      </c>
      <c r="J540" s="2">
        <v>2</v>
      </c>
      <c r="K540" s="2">
        <v>33.700000000000003</v>
      </c>
      <c r="L540" s="2" t="s">
        <v>3</v>
      </c>
      <c r="M540" s="2" t="s">
        <v>3</v>
      </c>
      <c r="N540" s="5">
        <f>IF(ISBLANK('Raw sheet'!L540),AVERAGE('Raw sheet'!$L$2:'Raw sheet'!$L$1500),'Raw sheet'!L540)</f>
        <v>5.5</v>
      </c>
      <c r="O540" s="5" t="str">
        <f>IF(Table1[[#This Row],[Stress_Index]]&gt;=8,"High",IF(N540&gt;=5,"Medium","Low"))</f>
        <v>Medium</v>
      </c>
      <c r="P540" s="3">
        <v>2.54</v>
      </c>
      <c r="Q540" s="2">
        <v>2.37</v>
      </c>
      <c r="R540" s="3">
        <v>2.41</v>
      </c>
      <c r="S540" s="3" t="str">
        <f>IF(Table1[[#This Row],[CGPA]]&gt;=3,"High",IF(R539&gt;=2,"Medium","Low"))</f>
        <v>Low</v>
      </c>
      <c r="T540" s="2" t="s">
        <v>7</v>
      </c>
      <c r="U540" s="2" t="s">
        <v>14</v>
      </c>
      <c r="V540" s="2" t="s">
        <v>0</v>
      </c>
      <c r="W540" s="7">
        <v>0</v>
      </c>
      <c r="X540" t="str">
        <f t="shared" si="17"/>
        <v>Active</v>
      </c>
    </row>
    <row r="541" spans="1:24" x14ac:dyDescent="0.3">
      <c r="A541" s="2">
        <v>540</v>
      </c>
      <c r="B541" s="7">
        <v>19.7</v>
      </c>
      <c r="C541" s="2" t="s">
        <v>11</v>
      </c>
      <c r="D541" s="7">
        <f>IF(ISBLANK('Raw sheet'!D541),AVERAGE('Raw sheet'!$D$2:'Raw sheet'!$D$1500),'Raw sheet'!D541)</f>
        <v>89613</v>
      </c>
      <c r="E541" s="7" t="str">
        <f>IF(Table1[[#This Row],[Family_Income]]&gt;=100000,"Upper",IF(D541&gt;=50000,"Middle","Lower"))</f>
        <v>Middle</v>
      </c>
      <c r="F541" s="2" t="s">
        <v>4</v>
      </c>
      <c r="G541" s="3">
        <f>IF(ISBLANK('Raw sheet'!F541),AVERAGE('Raw sheet'!$F$2:'Raw sheet'!$F$1500),'Raw sheet'!F541)</f>
        <v>3.36</v>
      </c>
      <c r="H541" s="18">
        <v>79.400000000000006</v>
      </c>
      <c r="I541" s="9" t="str">
        <f t="shared" si="16"/>
        <v>Good</v>
      </c>
      <c r="J541" s="2">
        <v>2</v>
      </c>
      <c r="K541" s="2">
        <v>26.8</v>
      </c>
      <c r="L541" s="2" t="s">
        <v>4</v>
      </c>
      <c r="M541" s="2" t="s">
        <v>3</v>
      </c>
      <c r="N541" s="5">
        <f>IF(ISBLANK('Raw sheet'!L541),AVERAGE('Raw sheet'!$L$2:'Raw sheet'!$L$1500),'Raw sheet'!L541)</f>
        <v>6.9</v>
      </c>
      <c r="O541" s="5" t="str">
        <f>IF(Table1[[#This Row],[Stress_Index]]&gt;=8,"High",IF(N541&gt;=5,"Medium","Low"))</f>
        <v>Medium</v>
      </c>
      <c r="P541" s="3">
        <v>1.6</v>
      </c>
      <c r="Q541" s="2">
        <v>1.56</v>
      </c>
      <c r="R541" s="3">
        <v>1.58</v>
      </c>
      <c r="S541" s="3" t="str">
        <f>IF(Table1[[#This Row],[CGPA]]&gt;=3,"High",IF(R540&gt;=2,"Medium","Low"))</f>
        <v>Medium</v>
      </c>
      <c r="T541" s="2" t="s">
        <v>10</v>
      </c>
      <c r="U541" s="2" t="s">
        <v>6</v>
      </c>
      <c r="V541" s="2" t="s">
        <v>0</v>
      </c>
      <c r="W541" s="7">
        <v>1</v>
      </c>
      <c r="X541" t="str">
        <f t="shared" si="17"/>
        <v>Dropped Out</v>
      </c>
    </row>
    <row r="542" spans="1:24" x14ac:dyDescent="0.3">
      <c r="A542" s="2">
        <v>541</v>
      </c>
      <c r="B542" s="7">
        <v>22.8</v>
      </c>
      <c r="C542" s="2" t="s">
        <v>5</v>
      </c>
      <c r="D542" s="7">
        <f>IF(ISBLANK('Raw sheet'!D542),AVERAGE('Raw sheet'!$D$2:'Raw sheet'!$D$1500),'Raw sheet'!D542)</f>
        <v>77918</v>
      </c>
      <c r="E542" s="7" t="str">
        <f>IF(Table1[[#This Row],[Family_Income]]&gt;=100000,"Upper",IF(D542&gt;=50000,"Middle","Lower"))</f>
        <v>Middle</v>
      </c>
      <c r="F542" s="2" t="s">
        <v>4</v>
      </c>
      <c r="G542" s="3">
        <f>IF(ISBLANK('Raw sheet'!F542),AVERAGE('Raw sheet'!$F$2:'Raw sheet'!$F$1500),'Raw sheet'!F542)</f>
        <v>3.32</v>
      </c>
      <c r="H542" s="18">
        <v>72.7</v>
      </c>
      <c r="I542" s="9" t="str">
        <f t="shared" si="16"/>
        <v>Low</v>
      </c>
      <c r="J542" s="2">
        <v>3</v>
      </c>
      <c r="K542" s="2">
        <v>33.700000000000003</v>
      </c>
      <c r="L542" s="2" t="s">
        <v>4</v>
      </c>
      <c r="M542" s="2" t="s">
        <v>3</v>
      </c>
      <c r="N542" s="5">
        <f>IF(ISBLANK('Raw sheet'!L542),AVERAGE('Raw sheet'!$L$2:'Raw sheet'!$L$1500),'Raw sheet'!L542)</f>
        <v>5.2</v>
      </c>
      <c r="O542" s="5" t="str">
        <f>IF(Table1[[#This Row],[Stress_Index]]&gt;=8,"High",IF(N542&gt;=5,"Medium","Low"))</f>
        <v>Medium</v>
      </c>
      <c r="P542" s="3">
        <v>0.5</v>
      </c>
      <c r="Q542" s="2">
        <v>0.79</v>
      </c>
      <c r="R542" s="3">
        <v>0.84</v>
      </c>
      <c r="S542" s="3" t="str">
        <f>IF(Table1[[#This Row],[CGPA]]&gt;=3,"High",IF(R541&gt;=2,"Medium","Low"))</f>
        <v>Low</v>
      </c>
      <c r="T542" s="2" t="s">
        <v>12</v>
      </c>
      <c r="U542" s="2" t="s">
        <v>8</v>
      </c>
      <c r="V542" s="2" t="s">
        <v>9</v>
      </c>
      <c r="W542" s="7">
        <v>0</v>
      </c>
      <c r="X542" t="str">
        <f t="shared" si="17"/>
        <v>Active</v>
      </c>
    </row>
    <row r="543" spans="1:24" x14ac:dyDescent="0.3">
      <c r="A543" s="2">
        <v>542</v>
      </c>
      <c r="B543" s="7">
        <v>18.5</v>
      </c>
      <c r="C543" s="2" t="s">
        <v>11</v>
      </c>
      <c r="D543" s="7">
        <f>IF(ISBLANK('Raw sheet'!D543),AVERAGE('Raw sheet'!$D$2:'Raw sheet'!$D$1500),'Raw sheet'!D543)</f>
        <v>25000</v>
      </c>
      <c r="E543" s="7" t="str">
        <f>IF(Table1[[#This Row],[Family_Income]]&gt;=100000,"Upper",IF(D543&gt;=50000,"Middle","Lower"))</f>
        <v>Lower</v>
      </c>
      <c r="F543" s="2" t="s">
        <v>4</v>
      </c>
      <c r="G543" s="3">
        <f>IF(ISBLANK('Raw sheet'!F543),AVERAGE('Raw sheet'!$F$2:'Raw sheet'!$F$1500),'Raw sheet'!F543)</f>
        <v>4.18</v>
      </c>
      <c r="H543" s="18">
        <v>94.2</v>
      </c>
      <c r="I543" s="9" t="str">
        <f t="shared" si="16"/>
        <v>Good</v>
      </c>
      <c r="J543" s="2">
        <v>1</v>
      </c>
      <c r="K543" s="2">
        <v>21.4</v>
      </c>
      <c r="L543" s="2" t="s">
        <v>3</v>
      </c>
      <c r="M543" s="2" t="s">
        <v>3</v>
      </c>
      <c r="N543" s="5">
        <f>IF(ISBLANK('Raw sheet'!L543),AVERAGE('Raw sheet'!$L$2:'Raw sheet'!$L$1500),'Raw sheet'!L543)</f>
        <v>8.1</v>
      </c>
      <c r="O543" s="5" t="str">
        <f>IF(Table1[[#This Row],[Stress_Index]]&gt;=8,"High",IF(N543&gt;=5,"Medium","Low"))</f>
        <v>High</v>
      </c>
      <c r="P543" s="3">
        <v>2.27</v>
      </c>
      <c r="Q543" s="2">
        <v>1.71</v>
      </c>
      <c r="R543" s="3">
        <v>1.73</v>
      </c>
      <c r="S543" s="3" t="str">
        <f>IF(Table1[[#This Row],[CGPA]]&gt;=3,"High",IF(R542&gt;=2,"Medium","Low"))</f>
        <v>Low</v>
      </c>
      <c r="T543" s="2" t="s">
        <v>12</v>
      </c>
      <c r="U543" s="2" t="s">
        <v>1</v>
      </c>
      <c r="V543" s="2" t="s">
        <v>17</v>
      </c>
      <c r="W543" s="7">
        <v>0</v>
      </c>
      <c r="X543" t="str">
        <f t="shared" si="17"/>
        <v>Active</v>
      </c>
    </row>
    <row r="544" spans="1:24" x14ac:dyDescent="0.3">
      <c r="A544" s="2">
        <v>543</v>
      </c>
      <c r="B544" s="7">
        <v>22.2</v>
      </c>
      <c r="C544" s="2" t="s">
        <v>11</v>
      </c>
      <c r="D544" s="7">
        <f>IF(ISBLANK('Raw sheet'!D544),AVERAGE('Raw sheet'!$D$2:'Raw sheet'!$D$1500),'Raw sheet'!D544)</f>
        <v>31060</v>
      </c>
      <c r="E544" s="7" t="str">
        <f>IF(Table1[[#This Row],[Family_Income]]&gt;=100000,"Upper",IF(D544&gt;=50000,"Middle","Lower"))</f>
        <v>Lower</v>
      </c>
      <c r="F544" s="2" t="s">
        <v>4</v>
      </c>
      <c r="G544" s="3">
        <f>IF(ISBLANK('Raw sheet'!F544),AVERAGE('Raw sheet'!$F$2:'Raw sheet'!$F$1500),'Raw sheet'!F544)</f>
        <v>3.68</v>
      </c>
      <c r="H544" s="18">
        <v>80.8</v>
      </c>
      <c r="I544" s="9" t="str">
        <f t="shared" si="16"/>
        <v>Good</v>
      </c>
      <c r="J544" s="2">
        <v>2</v>
      </c>
      <c r="K544" s="2">
        <v>26.5</v>
      </c>
      <c r="L544" s="2" t="s">
        <v>4</v>
      </c>
      <c r="M544" s="2" t="s">
        <v>4</v>
      </c>
      <c r="N544" s="5">
        <f>IF(ISBLANK('Raw sheet'!L544),AVERAGE('Raw sheet'!$L$2:'Raw sheet'!$L$1500),'Raw sheet'!L544)</f>
        <v>4.9000000000000004</v>
      </c>
      <c r="O544" s="5" t="str">
        <f>IF(Table1[[#This Row],[Stress_Index]]&gt;=8,"High",IF(N544&gt;=5,"Medium","Low"))</f>
        <v>Low</v>
      </c>
      <c r="P544" s="3">
        <v>3.48</v>
      </c>
      <c r="Q544" s="2">
        <v>3.56</v>
      </c>
      <c r="R544" s="3">
        <v>3.56</v>
      </c>
      <c r="S544" s="3" t="str">
        <f>IF(Table1[[#This Row],[CGPA]]&gt;=3,"High",IF(R543&gt;=2,"Medium","Low"))</f>
        <v>High</v>
      </c>
      <c r="T544" s="2" t="s">
        <v>2</v>
      </c>
      <c r="U544" s="2" t="s">
        <v>13</v>
      </c>
      <c r="V544" s="2" t="s">
        <v>0</v>
      </c>
      <c r="W544" s="7">
        <v>0</v>
      </c>
      <c r="X544" t="str">
        <f t="shared" si="17"/>
        <v>Active</v>
      </c>
    </row>
    <row r="545" spans="1:24" x14ac:dyDescent="0.3">
      <c r="A545" s="2">
        <v>544</v>
      </c>
      <c r="B545" s="7">
        <v>24.2</v>
      </c>
      <c r="C545" s="2" t="s">
        <v>5</v>
      </c>
      <c r="D545" s="7">
        <f>IF(ISBLANK('Raw sheet'!D545),AVERAGE('Raw sheet'!$D$2:'Raw sheet'!$D$1500),'Raw sheet'!D545)</f>
        <v>82991</v>
      </c>
      <c r="E545" s="7" t="str">
        <f>IF(Table1[[#This Row],[Family_Income]]&gt;=100000,"Upper",IF(D545&gt;=50000,"Middle","Lower"))</f>
        <v>Middle</v>
      </c>
      <c r="F545" s="2" t="s">
        <v>4</v>
      </c>
      <c r="G545" s="3">
        <f>IF(ISBLANK('Raw sheet'!F545),AVERAGE('Raw sheet'!$F$2:'Raw sheet'!$F$1500),'Raw sheet'!F545)</f>
        <v>3.4</v>
      </c>
      <c r="H545" s="18">
        <v>79.2</v>
      </c>
      <c r="I545" s="9" t="str">
        <f t="shared" si="16"/>
        <v>Good</v>
      </c>
      <c r="J545" s="2">
        <v>1</v>
      </c>
      <c r="K545" s="2">
        <v>29.3</v>
      </c>
      <c r="L545" s="2" t="s">
        <v>4</v>
      </c>
      <c r="M545" s="2" t="s">
        <v>3</v>
      </c>
      <c r="N545" s="5">
        <f>IF(ISBLANK('Raw sheet'!L545),AVERAGE('Raw sheet'!$L$2:'Raw sheet'!$L$1500),'Raw sheet'!L545)</f>
        <v>6.5</v>
      </c>
      <c r="O545" s="5" t="str">
        <f>IF(Table1[[#This Row],[Stress_Index]]&gt;=8,"High",IF(N545&gt;=5,"Medium","Low"))</f>
        <v>Medium</v>
      </c>
      <c r="P545" s="3">
        <v>1.23</v>
      </c>
      <c r="Q545" s="2">
        <v>0.66</v>
      </c>
      <c r="R545" s="3">
        <v>0.69</v>
      </c>
      <c r="S545" s="3" t="str">
        <f>IF(Table1[[#This Row],[CGPA]]&gt;=3,"High",IF(R544&gt;=2,"Medium","Low"))</f>
        <v>Medium</v>
      </c>
      <c r="T545" s="2" t="s">
        <v>7</v>
      </c>
      <c r="U545" s="2" t="s">
        <v>1</v>
      </c>
      <c r="V545" s="2" t="s">
        <v>9</v>
      </c>
      <c r="W545" s="7">
        <v>0</v>
      </c>
      <c r="X545" t="str">
        <f t="shared" si="17"/>
        <v>Active</v>
      </c>
    </row>
    <row r="546" spans="1:24" x14ac:dyDescent="0.3">
      <c r="A546" s="2">
        <v>545</v>
      </c>
      <c r="B546" s="7">
        <v>17</v>
      </c>
      <c r="C546" s="2" t="s">
        <v>5</v>
      </c>
      <c r="D546" s="7">
        <f>IF(ISBLANK('Raw sheet'!D546),AVERAGE('Raw sheet'!$D$2:'Raw sheet'!$D$1500),'Raw sheet'!D546)</f>
        <v>62302</v>
      </c>
      <c r="E546" s="7" t="str">
        <f>IF(Table1[[#This Row],[Family_Income]]&gt;=100000,"Upper",IF(D546&gt;=50000,"Middle","Lower"))</f>
        <v>Middle</v>
      </c>
      <c r="F546" s="2" t="s">
        <v>4</v>
      </c>
      <c r="G546" s="3">
        <f>IF(ISBLANK('Raw sheet'!F546),AVERAGE('Raw sheet'!$F$2:'Raw sheet'!$F$1500),'Raw sheet'!F546)</f>
        <v>4.8899999999999997</v>
      </c>
      <c r="H546" s="18">
        <v>85.6</v>
      </c>
      <c r="I546" s="9" t="str">
        <f t="shared" si="16"/>
        <v>Good</v>
      </c>
      <c r="J546" s="2">
        <v>2</v>
      </c>
      <c r="K546" s="2">
        <v>23.7</v>
      </c>
      <c r="L546" s="2" t="s">
        <v>3</v>
      </c>
      <c r="M546" s="2" t="s">
        <v>4</v>
      </c>
      <c r="N546" s="5">
        <f>IF(ISBLANK('Raw sheet'!L546),AVERAGE('Raw sheet'!$L$2:'Raw sheet'!$L$1500),'Raw sheet'!L546)</f>
        <v>4.2</v>
      </c>
      <c r="O546" s="5" t="str">
        <f>IF(Table1[[#This Row],[Stress_Index]]&gt;=8,"High",IF(N546&gt;=5,"Medium","Low"))</f>
        <v>Low</v>
      </c>
      <c r="P546" s="3">
        <v>3.47</v>
      </c>
      <c r="Q546" s="2">
        <v>3.65</v>
      </c>
      <c r="R546" s="3">
        <v>3.65</v>
      </c>
      <c r="S546" s="3" t="str">
        <f>IF(Table1[[#This Row],[CGPA]]&gt;=3,"High",IF(R545&gt;=2,"Medium","Low"))</f>
        <v>High</v>
      </c>
      <c r="T546" s="2" t="s">
        <v>2</v>
      </c>
      <c r="U546" s="2" t="s">
        <v>1</v>
      </c>
      <c r="V546" s="2" t="s">
        <v>9</v>
      </c>
      <c r="W546" s="7">
        <v>1</v>
      </c>
      <c r="X546" t="str">
        <f t="shared" si="17"/>
        <v>Dropped Out</v>
      </c>
    </row>
    <row r="547" spans="1:24" x14ac:dyDescent="0.3">
      <c r="A547" s="2">
        <v>546</v>
      </c>
      <c r="B547" s="7">
        <v>19.2</v>
      </c>
      <c r="C547" s="2" t="s">
        <v>11</v>
      </c>
      <c r="D547" s="7">
        <f>IF(ISBLANK('Raw sheet'!D547),AVERAGE('Raw sheet'!$D$2:'Raw sheet'!$D$1500),'Raw sheet'!D547)</f>
        <v>25000</v>
      </c>
      <c r="E547" s="7" t="str">
        <f>IF(Table1[[#This Row],[Family_Income]]&gt;=100000,"Upper",IF(D547&gt;=50000,"Middle","Lower"))</f>
        <v>Lower</v>
      </c>
      <c r="F547" s="2" t="s">
        <v>4</v>
      </c>
      <c r="G547" s="3">
        <f>IF(ISBLANK('Raw sheet'!F547),AVERAGE('Raw sheet'!$F$2:'Raw sheet'!$F$1500),'Raw sheet'!F547)</f>
        <v>4.1500000000000004</v>
      </c>
      <c r="H547" s="18">
        <v>100</v>
      </c>
      <c r="I547" s="9" t="str">
        <f t="shared" si="16"/>
        <v>Good</v>
      </c>
      <c r="J547" s="2">
        <v>1</v>
      </c>
      <c r="K547" s="2">
        <v>48.7</v>
      </c>
      <c r="L547" s="2" t="s">
        <v>3</v>
      </c>
      <c r="M547" s="2" t="s">
        <v>3</v>
      </c>
      <c r="N547" s="5">
        <f>IF(ISBLANK('Raw sheet'!L547),AVERAGE('Raw sheet'!$L$2:'Raw sheet'!$L$1500),'Raw sheet'!L547)</f>
        <v>2.7</v>
      </c>
      <c r="O547" s="5" t="str">
        <f>IF(Table1[[#This Row],[Stress_Index]]&gt;=8,"High",IF(N547&gt;=5,"Medium","Low"))</f>
        <v>Low</v>
      </c>
      <c r="P547" s="3">
        <v>3.67</v>
      </c>
      <c r="Q547" s="2">
        <v>3.41</v>
      </c>
      <c r="R547" s="3">
        <v>3.41</v>
      </c>
      <c r="S547" s="3" t="str">
        <f>IF(Table1[[#This Row],[CGPA]]&gt;=3,"High",IF(R546&gt;=2,"Medium","Low"))</f>
        <v>High</v>
      </c>
      <c r="T547" s="2" t="s">
        <v>10</v>
      </c>
      <c r="U547" s="2" t="s">
        <v>8</v>
      </c>
      <c r="V547" s="2" t="s">
        <v>15</v>
      </c>
      <c r="W547" s="7">
        <v>0</v>
      </c>
      <c r="X547" t="str">
        <f t="shared" si="17"/>
        <v>Active</v>
      </c>
    </row>
    <row r="548" spans="1:24" x14ac:dyDescent="0.3">
      <c r="A548" s="2">
        <v>547</v>
      </c>
      <c r="B548" s="7">
        <v>22.3</v>
      </c>
      <c r="C548" s="2" t="s">
        <v>5</v>
      </c>
      <c r="D548" s="7">
        <f>IF(ISBLANK('Raw sheet'!D548),AVERAGE('Raw sheet'!$D$2:'Raw sheet'!$D$1500),'Raw sheet'!D548)</f>
        <v>48465</v>
      </c>
      <c r="E548" s="7" t="str">
        <f>IF(Table1[[#This Row],[Family_Income]]&gt;=100000,"Upper",IF(D548&gt;=50000,"Middle","Lower"))</f>
        <v>Lower</v>
      </c>
      <c r="F548" s="2" t="s">
        <v>4</v>
      </c>
      <c r="G548" s="3">
        <f>IF(ISBLANK('Raw sheet'!F548),AVERAGE('Raw sheet'!$F$2:'Raw sheet'!$F$1500),'Raw sheet'!F548)</f>
        <v>1.51</v>
      </c>
      <c r="H548" s="18">
        <v>85.9</v>
      </c>
      <c r="I548" s="9" t="str">
        <f t="shared" si="16"/>
        <v>Good</v>
      </c>
      <c r="J548" s="2">
        <v>1</v>
      </c>
      <c r="K548" s="2">
        <v>25</v>
      </c>
      <c r="L548" s="2" t="s">
        <v>4</v>
      </c>
      <c r="M548" s="2" t="s">
        <v>4</v>
      </c>
      <c r="N548" s="5">
        <f>IF(ISBLANK('Raw sheet'!L548),AVERAGE('Raw sheet'!$L$2:'Raw sheet'!$L$1500),'Raw sheet'!L548)</f>
        <v>6.1</v>
      </c>
      <c r="O548" s="5" t="str">
        <f>IF(Table1[[#This Row],[Stress_Index]]&gt;=8,"High",IF(N548&gt;=5,"Medium","Low"))</f>
        <v>Medium</v>
      </c>
      <c r="P548" s="3">
        <v>1.61</v>
      </c>
      <c r="Q548" s="2">
        <v>1.36</v>
      </c>
      <c r="R548" s="3">
        <v>1.38</v>
      </c>
      <c r="S548" s="3" t="str">
        <f>IF(Table1[[#This Row],[CGPA]]&gt;=3,"High",IF(R547&gt;=2,"Medium","Low"))</f>
        <v>Medium</v>
      </c>
      <c r="T548" s="2" t="s">
        <v>10</v>
      </c>
      <c r="U548" s="2" t="s">
        <v>8</v>
      </c>
      <c r="V548" s="2" t="s">
        <v>15</v>
      </c>
      <c r="W548" s="7">
        <v>0</v>
      </c>
      <c r="X548" t="str">
        <f t="shared" si="17"/>
        <v>Active</v>
      </c>
    </row>
    <row r="549" spans="1:24" x14ac:dyDescent="0.3">
      <c r="A549" s="2">
        <v>548</v>
      </c>
      <c r="B549" s="7">
        <v>20.6</v>
      </c>
      <c r="C549" s="2" t="s">
        <v>5</v>
      </c>
      <c r="D549" s="7">
        <f>IF(ISBLANK('Raw sheet'!D549),AVERAGE('Raw sheet'!$D$2:'Raw sheet'!$D$1500),'Raw sheet'!D549)</f>
        <v>179570</v>
      </c>
      <c r="E549" s="7" t="str">
        <f>IF(Table1[[#This Row],[Family_Income]]&gt;=100000,"Upper",IF(D549&gt;=50000,"Middle","Lower"))</f>
        <v>Upper</v>
      </c>
      <c r="F549" s="2" t="s">
        <v>4</v>
      </c>
      <c r="G549" s="3">
        <f>IF(ISBLANK('Raw sheet'!F549),AVERAGE('Raw sheet'!$F$2:'Raw sheet'!$F$1500),'Raw sheet'!F549)</f>
        <v>5.33</v>
      </c>
      <c r="H549" s="18">
        <v>83.4</v>
      </c>
      <c r="I549" s="9" t="str">
        <f t="shared" si="16"/>
        <v>Good</v>
      </c>
      <c r="J549" s="2">
        <v>3</v>
      </c>
      <c r="K549" s="2">
        <v>55</v>
      </c>
      <c r="L549" s="2" t="s">
        <v>4</v>
      </c>
      <c r="M549" s="2" t="s">
        <v>3</v>
      </c>
      <c r="N549" s="5">
        <f>IF(ISBLANK('Raw sheet'!L549),AVERAGE('Raw sheet'!$L$2:'Raw sheet'!$L$1500),'Raw sheet'!L549)</f>
        <v>2.2999999999999998</v>
      </c>
      <c r="O549" s="5" t="str">
        <f>IF(Table1[[#This Row],[Stress_Index]]&gt;=8,"High",IF(N549&gt;=5,"Medium","Low"))</f>
        <v>Low</v>
      </c>
      <c r="P549" s="3">
        <v>4</v>
      </c>
      <c r="Q549" s="2">
        <v>4</v>
      </c>
      <c r="R549" s="3">
        <v>4</v>
      </c>
      <c r="S549" s="3" t="str">
        <f>IF(Table1[[#This Row],[CGPA]]&gt;=3,"High",IF(R548&gt;=2,"Medium","Low"))</f>
        <v>High</v>
      </c>
      <c r="T549" s="2" t="s">
        <v>7</v>
      </c>
      <c r="U549" s="2" t="s">
        <v>6</v>
      </c>
      <c r="V549" s="2" t="s">
        <v>15</v>
      </c>
      <c r="W549" s="7">
        <v>0</v>
      </c>
      <c r="X549" t="str">
        <f t="shared" si="17"/>
        <v>Active</v>
      </c>
    </row>
    <row r="550" spans="1:24" x14ac:dyDescent="0.3">
      <c r="A550" s="2">
        <v>549</v>
      </c>
      <c r="B550" s="7">
        <v>21.8</v>
      </c>
      <c r="C550" s="2" t="s">
        <v>5</v>
      </c>
      <c r="D550" s="7">
        <f>IF(ISBLANK('Raw sheet'!D550),AVERAGE('Raw sheet'!$D$2:'Raw sheet'!$D$1500),'Raw sheet'!D550)</f>
        <v>31669</v>
      </c>
      <c r="E550" s="7" t="str">
        <f>IF(Table1[[#This Row],[Family_Income]]&gt;=100000,"Upper",IF(D550&gt;=50000,"Middle","Lower"))</f>
        <v>Lower</v>
      </c>
      <c r="F550" s="2" t="s">
        <v>4</v>
      </c>
      <c r="G550" s="3">
        <f>IF(ISBLANK('Raw sheet'!F550),AVERAGE('Raw sheet'!$F$2:'Raw sheet'!$F$1500),'Raw sheet'!F550)</f>
        <v>5.56</v>
      </c>
      <c r="H550" s="18">
        <v>82.6</v>
      </c>
      <c r="I550" s="9" t="str">
        <f t="shared" si="16"/>
        <v>Good</v>
      </c>
      <c r="J550" s="2">
        <v>2</v>
      </c>
      <c r="K550" s="2">
        <v>30.8</v>
      </c>
      <c r="L550" s="2" t="s">
        <v>3</v>
      </c>
      <c r="M550" s="2" t="s">
        <v>4</v>
      </c>
      <c r="N550" s="5">
        <f>IF(ISBLANK('Raw sheet'!L550),AVERAGE('Raw sheet'!$L$2:'Raw sheet'!$L$1500),'Raw sheet'!L550)</f>
        <v>9.4</v>
      </c>
      <c r="O550" s="5" t="str">
        <f>IF(Table1[[#This Row],[Stress_Index]]&gt;=8,"High",IF(N550&gt;=5,"Medium","Low"))</f>
        <v>High</v>
      </c>
      <c r="P550" s="3">
        <v>1.32</v>
      </c>
      <c r="Q550" s="2">
        <v>1.5</v>
      </c>
      <c r="R550" s="3">
        <v>1.56</v>
      </c>
      <c r="S550" s="3" t="str">
        <f>IF(Table1[[#This Row],[CGPA]]&gt;=3,"High",IF(R549&gt;=2,"Medium","Low"))</f>
        <v>Medium</v>
      </c>
      <c r="T550" s="2" t="s">
        <v>12</v>
      </c>
      <c r="U550" s="2" t="s">
        <v>8</v>
      </c>
      <c r="V550" s="2" t="s">
        <v>16</v>
      </c>
      <c r="W550" s="7">
        <v>1</v>
      </c>
      <c r="X550" t="str">
        <f t="shared" si="17"/>
        <v>Dropped Out</v>
      </c>
    </row>
    <row r="551" spans="1:24" x14ac:dyDescent="0.3">
      <c r="A551" s="2">
        <v>550</v>
      </c>
      <c r="B551" s="7">
        <v>19.7</v>
      </c>
      <c r="C551" s="2" t="s">
        <v>11</v>
      </c>
      <c r="D551" s="7">
        <f>IF(ISBLANK('Raw sheet'!D551),AVERAGE('Raw sheet'!$D$2:'Raw sheet'!$D$1500),'Raw sheet'!D551)</f>
        <v>25000</v>
      </c>
      <c r="E551" s="7" t="str">
        <f>IF(Table1[[#This Row],[Family_Income]]&gt;=100000,"Upper",IF(D551&gt;=50000,"Middle","Lower"))</f>
        <v>Lower</v>
      </c>
      <c r="F551" s="2" t="s">
        <v>4</v>
      </c>
      <c r="G551" s="3">
        <f>IF(ISBLANK('Raw sheet'!F551),AVERAGE('Raw sheet'!$F$2:'Raw sheet'!$F$1500),'Raw sheet'!F551)</f>
        <v>4.78</v>
      </c>
      <c r="H551" s="18">
        <v>95.2</v>
      </c>
      <c r="I551" s="9" t="str">
        <f t="shared" si="16"/>
        <v>Good</v>
      </c>
      <c r="J551" s="2">
        <v>4</v>
      </c>
      <c r="K551" s="2">
        <v>27.2</v>
      </c>
      <c r="L551" s="2" t="s">
        <v>4</v>
      </c>
      <c r="M551" s="2" t="s">
        <v>4</v>
      </c>
      <c r="N551" s="5">
        <f>IF(ISBLANK('Raw sheet'!L551),AVERAGE('Raw sheet'!$L$2:'Raw sheet'!$L$1500),'Raw sheet'!L551)</f>
        <v>4.9000000000000004</v>
      </c>
      <c r="O551" s="5" t="str">
        <f>IF(Table1[[#This Row],[Stress_Index]]&gt;=8,"High",IF(N551&gt;=5,"Medium","Low"))</f>
        <v>Low</v>
      </c>
      <c r="P551" s="3">
        <v>3.41</v>
      </c>
      <c r="Q551" s="2">
        <v>3.68</v>
      </c>
      <c r="R551" s="3">
        <v>3.68</v>
      </c>
      <c r="S551" s="3" t="str">
        <f>IF(Table1[[#This Row],[CGPA]]&gt;=3,"High",IF(R550&gt;=2,"Medium","Low"))</f>
        <v>High</v>
      </c>
      <c r="T551" s="2" t="s">
        <v>2</v>
      </c>
      <c r="U551" s="2" t="s">
        <v>6</v>
      </c>
      <c r="V551" s="2" t="s">
        <v>17</v>
      </c>
      <c r="W551" s="7">
        <v>0</v>
      </c>
      <c r="X551" t="str">
        <f t="shared" si="17"/>
        <v>Active</v>
      </c>
    </row>
    <row r="552" spans="1:24" x14ac:dyDescent="0.3">
      <c r="A552" s="2">
        <v>551</v>
      </c>
      <c r="B552" s="7">
        <v>21.2</v>
      </c>
      <c r="C552" s="2" t="s">
        <v>11</v>
      </c>
      <c r="D552" s="7">
        <f>IF(ISBLANK('Raw sheet'!D552),AVERAGE('Raw sheet'!$D$2:'Raw sheet'!$D$1500),'Raw sheet'!D552)</f>
        <v>32973</v>
      </c>
      <c r="E552" s="7" t="str">
        <f>IF(Table1[[#This Row],[Family_Income]]&gt;=100000,"Upper",IF(D552&gt;=50000,"Middle","Lower"))</f>
        <v>Lower</v>
      </c>
      <c r="F552" s="2" t="s">
        <v>4</v>
      </c>
      <c r="G552" s="3">
        <f>IF(ISBLANK('Raw sheet'!F552),AVERAGE('Raw sheet'!$F$2:'Raw sheet'!$F$1500),'Raw sheet'!F552)</f>
        <v>4.8600000000000003</v>
      </c>
      <c r="H552" s="18">
        <v>86.2</v>
      </c>
      <c r="I552" s="9" t="str">
        <f t="shared" si="16"/>
        <v>Good</v>
      </c>
      <c r="J552" s="2">
        <v>1</v>
      </c>
      <c r="K552" s="2">
        <v>23.9</v>
      </c>
      <c r="L552" s="2" t="s">
        <v>4</v>
      </c>
      <c r="M552" s="2" t="s">
        <v>3</v>
      </c>
      <c r="N552" s="5">
        <f>IF(ISBLANK('Raw sheet'!L552),AVERAGE('Raw sheet'!$L$2:'Raw sheet'!$L$1500),'Raw sheet'!L552)</f>
        <v>5.4</v>
      </c>
      <c r="O552" s="5" t="str">
        <f>IF(Table1[[#This Row],[Stress_Index]]&gt;=8,"High",IF(N552&gt;=5,"Medium","Low"))</f>
        <v>Medium</v>
      </c>
      <c r="P552" s="3">
        <v>2.82</v>
      </c>
      <c r="Q552" s="2">
        <v>2.27</v>
      </c>
      <c r="R552" s="3">
        <v>2.3199999999999998</v>
      </c>
      <c r="S552" s="3" t="str">
        <f>IF(Table1[[#This Row],[CGPA]]&gt;=3,"High",IF(R551&gt;=2,"Medium","Low"))</f>
        <v>Medium</v>
      </c>
      <c r="T552" s="2" t="s">
        <v>10</v>
      </c>
      <c r="U552" s="2" t="s">
        <v>14</v>
      </c>
      <c r="V552" s="2" t="s">
        <v>0</v>
      </c>
      <c r="W552" s="7">
        <v>0</v>
      </c>
      <c r="X552" t="str">
        <f t="shared" si="17"/>
        <v>Active</v>
      </c>
    </row>
    <row r="553" spans="1:24" x14ac:dyDescent="0.3">
      <c r="A553" s="2">
        <v>552</v>
      </c>
      <c r="B553" s="7">
        <v>20.7</v>
      </c>
      <c r="C553" s="2" t="s">
        <v>5</v>
      </c>
      <c r="D553" s="7">
        <f>IF(ISBLANK('Raw sheet'!D553),AVERAGE('Raw sheet'!$D$2:'Raw sheet'!$D$1500),'Raw sheet'!D553)</f>
        <v>34473</v>
      </c>
      <c r="E553" s="7" t="str">
        <f>IF(Table1[[#This Row],[Family_Income]]&gt;=100000,"Upper",IF(D553&gt;=50000,"Middle","Lower"))</f>
        <v>Lower</v>
      </c>
      <c r="F553" s="2" t="s">
        <v>4</v>
      </c>
      <c r="G553" s="3">
        <f>IF(ISBLANK('Raw sheet'!F553),AVERAGE('Raw sheet'!$F$2:'Raw sheet'!$F$1500),'Raw sheet'!F553)</f>
        <v>3.71</v>
      </c>
      <c r="H553" s="18">
        <v>88.9</v>
      </c>
      <c r="I553" s="9" t="str">
        <f t="shared" si="16"/>
        <v>Good</v>
      </c>
      <c r="J553" s="2">
        <v>3</v>
      </c>
      <c r="K553" s="2">
        <v>35.1</v>
      </c>
      <c r="L553" s="2" t="s">
        <v>4</v>
      </c>
      <c r="M553" s="2" t="s">
        <v>4</v>
      </c>
      <c r="N553" s="5">
        <f>IF(ISBLANK('Raw sheet'!L553),AVERAGE('Raw sheet'!$L$2:'Raw sheet'!$L$1500),'Raw sheet'!L553)</f>
        <v>4.9000000000000004</v>
      </c>
      <c r="O553" s="5" t="str">
        <f>IF(Table1[[#This Row],[Stress_Index]]&gt;=8,"High",IF(N553&gt;=5,"Medium","Low"))</f>
        <v>Low</v>
      </c>
      <c r="P553" s="3">
        <v>0.38</v>
      </c>
      <c r="Q553" s="2">
        <v>0.68</v>
      </c>
      <c r="R553" s="3">
        <v>0.64</v>
      </c>
      <c r="S553" s="3" t="str">
        <f>IF(Table1[[#This Row],[CGPA]]&gt;=3,"High",IF(R552&gt;=2,"Medium","Low"))</f>
        <v>Medium</v>
      </c>
      <c r="T553" s="2" t="s">
        <v>12</v>
      </c>
      <c r="U553" s="2" t="s">
        <v>8</v>
      </c>
      <c r="V553" s="2" t="s">
        <v>15</v>
      </c>
      <c r="W553" s="7">
        <v>0</v>
      </c>
      <c r="X553" t="str">
        <f t="shared" si="17"/>
        <v>Active</v>
      </c>
    </row>
    <row r="554" spans="1:24" x14ac:dyDescent="0.3">
      <c r="A554" s="2">
        <v>553</v>
      </c>
      <c r="B554" s="7">
        <v>23.6</v>
      </c>
      <c r="C554" s="2" t="s">
        <v>5</v>
      </c>
      <c r="D554" s="7">
        <f>IF(ISBLANK('Raw sheet'!D554),AVERAGE('Raw sheet'!$D$2:'Raw sheet'!$D$1500),'Raw sheet'!D554)</f>
        <v>25000</v>
      </c>
      <c r="E554" s="7" t="str">
        <f>IF(Table1[[#This Row],[Family_Income]]&gt;=100000,"Upper",IF(D554&gt;=50000,"Middle","Lower"))</f>
        <v>Lower</v>
      </c>
      <c r="F554" s="2" t="s">
        <v>4</v>
      </c>
      <c r="G554" s="3">
        <f>IF(ISBLANK('Raw sheet'!F554),AVERAGE('Raw sheet'!$F$2:'Raw sheet'!$F$1500),'Raw sheet'!F554)</f>
        <v>2.44</v>
      </c>
      <c r="H554" s="18">
        <v>84.4</v>
      </c>
      <c r="I554" s="9" t="str">
        <f t="shared" si="16"/>
        <v>Good</v>
      </c>
      <c r="J554" s="2">
        <v>3</v>
      </c>
      <c r="K554" s="2">
        <v>40.700000000000003</v>
      </c>
      <c r="L554" s="2" t="s">
        <v>4</v>
      </c>
      <c r="M554" s="2" t="s">
        <v>4</v>
      </c>
      <c r="N554" s="5">
        <f>IF(ISBLANK('Raw sheet'!L554),AVERAGE('Raw sheet'!$L$2:'Raw sheet'!$L$1500),'Raw sheet'!L554)</f>
        <v>5.8</v>
      </c>
      <c r="O554" s="5" t="str">
        <f>IF(Table1[[#This Row],[Stress_Index]]&gt;=8,"High",IF(N554&gt;=5,"Medium","Low"))</f>
        <v>Medium</v>
      </c>
      <c r="P554" s="3">
        <v>3.03</v>
      </c>
      <c r="Q554" s="2">
        <v>3.13</v>
      </c>
      <c r="R554" s="3">
        <v>3.06</v>
      </c>
      <c r="S554" s="3" t="str">
        <f>IF(Table1[[#This Row],[CGPA]]&gt;=3,"High",IF(R553&gt;=2,"Medium","Low"))</f>
        <v>High</v>
      </c>
      <c r="T554" s="2" t="s">
        <v>12</v>
      </c>
      <c r="U554" s="2" t="s">
        <v>8</v>
      </c>
      <c r="V554" s="2" t="s">
        <v>9</v>
      </c>
      <c r="W554" s="7">
        <v>1</v>
      </c>
      <c r="X554" t="str">
        <f t="shared" si="17"/>
        <v>Dropped Out</v>
      </c>
    </row>
    <row r="555" spans="1:24" x14ac:dyDescent="0.3">
      <c r="A555" s="2">
        <v>554</v>
      </c>
      <c r="B555" s="7">
        <v>21.6</v>
      </c>
      <c r="C555" s="2" t="s">
        <v>11</v>
      </c>
      <c r="D555" s="7">
        <f>IF(ISBLANK('Raw sheet'!D555),AVERAGE('Raw sheet'!$D$2:'Raw sheet'!$D$1500),'Raw sheet'!D555)</f>
        <v>38753</v>
      </c>
      <c r="E555" s="7" t="str">
        <f>IF(Table1[[#This Row],[Family_Income]]&gt;=100000,"Upper",IF(D555&gt;=50000,"Middle","Lower"))</f>
        <v>Lower</v>
      </c>
      <c r="F555" s="2" t="s">
        <v>4</v>
      </c>
      <c r="G555" s="3">
        <f>IF(ISBLANK('Raw sheet'!F555),AVERAGE('Raw sheet'!$F$2:'Raw sheet'!$F$1500),'Raw sheet'!F555)</f>
        <v>4.2300000000000004</v>
      </c>
      <c r="H555" s="18">
        <v>86.3</v>
      </c>
      <c r="I555" s="9" t="str">
        <f t="shared" si="16"/>
        <v>Good</v>
      </c>
      <c r="J555" s="2">
        <v>3</v>
      </c>
      <c r="K555" s="2">
        <v>5</v>
      </c>
      <c r="L555" s="2" t="s">
        <v>3</v>
      </c>
      <c r="M555" s="2" t="s">
        <v>4</v>
      </c>
      <c r="N555" s="5">
        <f>IF(ISBLANK('Raw sheet'!L555),AVERAGE('Raw sheet'!$L$2:'Raw sheet'!$L$1500),'Raw sheet'!L555)</f>
        <v>6.1</v>
      </c>
      <c r="O555" s="5" t="str">
        <f>IF(Table1[[#This Row],[Stress_Index]]&gt;=8,"High",IF(N555&gt;=5,"Medium","Low"))</f>
        <v>Medium</v>
      </c>
      <c r="P555" s="3">
        <v>3.19</v>
      </c>
      <c r="Q555" s="2">
        <v>3.02</v>
      </c>
      <c r="R555" s="3">
        <v>3.04</v>
      </c>
      <c r="S555" s="3" t="str">
        <f>IF(Table1[[#This Row],[CGPA]]&gt;=3,"High",IF(R554&gt;=2,"Medium","Low"))</f>
        <v>High</v>
      </c>
      <c r="T555" s="2" t="s">
        <v>12</v>
      </c>
      <c r="U555" s="2" t="s">
        <v>13</v>
      </c>
      <c r="V555" s="2" t="s">
        <v>15</v>
      </c>
      <c r="W555" s="7">
        <v>0</v>
      </c>
      <c r="X555" t="str">
        <f t="shared" si="17"/>
        <v>Active</v>
      </c>
    </row>
    <row r="556" spans="1:24" x14ac:dyDescent="0.3">
      <c r="A556" s="2">
        <v>555</v>
      </c>
      <c r="B556" s="7">
        <v>21.7</v>
      </c>
      <c r="C556" s="2" t="s">
        <v>11</v>
      </c>
      <c r="D556" s="7">
        <f>IF(ISBLANK('Raw sheet'!D556),AVERAGE('Raw sheet'!$D$2:'Raw sheet'!$D$1500),'Raw sheet'!D556)</f>
        <v>25000</v>
      </c>
      <c r="E556" s="7" t="str">
        <f>IF(Table1[[#This Row],[Family_Income]]&gt;=100000,"Upper",IF(D556&gt;=50000,"Middle","Lower"))</f>
        <v>Lower</v>
      </c>
      <c r="F556" s="2" t="s">
        <v>4</v>
      </c>
      <c r="G556" s="3">
        <f>IF(ISBLANK('Raw sheet'!F556),AVERAGE('Raw sheet'!$F$2:'Raw sheet'!$F$1500),'Raw sheet'!F556)</f>
        <v>6.01</v>
      </c>
      <c r="H556" s="18">
        <v>79.8</v>
      </c>
      <c r="I556" s="9" t="str">
        <f t="shared" si="16"/>
        <v>Good</v>
      </c>
      <c r="J556" s="2">
        <v>1</v>
      </c>
      <c r="K556" s="2">
        <v>30.1</v>
      </c>
      <c r="L556" s="2" t="s">
        <v>3</v>
      </c>
      <c r="M556" s="2" t="s">
        <v>3</v>
      </c>
      <c r="N556" s="5">
        <f>IF(ISBLANK('Raw sheet'!L556),AVERAGE('Raw sheet'!$L$2:'Raw sheet'!$L$1500),'Raw sheet'!L556)</f>
        <v>4</v>
      </c>
      <c r="O556" s="5" t="str">
        <f>IF(Table1[[#This Row],[Stress_Index]]&gt;=8,"High",IF(N556&gt;=5,"Medium","Low"))</f>
        <v>Low</v>
      </c>
      <c r="P556" s="3">
        <v>3.96</v>
      </c>
      <c r="Q556" s="2">
        <v>3.89</v>
      </c>
      <c r="R556" s="3">
        <v>3.89</v>
      </c>
      <c r="S556" s="3" t="str">
        <f>IF(Table1[[#This Row],[CGPA]]&gt;=3,"High",IF(R555&gt;=2,"Medium","Low"))</f>
        <v>High</v>
      </c>
      <c r="T556" s="2" t="s">
        <v>2</v>
      </c>
      <c r="U556" s="2" t="s">
        <v>8</v>
      </c>
      <c r="V556" s="2" t="s">
        <v>15</v>
      </c>
      <c r="W556" s="7">
        <v>0</v>
      </c>
      <c r="X556" t="str">
        <f t="shared" si="17"/>
        <v>Active</v>
      </c>
    </row>
    <row r="557" spans="1:24" x14ac:dyDescent="0.3">
      <c r="A557" s="2">
        <v>556</v>
      </c>
      <c r="B557" s="7">
        <v>20.100000000000001</v>
      </c>
      <c r="C557" s="2" t="s">
        <v>11</v>
      </c>
      <c r="D557" s="7">
        <f>IF(ISBLANK('Raw sheet'!D557),AVERAGE('Raw sheet'!$D$2:'Raw sheet'!$D$1500),'Raw sheet'!D557)</f>
        <v>25000</v>
      </c>
      <c r="E557" s="7" t="str">
        <f>IF(Table1[[#This Row],[Family_Income]]&gt;=100000,"Upper",IF(D557&gt;=50000,"Middle","Lower"))</f>
        <v>Lower</v>
      </c>
      <c r="F557" s="2" t="s">
        <v>4</v>
      </c>
      <c r="G557" s="3">
        <f>IF(ISBLANK('Raw sheet'!F557),AVERAGE('Raw sheet'!$F$2:'Raw sheet'!$F$1500),'Raw sheet'!F557)</f>
        <v>4.3499999999999996</v>
      </c>
      <c r="H557" s="18">
        <v>83.4</v>
      </c>
      <c r="I557" s="9" t="str">
        <f t="shared" si="16"/>
        <v>Good</v>
      </c>
      <c r="J557" s="2">
        <v>1</v>
      </c>
      <c r="K557" s="2">
        <v>6.1</v>
      </c>
      <c r="L557" s="2" t="s">
        <v>3</v>
      </c>
      <c r="M557" s="2" t="s">
        <v>3</v>
      </c>
      <c r="N557" s="5">
        <f>IF(ISBLANK('Raw sheet'!L557),AVERAGE('Raw sheet'!$L$2:'Raw sheet'!$L$1500),'Raw sheet'!L557)</f>
        <v>1</v>
      </c>
      <c r="O557" s="5" t="str">
        <f>IF(Table1[[#This Row],[Stress_Index]]&gt;=8,"High",IF(N557&gt;=5,"Medium","Low"))</f>
        <v>Low</v>
      </c>
      <c r="P557" s="3">
        <v>3.43</v>
      </c>
      <c r="Q557" s="2">
        <v>4</v>
      </c>
      <c r="R557" s="3">
        <v>4</v>
      </c>
      <c r="S557" s="3" t="str">
        <f>IF(Table1[[#This Row],[CGPA]]&gt;=3,"High",IF(R556&gt;=2,"Medium","Low"))</f>
        <v>High</v>
      </c>
      <c r="T557" s="2" t="s">
        <v>12</v>
      </c>
      <c r="U557" s="2" t="s">
        <v>8</v>
      </c>
      <c r="V557" s="2" t="s">
        <v>0</v>
      </c>
      <c r="W557" s="7">
        <v>0</v>
      </c>
      <c r="X557" t="str">
        <f t="shared" si="17"/>
        <v>Active</v>
      </c>
    </row>
    <row r="558" spans="1:24" x14ac:dyDescent="0.3">
      <c r="A558" s="2">
        <v>557</v>
      </c>
      <c r="B558" s="7">
        <v>19.899999999999999</v>
      </c>
      <c r="C558" s="2" t="s">
        <v>5</v>
      </c>
      <c r="D558" s="7">
        <f>IF(ISBLANK('Raw sheet'!D558),AVERAGE('Raw sheet'!$D$2:'Raw sheet'!$D$1500),'Raw sheet'!D558)</f>
        <v>46861</v>
      </c>
      <c r="E558" s="7" t="str">
        <f>IF(Table1[[#This Row],[Family_Income]]&gt;=100000,"Upper",IF(D558&gt;=50000,"Middle","Lower"))</f>
        <v>Lower</v>
      </c>
      <c r="F558" s="2" t="s">
        <v>3</v>
      </c>
      <c r="G558" s="3">
        <f>IF(ISBLANK('Raw sheet'!F558),AVERAGE('Raw sheet'!$F$2:'Raw sheet'!$F$1500),'Raw sheet'!F558)</f>
        <v>6.16</v>
      </c>
      <c r="H558" s="18">
        <v>76.5</v>
      </c>
      <c r="I558" s="9" t="str">
        <f t="shared" si="16"/>
        <v>Good</v>
      </c>
      <c r="J558" s="2">
        <v>1</v>
      </c>
      <c r="K558" s="2">
        <v>41.8</v>
      </c>
      <c r="L558" s="2" t="s">
        <v>3</v>
      </c>
      <c r="M558" s="2" t="s">
        <v>3</v>
      </c>
      <c r="N558" s="5">
        <f>IF(ISBLANK('Raw sheet'!L558),AVERAGE('Raw sheet'!$L$2:'Raw sheet'!$L$1500),'Raw sheet'!L558)</f>
        <v>3.5</v>
      </c>
      <c r="O558" s="5" t="str">
        <f>IF(Table1[[#This Row],[Stress_Index]]&gt;=8,"High",IF(N558&gt;=5,"Medium","Low"))</f>
        <v>Low</v>
      </c>
      <c r="P558" s="3">
        <v>4</v>
      </c>
      <c r="Q558" s="2">
        <v>3.14</v>
      </c>
      <c r="R558" s="3">
        <v>3.14</v>
      </c>
      <c r="S558" s="3" t="str">
        <f>IF(Table1[[#This Row],[CGPA]]&gt;=3,"High",IF(R557&gt;=2,"Medium","Low"))</f>
        <v>High</v>
      </c>
      <c r="T558" s="2" t="s">
        <v>10</v>
      </c>
      <c r="U558" s="2" t="s">
        <v>13</v>
      </c>
      <c r="V558" s="2" t="s">
        <v>15</v>
      </c>
      <c r="W558" s="7">
        <v>0</v>
      </c>
      <c r="X558" t="str">
        <f t="shared" si="17"/>
        <v>Active</v>
      </c>
    </row>
    <row r="559" spans="1:24" x14ac:dyDescent="0.3">
      <c r="A559" s="2">
        <v>558</v>
      </c>
      <c r="B559" s="7">
        <v>20</v>
      </c>
      <c r="C559" s="2" t="s">
        <v>5</v>
      </c>
      <c r="D559" s="7">
        <f>IF(ISBLANK('Raw sheet'!D559),AVERAGE('Raw sheet'!$D$2:'Raw sheet'!$D$1500),'Raw sheet'!D559)</f>
        <v>25000</v>
      </c>
      <c r="E559" s="7" t="str">
        <f>IF(Table1[[#This Row],[Family_Income]]&gt;=100000,"Upper",IF(D559&gt;=50000,"Middle","Lower"))</f>
        <v>Lower</v>
      </c>
      <c r="F559" s="2" t="s">
        <v>4</v>
      </c>
      <c r="G559" s="3">
        <f>IF(ISBLANK('Raw sheet'!F559),AVERAGE('Raw sheet'!$F$2:'Raw sheet'!$F$1500),'Raw sheet'!F559)</f>
        <v>6.22</v>
      </c>
      <c r="H559" s="18">
        <v>77.900000000000006</v>
      </c>
      <c r="I559" s="9" t="str">
        <f t="shared" si="16"/>
        <v>Good</v>
      </c>
      <c r="J559" s="2">
        <v>2</v>
      </c>
      <c r="K559" s="2">
        <v>42</v>
      </c>
      <c r="L559" s="2" t="s">
        <v>3</v>
      </c>
      <c r="M559" s="2" t="s">
        <v>4</v>
      </c>
      <c r="N559" s="5">
        <f>IF(ISBLANK('Raw sheet'!L559),AVERAGE('Raw sheet'!$L$2:'Raw sheet'!$L$1500),'Raw sheet'!L559)</f>
        <v>4.5999999999999996</v>
      </c>
      <c r="O559" s="5" t="str">
        <f>IF(Table1[[#This Row],[Stress_Index]]&gt;=8,"High",IF(N559&gt;=5,"Medium","Low"))</f>
        <v>Low</v>
      </c>
      <c r="P559" s="3">
        <v>4</v>
      </c>
      <c r="Q559" s="2">
        <v>4</v>
      </c>
      <c r="R559" s="3">
        <v>4</v>
      </c>
      <c r="S559" s="3" t="str">
        <f>IF(Table1[[#This Row],[CGPA]]&gt;=3,"High",IF(R558&gt;=2,"Medium","Low"))</f>
        <v>High</v>
      </c>
      <c r="T559" s="2" t="s">
        <v>12</v>
      </c>
      <c r="U559" s="2" t="s">
        <v>1</v>
      </c>
      <c r="V559" s="2" t="s">
        <v>9</v>
      </c>
      <c r="W559" s="7">
        <v>0</v>
      </c>
      <c r="X559" t="str">
        <f t="shared" si="17"/>
        <v>Active</v>
      </c>
    </row>
    <row r="560" spans="1:24" x14ac:dyDescent="0.3">
      <c r="A560" s="2">
        <v>559</v>
      </c>
      <c r="B560" s="7">
        <v>21.9</v>
      </c>
      <c r="C560" s="2" t="s">
        <v>5</v>
      </c>
      <c r="D560" s="7">
        <f>IF(ISBLANK('Raw sheet'!D560),AVERAGE('Raw sheet'!$D$2:'Raw sheet'!$D$1500),'Raw sheet'!D560)</f>
        <v>51118</v>
      </c>
      <c r="E560" s="7" t="str">
        <f>IF(Table1[[#This Row],[Family_Income]]&gt;=100000,"Upper",IF(D560&gt;=50000,"Middle","Lower"))</f>
        <v>Middle</v>
      </c>
      <c r="F560" s="2" t="s">
        <v>4</v>
      </c>
      <c r="G560" s="3">
        <f>IF(ISBLANK('Raw sheet'!F560),AVERAGE('Raw sheet'!$F$2:'Raw sheet'!$F$1500),'Raw sheet'!F560)</f>
        <v>3.95</v>
      </c>
      <c r="H560" s="18">
        <v>85.9</v>
      </c>
      <c r="I560" s="9" t="str">
        <f t="shared" si="16"/>
        <v>Good</v>
      </c>
      <c r="J560" s="2">
        <v>1</v>
      </c>
      <c r="K560" s="2">
        <v>30.5</v>
      </c>
      <c r="L560" s="2" t="s">
        <v>4</v>
      </c>
      <c r="M560" s="2" t="s">
        <v>3</v>
      </c>
      <c r="N560" s="5">
        <f>IF(ISBLANK('Raw sheet'!L560),AVERAGE('Raw sheet'!$L$2:'Raw sheet'!$L$1500),'Raw sheet'!L560)</f>
        <v>6</v>
      </c>
      <c r="O560" s="5" t="str">
        <f>IF(Table1[[#This Row],[Stress_Index]]&gt;=8,"High",IF(N560&gt;=5,"Medium","Low"))</f>
        <v>Medium</v>
      </c>
      <c r="P560" s="3">
        <v>3.13</v>
      </c>
      <c r="Q560" s="2">
        <v>3.28</v>
      </c>
      <c r="R560" s="3">
        <v>3.34</v>
      </c>
      <c r="S560" s="3" t="str">
        <f>IF(Table1[[#This Row],[CGPA]]&gt;=3,"High",IF(R559&gt;=2,"Medium","Low"))</f>
        <v>High</v>
      </c>
      <c r="T560" s="2" t="s">
        <v>12</v>
      </c>
      <c r="U560" s="2" t="s">
        <v>1</v>
      </c>
      <c r="V560" s="2" t="s">
        <v>9</v>
      </c>
      <c r="W560" s="7">
        <v>0</v>
      </c>
      <c r="X560" t="str">
        <f t="shared" si="17"/>
        <v>Active</v>
      </c>
    </row>
    <row r="561" spans="1:24" x14ac:dyDescent="0.3">
      <c r="A561" s="2">
        <v>560</v>
      </c>
      <c r="B561" s="7">
        <v>20.100000000000001</v>
      </c>
      <c r="C561" s="2" t="s">
        <v>11</v>
      </c>
      <c r="D561" s="7">
        <f>IF(ISBLANK('Raw sheet'!D561),AVERAGE('Raw sheet'!$D$2:'Raw sheet'!$D$1500),'Raw sheet'!D561)</f>
        <v>25000</v>
      </c>
      <c r="E561" s="7" t="str">
        <f>IF(Table1[[#This Row],[Family_Income]]&gt;=100000,"Upper",IF(D561&gt;=50000,"Middle","Lower"))</f>
        <v>Lower</v>
      </c>
      <c r="F561" s="2" t="s">
        <v>4</v>
      </c>
      <c r="G561" s="3">
        <f>IF(ISBLANK('Raw sheet'!F561),AVERAGE('Raw sheet'!$F$2:'Raw sheet'!$F$1500),'Raw sheet'!F561)</f>
        <v>3.4</v>
      </c>
      <c r="H561" s="18">
        <v>76.400000000000006</v>
      </c>
      <c r="I561" s="9" t="str">
        <f t="shared" si="16"/>
        <v>Good</v>
      </c>
      <c r="J561" s="2">
        <v>2</v>
      </c>
      <c r="K561" s="2">
        <v>32.5</v>
      </c>
      <c r="L561" s="2" t="s">
        <v>3</v>
      </c>
      <c r="M561" s="2" t="s">
        <v>3</v>
      </c>
      <c r="N561" s="5">
        <f>IF(ISBLANK('Raw sheet'!L561),AVERAGE('Raw sheet'!$L$2:'Raw sheet'!$L$1500),'Raw sheet'!L561)</f>
        <v>5.8</v>
      </c>
      <c r="O561" s="5" t="str">
        <f>IF(Table1[[#This Row],[Stress_Index]]&gt;=8,"High",IF(N561&gt;=5,"Medium","Low"))</f>
        <v>Medium</v>
      </c>
      <c r="P561" s="3">
        <v>1.44</v>
      </c>
      <c r="Q561" s="2">
        <v>1.7</v>
      </c>
      <c r="R561" s="3">
        <v>1.7</v>
      </c>
      <c r="S561" s="3" t="str">
        <f>IF(Table1[[#This Row],[CGPA]]&gt;=3,"High",IF(R560&gt;=2,"Medium","Low"))</f>
        <v>Medium</v>
      </c>
      <c r="T561" s="2" t="s">
        <v>2</v>
      </c>
      <c r="U561" s="2" t="s">
        <v>1</v>
      </c>
      <c r="V561" s="2" t="s">
        <v>15</v>
      </c>
      <c r="W561" s="7">
        <v>0</v>
      </c>
      <c r="X561" t="str">
        <f t="shared" si="17"/>
        <v>Active</v>
      </c>
    </row>
    <row r="562" spans="1:24" x14ac:dyDescent="0.3">
      <c r="A562" s="2">
        <v>561</v>
      </c>
      <c r="B562" s="7">
        <v>21.6</v>
      </c>
      <c r="C562" s="2" t="s">
        <v>5</v>
      </c>
      <c r="D562" s="7">
        <f>IF(ISBLANK('Raw sheet'!D562),AVERAGE('Raw sheet'!$D$2:'Raw sheet'!$D$1500),'Raw sheet'!D562)</f>
        <v>25000</v>
      </c>
      <c r="E562" s="7" t="str">
        <f>IF(Table1[[#This Row],[Family_Income]]&gt;=100000,"Upper",IF(D562&gt;=50000,"Middle","Lower"))</f>
        <v>Lower</v>
      </c>
      <c r="F562" s="2" t="s">
        <v>4</v>
      </c>
      <c r="G562" s="3">
        <f>IF(ISBLANK('Raw sheet'!F562),AVERAGE('Raw sheet'!$F$2:'Raw sheet'!$F$1500),'Raw sheet'!F562)</f>
        <v>3.44</v>
      </c>
      <c r="H562" s="18">
        <v>83</v>
      </c>
      <c r="I562" s="9" t="str">
        <f t="shared" si="16"/>
        <v>Good</v>
      </c>
      <c r="J562" s="2">
        <v>2</v>
      </c>
      <c r="K562" s="2">
        <v>12.8</v>
      </c>
      <c r="L562" s="2" t="s">
        <v>3</v>
      </c>
      <c r="M562" s="2" t="s">
        <v>3</v>
      </c>
      <c r="N562" s="5">
        <f>IF(ISBLANK('Raw sheet'!L562),AVERAGE('Raw sheet'!$L$2:'Raw sheet'!$L$1500),'Raw sheet'!L562)</f>
        <v>6.9</v>
      </c>
      <c r="O562" s="5" t="str">
        <f>IF(Table1[[#This Row],[Stress_Index]]&gt;=8,"High",IF(N562&gt;=5,"Medium","Low"))</f>
        <v>Medium</v>
      </c>
      <c r="P562" s="3">
        <v>0.94</v>
      </c>
      <c r="Q562" s="2">
        <v>0.84</v>
      </c>
      <c r="R562" s="3">
        <v>0.84</v>
      </c>
      <c r="S562" s="3" t="str">
        <f>IF(Table1[[#This Row],[CGPA]]&gt;=3,"High",IF(R561&gt;=2,"Medium","Low"))</f>
        <v>Low</v>
      </c>
      <c r="T562" s="2" t="s">
        <v>2</v>
      </c>
      <c r="U562" s="2" t="s">
        <v>8</v>
      </c>
      <c r="V562" s="2" t="s">
        <v>9</v>
      </c>
      <c r="W562" s="7">
        <v>1</v>
      </c>
      <c r="X562" t="str">
        <f t="shared" si="17"/>
        <v>Dropped Out</v>
      </c>
    </row>
    <row r="563" spans="1:24" x14ac:dyDescent="0.3">
      <c r="A563" s="2">
        <v>562</v>
      </c>
      <c r="B563" s="7">
        <v>25.6</v>
      </c>
      <c r="C563" s="2" t="s">
        <v>5</v>
      </c>
      <c r="D563" s="7">
        <f>IF(ISBLANK('Raw sheet'!D563),AVERAGE('Raw sheet'!$D$2:'Raw sheet'!$D$1500),'Raw sheet'!D563)</f>
        <v>25000</v>
      </c>
      <c r="E563" s="7" t="str">
        <f>IF(Table1[[#This Row],[Family_Income]]&gt;=100000,"Upper",IF(D563&gt;=50000,"Middle","Lower"))</f>
        <v>Lower</v>
      </c>
      <c r="F563" s="2" t="s">
        <v>4</v>
      </c>
      <c r="G563" s="3">
        <f>IF(ISBLANK('Raw sheet'!F563),AVERAGE('Raw sheet'!$F$2:'Raw sheet'!$F$1500),'Raw sheet'!F563)</f>
        <v>3.84</v>
      </c>
      <c r="H563" s="18">
        <v>79.099999999999994</v>
      </c>
      <c r="I563" s="9" t="str">
        <f t="shared" si="16"/>
        <v>Good</v>
      </c>
      <c r="J563" s="2">
        <v>0</v>
      </c>
      <c r="K563" s="2">
        <v>23.4</v>
      </c>
      <c r="L563" s="2" t="s">
        <v>4</v>
      </c>
      <c r="M563" s="2" t="s">
        <v>3</v>
      </c>
      <c r="N563" s="5">
        <f>IF(ISBLANK('Raw sheet'!L563),AVERAGE('Raw sheet'!$L$2:'Raw sheet'!$L$1500),'Raw sheet'!L563)</f>
        <v>2.5</v>
      </c>
      <c r="O563" s="5" t="str">
        <f>IF(Table1[[#This Row],[Stress_Index]]&gt;=8,"High",IF(N563&gt;=5,"Medium","Low"))</f>
        <v>Low</v>
      </c>
      <c r="P563" s="3">
        <v>4</v>
      </c>
      <c r="Q563" s="2">
        <v>4</v>
      </c>
      <c r="R563" s="3">
        <v>4</v>
      </c>
      <c r="S563" s="3" t="str">
        <f>IF(Table1[[#This Row],[CGPA]]&gt;=3,"High",IF(R562&gt;=2,"Medium","Low"))</f>
        <v>High</v>
      </c>
      <c r="T563" s="2" t="s">
        <v>12</v>
      </c>
      <c r="U563" s="2" t="s">
        <v>8</v>
      </c>
      <c r="V563" s="2" t="s">
        <v>16</v>
      </c>
      <c r="W563" s="7">
        <v>0</v>
      </c>
      <c r="X563" t="str">
        <f t="shared" si="17"/>
        <v>Active</v>
      </c>
    </row>
    <row r="564" spans="1:24" x14ac:dyDescent="0.3">
      <c r="A564" s="2">
        <v>563</v>
      </c>
      <c r="B564" s="7">
        <v>22.9</v>
      </c>
      <c r="C564" s="2" t="s">
        <v>5</v>
      </c>
      <c r="D564" s="7">
        <f>IF(ISBLANK('Raw sheet'!D564),AVERAGE('Raw sheet'!$D$2:'Raw sheet'!$D$1500),'Raw sheet'!D564)</f>
        <v>35317</v>
      </c>
      <c r="E564" s="7" t="str">
        <f>IF(Table1[[#This Row],[Family_Income]]&gt;=100000,"Upper",IF(D564&gt;=50000,"Middle","Lower"))</f>
        <v>Lower</v>
      </c>
      <c r="F564" s="2" t="s">
        <v>4</v>
      </c>
      <c r="G564" s="3">
        <f>IF(ISBLANK('Raw sheet'!F564),AVERAGE('Raw sheet'!$F$2:'Raw sheet'!$F$1500),'Raw sheet'!F564)</f>
        <v>2.73</v>
      </c>
      <c r="H564" s="18">
        <v>73</v>
      </c>
      <c r="I564" s="9" t="str">
        <f t="shared" si="16"/>
        <v>Low</v>
      </c>
      <c r="J564" s="2">
        <v>3</v>
      </c>
      <c r="K564" s="2">
        <v>22.7</v>
      </c>
      <c r="L564" s="2" t="s">
        <v>3</v>
      </c>
      <c r="M564" s="2" t="s">
        <v>3</v>
      </c>
      <c r="N564" s="5">
        <f>IF(ISBLANK('Raw sheet'!L564),AVERAGE('Raw sheet'!$L$2:'Raw sheet'!$L$1500),'Raw sheet'!L564)</f>
        <v>3.9</v>
      </c>
      <c r="O564" s="5" t="str">
        <f>IF(Table1[[#This Row],[Stress_Index]]&gt;=8,"High",IF(N564&gt;=5,"Medium","Low"))</f>
        <v>Low</v>
      </c>
      <c r="P564" s="3">
        <v>1.9</v>
      </c>
      <c r="Q564" s="2">
        <v>1.86</v>
      </c>
      <c r="R564" s="3">
        <v>1.83</v>
      </c>
      <c r="S564" s="3" t="str">
        <f>IF(Table1[[#This Row],[CGPA]]&gt;=3,"High",IF(R563&gt;=2,"Medium","Low"))</f>
        <v>Medium</v>
      </c>
      <c r="T564" s="2" t="s">
        <v>7</v>
      </c>
      <c r="U564" s="2" t="s">
        <v>8</v>
      </c>
      <c r="V564" s="2" t="s">
        <v>9</v>
      </c>
      <c r="W564" s="7">
        <v>1</v>
      </c>
      <c r="X564" t="str">
        <f t="shared" si="17"/>
        <v>Dropped Out</v>
      </c>
    </row>
    <row r="565" spans="1:24" x14ac:dyDescent="0.3">
      <c r="A565" s="2">
        <v>564</v>
      </c>
      <c r="B565" s="7">
        <v>20.3</v>
      </c>
      <c r="C565" s="2" t="s">
        <v>5</v>
      </c>
      <c r="D565" s="7">
        <f>IF(ISBLANK('Raw sheet'!D565),AVERAGE('Raw sheet'!$D$2:'Raw sheet'!$D$1500),'Raw sheet'!D565)</f>
        <v>65852</v>
      </c>
      <c r="E565" s="7" t="str">
        <f>IF(Table1[[#This Row],[Family_Income]]&gt;=100000,"Upper",IF(D565&gt;=50000,"Middle","Lower"))</f>
        <v>Middle</v>
      </c>
      <c r="F565" s="2" t="s">
        <v>4</v>
      </c>
      <c r="G565" s="3">
        <f>IF(ISBLANK('Raw sheet'!F565),AVERAGE('Raw sheet'!$F$2:'Raw sheet'!$F$1500),'Raw sheet'!F565)</f>
        <v>4.72</v>
      </c>
      <c r="H565" s="18">
        <v>83.8</v>
      </c>
      <c r="I565" s="9" t="str">
        <f t="shared" si="16"/>
        <v>Good</v>
      </c>
      <c r="J565" s="2">
        <v>1</v>
      </c>
      <c r="K565" s="2">
        <v>24.6</v>
      </c>
      <c r="L565" s="2" t="s">
        <v>3</v>
      </c>
      <c r="M565" s="2" t="s">
        <v>4</v>
      </c>
      <c r="N565" s="5">
        <f>IF(ISBLANK('Raw sheet'!L565),AVERAGE('Raw sheet'!$L$2:'Raw sheet'!$L$1500),'Raw sheet'!L565)</f>
        <v>4.7</v>
      </c>
      <c r="O565" s="5" t="str">
        <f>IF(Table1[[#This Row],[Stress_Index]]&gt;=8,"High",IF(N565&gt;=5,"Medium","Low"))</f>
        <v>Low</v>
      </c>
      <c r="P565" s="3">
        <v>4</v>
      </c>
      <c r="Q565" s="2">
        <v>4</v>
      </c>
      <c r="R565" s="3">
        <v>4</v>
      </c>
      <c r="S565" s="3" t="str">
        <f>IF(Table1[[#This Row],[CGPA]]&gt;=3,"High",IF(R564&gt;=2,"Medium","Low"))</f>
        <v>High</v>
      </c>
      <c r="T565" s="2" t="s">
        <v>7</v>
      </c>
      <c r="U565" s="2" t="s">
        <v>14</v>
      </c>
      <c r="V565" s="2" t="s">
        <v>0</v>
      </c>
      <c r="W565" s="7">
        <v>0</v>
      </c>
      <c r="X565" t="str">
        <f t="shared" si="17"/>
        <v>Active</v>
      </c>
    </row>
    <row r="566" spans="1:24" x14ac:dyDescent="0.3">
      <c r="A566" s="2">
        <v>565</v>
      </c>
      <c r="B566" s="7">
        <v>23.6</v>
      </c>
      <c r="C566" s="2" t="s">
        <v>11</v>
      </c>
      <c r="D566" s="7">
        <f>IF(ISBLANK('Raw sheet'!D566),AVERAGE('Raw sheet'!$D$2:'Raw sheet'!$D$1500),'Raw sheet'!D566)</f>
        <v>30779</v>
      </c>
      <c r="E566" s="7" t="str">
        <f>IF(Table1[[#This Row],[Family_Income]]&gt;=100000,"Upper",IF(D566&gt;=50000,"Middle","Lower"))</f>
        <v>Lower</v>
      </c>
      <c r="F566" s="2" t="s">
        <v>4</v>
      </c>
      <c r="G566" s="3">
        <f>IF(ISBLANK('Raw sheet'!F566),AVERAGE('Raw sheet'!$F$2:'Raw sheet'!$F$1500),'Raw sheet'!F566)</f>
        <v>5.24</v>
      </c>
      <c r="H566" s="18">
        <v>88.2</v>
      </c>
      <c r="I566" s="9" t="str">
        <f t="shared" si="16"/>
        <v>Good</v>
      </c>
      <c r="J566" s="2">
        <v>4</v>
      </c>
      <c r="K566" s="2">
        <v>40.5</v>
      </c>
      <c r="L566" s="2" t="s">
        <v>3</v>
      </c>
      <c r="M566" s="2" t="s">
        <v>4</v>
      </c>
      <c r="N566" s="5">
        <f>IF(ISBLANK('Raw sheet'!L566),AVERAGE('Raw sheet'!$L$2:'Raw sheet'!$L$1500),'Raw sheet'!L566)</f>
        <v>8.1999999999999993</v>
      </c>
      <c r="O566" s="5" t="str">
        <f>IF(Table1[[#This Row],[Stress_Index]]&gt;=8,"High",IF(N566&gt;=5,"Medium","Low"))</f>
        <v>High</v>
      </c>
      <c r="P566" s="3">
        <v>0.67</v>
      </c>
      <c r="Q566" s="2">
        <v>0.6</v>
      </c>
      <c r="R566" s="3">
        <v>0.56000000000000005</v>
      </c>
      <c r="S566" s="3" t="str">
        <f>IF(Table1[[#This Row],[CGPA]]&gt;=3,"High",IF(R565&gt;=2,"Medium","Low"))</f>
        <v>Medium</v>
      </c>
      <c r="T566" s="2" t="s">
        <v>7</v>
      </c>
      <c r="U566" s="2" t="s">
        <v>6</v>
      </c>
      <c r="V566" s="2" t="s">
        <v>0</v>
      </c>
      <c r="W566" s="7">
        <v>1</v>
      </c>
      <c r="X566" t="str">
        <f t="shared" si="17"/>
        <v>Dropped Out</v>
      </c>
    </row>
    <row r="567" spans="1:24" x14ac:dyDescent="0.3">
      <c r="A567" s="2">
        <v>566</v>
      </c>
      <c r="B567" s="7">
        <v>20.100000000000001</v>
      </c>
      <c r="C567" s="2" t="s">
        <v>5</v>
      </c>
      <c r="D567" s="7">
        <f>IF(ISBLANK('Raw sheet'!D567),AVERAGE('Raw sheet'!$D$2:'Raw sheet'!$D$1500),'Raw sheet'!D567)</f>
        <v>25644</v>
      </c>
      <c r="E567" s="7" t="str">
        <f>IF(Table1[[#This Row],[Family_Income]]&gt;=100000,"Upper",IF(D567&gt;=50000,"Middle","Lower"))</f>
        <v>Lower</v>
      </c>
      <c r="F567" s="2" t="s">
        <v>4</v>
      </c>
      <c r="G567" s="3">
        <f>IF(ISBLANK('Raw sheet'!F567),AVERAGE('Raw sheet'!$F$2:'Raw sheet'!$F$1500),'Raw sheet'!F567)</f>
        <v>1.59</v>
      </c>
      <c r="H567" s="18">
        <v>71.5</v>
      </c>
      <c r="I567" s="9" t="str">
        <f t="shared" si="16"/>
        <v>Low</v>
      </c>
      <c r="J567" s="2">
        <v>1</v>
      </c>
      <c r="K567" s="2">
        <v>45.4</v>
      </c>
      <c r="L567" s="2" t="s">
        <v>4</v>
      </c>
      <c r="M567" s="2" t="s">
        <v>3</v>
      </c>
      <c r="N567" s="5">
        <f>IF(ISBLANK('Raw sheet'!L567),AVERAGE('Raw sheet'!$L$2:'Raw sheet'!$L$1500),'Raw sheet'!L567)</f>
        <v>10</v>
      </c>
      <c r="O567" s="5" t="str">
        <f>IF(Table1[[#This Row],[Stress_Index]]&gt;=8,"High",IF(N567&gt;=5,"Medium","Low"))</f>
        <v>High</v>
      </c>
      <c r="P567" s="3">
        <v>0</v>
      </c>
      <c r="Q567" s="2">
        <v>0</v>
      </c>
      <c r="R567" s="3">
        <v>0</v>
      </c>
      <c r="S567" s="3" t="str">
        <f>IF(Table1[[#This Row],[CGPA]]&gt;=3,"High",IF(R566&gt;=2,"Medium","Low"))</f>
        <v>Low</v>
      </c>
      <c r="T567" s="2" t="s">
        <v>2</v>
      </c>
      <c r="U567" s="2" t="s">
        <v>8</v>
      </c>
      <c r="V567" s="2" t="s">
        <v>9</v>
      </c>
      <c r="W567" s="7">
        <v>1</v>
      </c>
      <c r="X567" t="str">
        <f t="shared" si="17"/>
        <v>Dropped Out</v>
      </c>
    </row>
    <row r="568" spans="1:24" x14ac:dyDescent="0.3">
      <c r="A568" s="2">
        <v>567</v>
      </c>
      <c r="B568" s="7">
        <v>17</v>
      </c>
      <c r="C568" s="2" t="s">
        <v>11</v>
      </c>
      <c r="D568" s="7">
        <f>IF(ISBLANK('Raw sheet'!D568),AVERAGE('Raw sheet'!$D$2:'Raw sheet'!$D$1500),'Raw sheet'!D568)</f>
        <v>42098</v>
      </c>
      <c r="E568" s="7" t="str">
        <f>IF(Table1[[#This Row],[Family_Income]]&gt;=100000,"Upper",IF(D568&gt;=50000,"Middle","Lower"))</f>
        <v>Lower</v>
      </c>
      <c r="F568" s="2" t="s">
        <v>4</v>
      </c>
      <c r="G568" s="3">
        <f>IF(ISBLANK('Raw sheet'!F568),AVERAGE('Raw sheet'!$F$2:'Raw sheet'!$F$1500),'Raw sheet'!F568)</f>
        <v>6.32</v>
      </c>
      <c r="H568" s="18">
        <v>86.9</v>
      </c>
      <c r="I568" s="9" t="str">
        <f t="shared" si="16"/>
        <v>Good</v>
      </c>
      <c r="J568" s="2">
        <v>3</v>
      </c>
      <c r="K568" s="2">
        <v>37.299999999999997</v>
      </c>
      <c r="L568" s="2" t="s">
        <v>4</v>
      </c>
      <c r="M568" s="2" t="s">
        <v>3</v>
      </c>
      <c r="N568" s="5">
        <f>IF(ISBLANK('Raw sheet'!L568),AVERAGE('Raw sheet'!$L$2:'Raw sheet'!$L$1500),'Raw sheet'!L568)</f>
        <v>3.1</v>
      </c>
      <c r="O568" s="5" t="str">
        <f>IF(Table1[[#This Row],[Stress_Index]]&gt;=8,"High",IF(N568&gt;=5,"Medium","Low"))</f>
        <v>Low</v>
      </c>
      <c r="P568" s="3">
        <v>4</v>
      </c>
      <c r="Q568" s="2">
        <v>3.94</v>
      </c>
      <c r="R568" s="3">
        <v>3.93</v>
      </c>
      <c r="S568" s="3" t="str">
        <f>IF(Table1[[#This Row],[CGPA]]&gt;=3,"High",IF(R567&gt;=2,"Medium","Low"))</f>
        <v>High</v>
      </c>
      <c r="T568" s="2" t="s">
        <v>7</v>
      </c>
      <c r="U568" s="2" t="s">
        <v>14</v>
      </c>
      <c r="V568" s="2" t="s">
        <v>9</v>
      </c>
      <c r="W568" s="7">
        <v>0</v>
      </c>
      <c r="X568" t="str">
        <f t="shared" si="17"/>
        <v>Active</v>
      </c>
    </row>
    <row r="569" spans="1:24" x14ac:dyDescent="0.3">
      <c r="A569" s="2">
        <v>568</v>
      </c>
      <c r="B569" s="7">
        <v>18.8</v>
      </c>
      <c r="C569" s="2" t="s">
        <v>11</v>
      </c>
      <c r="D569" s="7">
        <f>IF(ISBLANK('Raw sheet'!D569),AVERAGE('Raw sheet'!$D$2:'Raw sheet'!$D$1500),'Raw sheet'!D569)</f>
        <v>25000</v>
      </c>
      <c r="E569" s="7" t="str">
        <f>IF(Table1[[#This Row],[Family_Income]]&gt;=100000,"Upper",IF(D569&gt;=50000,"Middle","Lower"))</f>
        <v>Lower</v>
      </c>
      <c r="F569" s="2" t="s">
        <v>4</v>
      </c>
      <c r="G569" s="3">
        <f>IF(ISBLANK('Raw sheet'!F569),AVERAGE('Raw sheet'!$F$2:'Raw sheet'!$F$1500),'Raw sheet'!F569)</f>
        <v>3.31</v>
      </c>
      <c r="H569" s="18">
        <v>73.099999999999994</v>
      </c>
      <c r="I569" s="9" t="str">
        <f t="shared" si="16"/>
        <v>Low</v>
      </c>
      <c r="J569" s="2">
        <v>1</v>
      </c>
      <c r="K569" s="2">
        <v>26.1</v>
      </c>
      <c r="L569" s="2" t="s">
        <v>4</v>
      </c>
      <c r="M569" s="2" t="s">
        <v>3</v>
      </c>
      <c r="N569" s="5">
        <f>IF(ISBLANK('Raw sheet'!L569),AVERAGE('Raw sheet'!$L$2:'Raw sheet'!$L$1500),'Raw sheet'!L569)</f>
        <v>7.5</v>
      </c>
      <c r="O569" s="5" t="str">
        <f>IF(Table1[[#This Row],[Stress_Index]]&gt;=8,"High",IF(N569&gt;=5,"Medium","Low"))</f>
        <v>Medium</v>
      </c>
      <c r="P569" s="3">
        <v>2.92</v>
      </c>
      <c r="Q569" s="2">
        <v>2.97</v>
      </c>
      <c r="R569" s="3">
        <v>2.97</v>
      </c>
      <c r="S569" s="3" t="str">
        <f>IF(Table1[[#This Row],[CGPA]]&gt;=3,"High",IF(R568&gt;=2,"Medium","Low"))</f>
        <v>Medium</v>
      </c>
      <c r="T569" s="2" t="s">
        <v>10</v>
      </c>
      <c r="U569" s="2" t="s">
        <v>13</v>
      </c>
      <c r="V569" s="2" t="s">
        <v>9</v>
      </c>
      <c r="W569" s="7">
        <v>0</v>
      </c>
      <c r="X569" t="str">
        <f t="shared" si="17"/>
        <v>Active</v>
      </c>
    </row>
    <row r="570" spans="1:24" x14ac:dyDescent="0.3">
      <c r="A570" s="2">
        <v>569</v>
      </c>
      <c r="B570" s="7">
        <v>17</v>
      </c>
      <c r="C570" s="2" t="s">
        <v>5</v>
      </c>
      <c r="D570" s="7">
        <f>IF(ISBLANK('Raw sheet'!D570),AVERAGE('Raw sheet'!$D$2:'Raw sheet'!$D$1500),'Raw sheet'!D570)</f>
        <v>38587.00282087447</v>
      </c>
      <c r="E570" s="7" t="str">
        <f>IF(Table1[[#This Row],[Family_Income]]&gt;=100000,"Upper",IF(D570&gt;=50000,"Middle","Lower"))</f>
        <v>Lower</v>
      </c>
      <c r="F570" s="2" t="s">
        <v>4</v>
      </c>
      <c r="G570" s="3">
        <f>IF(ISBLANK('Raw sheet'!F570),AVERAGE('Raw sheet'!$F$2:'Raw sheet'!$F$1500),'Raw sheet'!F570)</f>
        <v>4.0178702397743278</v>
      </c>
      <c r="H570" s="18">
        <v>92.8</v>
      </c>
      <c r="I570" s="9" t="str">
        <f t="shared" si="16"/>
        <v>Good</v>
      </c>
      <c r="J570" s="2">
        <v>1</v>
      </c>
      <c r="K570" s="2">
        <v>21</v>
      </c>
      <c r="L570" s="2" t="s">
        <v>4</v>
      </c>
      <c r="M570" s="2" t="s">
        <v>3</v>
      </c>
      <c r="N570" s="5">
        <f>IF(ISBLANK('Raw sheet'!L570),AVERAGE('Raw sheet'!$L$2:'Raw sheet'!$L$1500),'Raw sheet'!L570)</f>
        <v>5.5242595204513369</v>
      </c>
      <c r="O570" s="5" t="str">
        <f>IF(Table1[[#This Row],[Stress_Index]]&gt;=8,"High",IF(N570&gt;=5,"Medium","Low"))</f>
        <v>Medium</v>
      </c>
      <c r="P570" s="3">
        <v>2.52</v>
      </c>
      <c r="Q570" s="2">
        <v>2.73</v>
      </c>
      <c r="R570" s="3">
        <v>2.69</v>
      </c>
      <c r="S570" s="3" t="str">
        <f>IF(Table1[[#This Row],[CGPA]]&gt;=3,"High",IF(R569&gt;=2,"Medium","Low"))</f>
        <v>Medium</v>
      </c>
      <c r="T570" s="2" t="s">
        <v>7</v>
      </c>
      <c r="U570" s="2" t="s">
        <v>8</v>
      </c>
      <c r="V570" s="2" t="s">
        <v>15</v>
      </c>
      <c r="W570" s="7">
        <v>0</v>
      </c>
      <c r="X570" t="str">
        <f t="shared" si="17"/>
        <v>Active</v>
      </c>
    </row>
    <row r="571" spans="1:24" x14ac:dyDescent="0.3">
      <c r="A571" s="2">
        <v>570</v>
      </c>
      <c r="B571" s="7">
        <v>20.2</v>
      </c>
      <c r="C571" s="2" t="s">
        <v>11</v>
      </c>
      <c r="D571" s="7">
        <f>IF(ISBLANK('Raw sheet'!D571),AVERAGE('Raw sheet'!$D$2:'Raw sheet'!$D$1500),'Raw sheet'!D571)</f>
        <v>25000</v>
      </c>
      <c r="E571" s="7" t="str">
        <f>IF(Table1[[#This Row],[Family_Income]]&gt;=100000,"Upper",IF(D571&gt;=50000,"Middle","Lower"))</f>
        <v>Lower</v>
      </c>
      <c r="F571" s="2" t="s">
        <v>4</v>
      </c>
      <c r="G571" s="3">
        <f>IF(ISBLANK('Raw sheet'!F571),AVERAGE('Raw sheet'!$F$2:'Raw sheet'!$F$1500),'Raw sheet'!F571)</f>
        <v>4.4000000000000004</v>
      </c>
      <c r="H571" s="18">
        <v>86.5</v>
      </c>
      <c r="I571" s="9" t="str">
        <f t="shared" si="16"/>
        <v>Good</v>
      </c>
      <c r="J571" s="2">
        <v>0</v>
      </c>
      <c r="K571" s="2">
        <v>31.1</v>
      </c>
      <c r="L571" s="2" t="s">
        <v>3</v>
      </c>
      <c r="M571" s="2" t="s">
        <v>3</v>
      </c>
      <c r="N571" s="5">
        <f>IF(ISBLANK('Raw sheet'!L571),AVERAGE('Raw sheet'!$L$2:'Raw sheet'!$L$1500),'Raw sheet'!L571)</f>
        <v>6.5</v>
      </c>
      <c r="O571" s="5" t="str">
        <f>IF(Table1[[#This Row],[Stress_Index]]&gt;=8,"High",IF(N571&gt;=5,"Medium","Low"))</f>
        <v>Medium</v>
      </c>
      <c r="P571" s="3">
        <v>3.61</v>
      </c>
      <c r="Q571" s="2">
        <v>4</v>
      </c>
      <c r="R571" s="3">
        <v>3.99</v>
      </c>
      <c r="S571" s="3" t="str">
        <f>IF(Table1[[#This Row],[CGPA]]&gt;=3,"High",IF(R570&gt;=2,"Medium","Low"))</f>
        <v>High</v>
      </c>
      <c r="T571" s="2" t="s">
        <v>12</v>
      </c>
      <c r="U571" s="2" t="s">
        <v>8</v>
      </c>
      <c r="V571" s="2" t="s">
        <v>15</v>
      </c>
      <c r="W571" s="7">
        <v>0</v>
      </c>
      <c r="X571" t="str">
        <f t="shared" si="17"/>
        <v>Active</v>
      </c>
    </row>
    <row r="572" spans="1:24" x14ac:dyDescent="0.3">
      <c r="A572" s="2">
        <v>571</v>
      </c>
      <c r="B572" s="7">
        <v>21</v>
      </c>
      <c r="C572" s="2" t="s">
        <v>11</v>
      </c>
      <c r="D572" s="7">
        <f>IF(ISBLANK('Raw sheet'!D572),AVERAGE('Raw sheet'!$D$2:'Raw sheet'!$D$1500),'Raw sheet'!D572)</f>
        <v>31243</v>
      </c>
      <c r="E572" s="7" t="str">
        <f>IF(Table1[[#This Row],[Family_Income]]&gt;=100000,"Upper",IF(D572&gt;=50000,"Middle","Lower"))</f>
        <v>Lower</v>
      </c>
      <c r="F572" s="2" t="s">
        <v>4</v>
      </c>
      <c r="G572" s="3">
        <f>IF(ISBLANK('Raw sheet'!F572),AVERAGE('Raw sheet'!$F$2:'Raw sheet'!$F$1500),'Raw sheet'!F572)</f>
        <v>2.91</v>
      </c>
      <c r="H572" s="18">
        <v>71.5</v>
      </c>
      <c r="I572" s="9" t="str">
        <f t="shared" si="16"/>
        <v>Low</v>
      </c>
      <c r="J572" s="2">
        <v>1</v>
      </c>
      <c r="K572" s="2">
        <v>33.6</v>
      </c>
      <c r="L572" s="2" t="s">
        <v>4</v>
      </c>
      <c r="M572" s="2" t="s">
        <v>3</v>
      </c>
      <c r="N572" s="5">
        <f>IF(ISBLANK('Raw sheet'!L572),AVERAGE('Raw sheet'!$L$2:'Raw sheet'!$L$1500),'Raw sheet'!L572)</f>
        <v>3.1</v>
      </c>
      <c r="O572" s="5" t="str">
        <f>IF(Table1[[#This Row],[Stress_Index]]&gt;=8,"High",IF(N572&gt;=5,"Medium","Low"))</f>
        <v>Low</v>
      </c>
      <c r="P572" s="3">
        <v>2.76</v>
      </c>
      <c r="Q572" s="2">
        <v>2.73</v>
      </c>
      <c r="R572" s="3">
        <v>2.66</v>
      </c>
      <c r="S572" s="3" t="str">
        <f>IF(Table1[[#This Row],[CGPA]]&gt;=3,"High",IF(R571&gt;=2,"Medium","Low"))</f>
        <v>Medium</v>
      </c>
      <c r="T572" s="2" t="s">
        <v>12</v>
      </c>
      <c r="U572" s="2" t="s">
        <v>13</v>
      </c>
      <c r="V572" s="2" t="s">
        <v>0</v>
      </c>
      <c r="W572" s="7">
        <v>0</v>
      </c>
      <c r="X572" t="str">
        <f t="shared" si="17"/>
        <v>Active</v>
      </c>
    </row>
    <row r="573" spans="1:24" x14ac:dyDescent="0.3">
      <c r="A573" s="2">
        <v>572</v>
      </c>
      <c r="B573" s="7">
        <v>24.7</v>
      </c>
      <c r="C573" s="2" t="s">
        <v>11</v>
      </c>
      <c r="D573" s="7">
        <f>IF(ISBLANK('Raw sheet'!D573),AVERAGE('Raw sheet'!$D$2:'Raw sheet'!$D$1500),'Raw sheet'!D573)</f>
        <v>27504</v>
      </c>
      <c r="E573" s="7" t="str">
        <f>IF(Table1[[#This Row],[Family_Income]]&gt;=100000,"Upper",IF(D573&gt;=50000,"Middle","Lower"))</f>
        <v>Lower</v>
      </c>
      <c r="F573" s="2" t="s">
        <v>4</v>
      </c>
      <c r="G573" s="3">
        <f>IF(ISBLANK('Raw sheet'!F573),AVERAGE('Raw sheet'!$F$2:'Raw sheet'!$F$1500),'Raw sheet'!F573)</f>
        <v>3.23</v>
      </c>
      <c r="H573" s="18">
        <v>88.8</v>
      </c>
      <c r="I573" s="9" t="str">
        <f t="shared" si="16"/>
        <v>Good</v>
      </c>
      <c r="J573" s="2">
        <v>3</v>
      </c>
      <c r="K573" s="2">
        <v>27.3</v>
      </c>
      <c r="L573" s="2" t="s">
        <v>3</v>
      </c>
      <c r="M573" s="2" t="s">
        <v>4</v>
      </c>
      <c r="N573" s="5">
        <f>IF(ISBLANK('Raw sheet'!L573),AVERAGE('Raw sheet'!$L$2:'Raw sheet'!$L$1500),'Raw sheet'!L573)</f>
        <v>7.9</v>
      </c>
      <c r="O573" s="5" t="str">
        <f>IF(Table1[[#This Row],[Stress_Index]]&gt;=8,"High",IF(N573&gt;=5,"Medium","Low"))</f>
        <v>Medium</v>
      </c>
      <c r="P573" s="3">
        <v>1.38</v>
      </c>
      <c r="Q573" s="2">
        <v>1.44</v>
      </c>
      <c r="R573" s="3">
        <v>1.54</v>
      </c>
      <c r="S573" s="3" t="str">
        <f>IF(Table1[[#This Row],[CGPA]]&gt;=3,"High",IF(R572&gt;=2,"Medium","Low"))</f>
        <v>Medium</v>
      </c>
      <c r="T573" s="2" t="s">
        <v>10</v>
      </c>
      <c r="U573" s="2" t="s">
        <v>6</v>
      </c>
      <c r="V573" s="2" t="s">
        <v>15</v>
      </c>
      <c r="W573" s="7">
        <v>0</v>
      </c>
      <c r="X573" t="str">
        <f t="shared" si="17"/>
        <v>Active</v>
      </c>
    </row>
    <row r="574" spans="1:24" x14ac:dyDescent="0.3">
      <c r="A574" s="2">
        <v>573</v>
      </c>
      <c r="B574" s="7">
        <v>21.7</v>
      </c>
      <c r="C574" s="2" t="s">
        <v>5</v>
      </c>
      <c r="D574" s="7">
        <f>IF(ISBLANK('Raw sheet'!D574),AVERAGE('Raw sheet'!$D$2:'Raw sheet'!$D$1500),'Raw sheet'!D574)</f>
        <v>25000</v>
      </c>
      <c r="E574" s="7" t="str">
        <f>IF(Table1[[#This Row],[Family_Income]]&gt;=100000,"Upper",IF(D574&gt;=50000,"Middle","Lower"))</f>
        <v>Lower</v>
      </c>
      <c r="F574" s="2" t="s">
        <v>4</v>
      </c>
      <c r="G574" s="3">
        <f>IF(ISBLANK('Raw sheet'!F574),AVERAGE('Raw sheet'!$F$2:'Raw sheet'!$F$1500),'Raw sheet'!F574)</f>
        <v>2.92</v>
      </c>
      <c r="H574" s="18">
        <v>77.099999999999994</v>
      </c>
      <c r="I574" s="9" t="str">
        <f t="shared" si="16"/>
        <v>Good</v>
      </c>
      <c r="J574" s="2">
        <v>3</v>
      </c>
      <c r="K574" s="2">
        <v>22.1</v>
      </c>
      <c r="L574" s="2" t="s">
        <v>4</v>
      </c>
      <c r="M574" s="2" t="s">
        <v>3</v>
      </c>
      <c r="N574" s="5">
        <f>IF(ISBLANK('Raw sheet'!L574),AVERAGE('Raw sheet'!$L$2:'Raw sheet'!$L$1500),'Raw sheet'!L574)</f>
        <v>1.5</v>
      </c>
      <c r="O574" s="5" t="str">
        <f>IF(Table1[[#This Row],[Stress_Index]]&gt;=8,"High",IF(N574&gt;=5,"Medium","Low"))</f>
        <v>Low</v>
      </c>
      <c r="P574" s="3">
        <v>4</v>
      </c>
      <c r="Q574" s="2">
        <v>3.99</v>
      </c>
      <c r="R574" s="3">
        <v>3.99</v>
      </c>
      <c r="S574" s="3" t="str">
        <f>IF(Table1[[#This Row],[CGPA]]&gt;=3,"High",IF(R573&gt;=2,"Medium","Low"))</f>
        <v>High</v>
      </c>
      <c r="T574" s="2" t="s">
        <v>2</v>
      </c>
      <c r="U574" s="2" t="s">
        <v>8</v>
      </c>
      <c r="V574" s="2" t="s">
        <v>15</v>
      </c>
      <c r="W574" s="7">
        <v>0</v>
      </c>
      <c r="X574" t="str">
        <f t="shared" si="17"/>
        <v>Active</v>
      </c>
    </row>
    <row r="575" spans="1:24" x14ac:dyDescent="0.3">
      <c r="A575" s="2">
        <v>574</v>
      </c>
      <c r="B575" s="7">
        <v>20.5</v>
      </c>
      <c r="C575" s="2" t="s">
        <v>5</v>
      </c>
      <c r="D575" s="7">
        <f>IF(ISBLANK('Raw sheet'!D575),AVERAGE('Raw sheet'!$D$2:'Raw sheet'!$D$1500),'Raw sheet'!D575)</f>
        <v>32828</v>
      </c>
      <c r="E575" s="7" t="str">
        <f>IF(Table1[[#This Row],[Family_Income]]&gt;=100000,"Upper",IF(D575&gt;=50000,"Middle","Lower"))</f>
        <v>Lower</v>
      </c>
      <c r="F575" s="2" t="s">
        <v>4</v>
      </c>
      <c r="G575" s="3">
        <f>IF(ISBLANK('Raw sheet'!F575),AVERAGE('Raw sheet'!$F$2:'Raw sheet'!$F$1500),'Raw sheet'!F575)</f>
        <v>4</v>
      </c>
      <c r="H575" s="18">
        <v>74.3</v>
      </c>
      <c r="I575" s="9" t="str">
        <f t="shared" si="16"/>
        <v>Low</v>
      </c>
      <c r="J575" s="2">
        <v>0</v>
      </c>
      <c r="K575" s="2">
        <v>37.4</v>
      </c>
      <c r="L575" s="2" t="s">
        <v>3</v>
      </c>
      <c r="M575" s="2" t="s">
        <v>4</v>
      </c>
      <c r="N575" s="5">
        <f>IF(ISBLANK('Raw sheet'!L575),AVERAGE('Raw sheet'!$L$2:'Raw sheet'!$L$1500),'Raw sheet'!L575)</f>
        <v>3.1</v>
      </c>
      <c r="O575" s="5" t="str">
        <f>IF(Table1[[#This Row],[Stress_Index]]&gt;=8,"High",IF(N575&gt;=5,"Medium","Low"))</f>
        <v>Low</v>
      </c>
      <c r="P575" s="3">
        <v>2</v>
      </c>
      <c r="Q575" s="2">
        <v>1.94</v>
      </c>
      <c r="R575" s="3">
        <v>1.94</v>
      </c>
      <c r="S575" s="3" t="str">
        <f>IF(Table1[[#This Row],[CGPA]]&gt;=3,"High",IF(R574&gt;=2,"Medium","Low"))</f>
        <v>Medium</v>
      </c>
      <c r="T575" s="2" t="s">
        <v>2</v>
      </c>
      <c r="U575" s="2" t="s">
        <v>8</v>
      </c>
      <c r="V575" s="2" t="s">
        <v>0</v>
      </c>
      <c r="W575" s="7">
        <v>0</v>
      </c>
      <c r="X575" t="str">
        <f t="shared" si="17"/>
        <v>Active</v>
      </c>
    </row>
    <row r="576" spans="1:24" x14ac:dyDescent="0.3">
      <c r="A576" s="2">
        <v>575</v>
      </c>
      <c r="B576" s="7">
        <v>22.8</v>
      </c>
      <c r="C576" s="2" t="s">
        <v>5</v>
      </c>
      <c r="D576" s="7">
        <f>IF(ISBLANK('Raw sheet'!D576),AVERAGE('Raw sheet'!$D$2:'Raw sheet'!$D$1500),'Raw sheet'!D576)</f>
        <v>32700</v>
      </c>
      <c r="E576" s="7" t="str">
        <f>IF(Table1[[#This Row],[Family_Income]]&gt;=100000,"Upper",IF(D576&gt;=50000,"Middle","Lower"))</f>
        <v>Lower</v>
      </c>
      <c r="F576" s="2" t="s">
        <v>4</v>
      </c>
      <c r="G576" s="3">
        <f>IF(ISBLANK('Raw sheet'!F576),AVERAGE('Raw sheet'!$F$2:'Raw sheet'!$F$1500),'Raw sheet'!F576)</f>
        <v>3.24</v>
      </c>
      <c r="H576" s="18">
        <v>87.8</v>
      </c>
      <c r="I576" s="9" t="str">
        <f t="shared" si="16"/>
        <v>Good</v>
      </c>
      <c r="J576" s="2">
        <v>2</v>
      </c>
      <c r="K576" s="2">
        <v>38.6</v>
      </c>
      <c r="L576" s="2" t="s">
        <v>3</v>
      </c>
      <c r="M576" s="2" t="s">
        <v>3</v>
      </c>
      <c r="N576" s="5">
        <f>IF(ISBLANK('Raw sheet'!L576),AVERAGE('Raw sheet'!$L$2:'Raw sheet'!$L$1500),'Raw sheet'!L576)</f>
        <v>5</v>
      </c>
      <c r="O576" s="5" t="str">
        <f>IF(Table1[[#This Row],[Stress_Index]]&gt;=8,"High",IF(N576&gt;=5,"Medium","Low"))</f>
        <v>Medium</v>
      </c>
      <c r="P576" s="3">
        <v>2.52</v>
      </c>
      <c r="Q576" s="2">
        <v>2.61</v>
      </c>
      <c r="R576" s="3">
        <v>2.61</v>
      </c>
      <c r="S576" s="3" t="str">
        <f>IF(Table1[[#This Row],[CGPA]]&gt;=3,"High",IF(R575&gt;=2,"Medium","Low"))</f>
        <v>Low</v>
      </c>
      <c r="T576" s="2" t="s">
        <v>2</v>
      </c>
      <c r="U576" s="2" t="s">
        <v>1</v>
      </c>
      <c r="V576" s="2" t="s">
        <v>9</v>
      </c>
      <c r="W576" s="7">
        <v>0</v>
      </c>
      <c r="X576" t="str">
        <f t="shared" si="17"/>
        <v>Active</v>
      </c>
    </row>
    <row r="577" spans="1:24" x14ac:dyDescent="0.3">
      <c r="A577" s="2">
        <v>576</v>
      </c>
      <c r="B577" s="7">
        <v>17</v>
      </c>
      <c r="C577" s="2" t="s">
        <v>11</v>
      </c>
      <c r="D577" s="7">
        <f>IF(ISBLANK('Raw sheet'!D577),AVERAGE('Raw sheet'!$D$2:'Raw sheet'!$D$1500),'Raw sheet'!D577)</f>
        <v>60191</v>
      </c>
      <c r="E577" s="7" t="str">
        <f>IF(Table1[[#This Row],[Family_Income]]&gt;=100000,"Upper",IF(D577&gt;=50000,"Middle","Lower"))</f>
        <v>Middle</v>
      </c>
      <c r="F577" s="2" t="s">
        <v>4</v>
      </c>
      <c r="G577" s="3">
        <f>IF(ISBLANK('Raw sheet'!F577),AVERAGE('Raw sheet'!$F$2:'Raw sheet'!$F$1500),'Raw sheet'!F577)</f>
        <v>4.49</v>
      </c>
      <c r="H577" s="18">
        <v>91.7</v>
      </c>
      <c r="I577" s="9" t="str">
        <f t="shared" si="16"/>
        <v>Good</v>
      </c>
      <c r="J577" s="2">
        <v>4</v>
      </c>
      <c r="K577" s="2">
        <v>14.3</v>
      </c>
      <c r="L577" s="2" t="s">
        <v>3</v>
      </c>
      <c r="M577" s="2" t="s">
        <v>3</v>
      </c>
      <c r="N577" s="5">
        <f>IF(ISBLANK('Raw sheet'!L577),AVERAGE('Raw sheet'!$L$2:'Raw sheet'!$L$1500),'Raw sheet'!L577)</f>
        <v>4.4000000000000004</v>
      </c>
      <c r="O577" s="5" t="str">
        <f>IF(Table1[[#This Row],[Stress_Index]]&gt;=8,"High",IF(N577&gt;=5,"Medium","Low"))</f>
        <v>Low</v>
      </c>
      <c r="P577" s="3">
        <v>3.6</v>
      </c>
      <c r="Q577" s="2">
        <v>3.96</v>
      </c>
      <c r="R577" s="3">
        <v>3.96</v>
      </c>
      <c r="S577" s="3" t="str">
        <f>IF(Table1[[#This Row],[CGPA]]&gt;=3,"High",IF(R576&gt;=2,"Medium","Low"))</f>
        <v>High</v>
      </c>
      <c r="T577" s="2" t="s">
        <v>2</v>
      </c>
      <c r="U577" s="2" t="s">
        <v>8</v>
      </c>
      <c r="V577" s="2" t="s">
        <v>9</v>
      </c>
      <c r="W577" s="7">
        <v>0</v>
      </c>
      <c r="X577" t="str">
        <f t="shared" si="17"/>
        <v>Active</v>
      </c>
    </row>
    <row r="578" spans="1:24" x14ac:dyDescent="0.3">
      <c r="A578" s="2">
        <v>577</v>
      </c>
      <c r="B578" s="7">
        <v>21.5</v>
      </c>
      <c r="C578" s="2" t="s">
        <v>11</v>
      </c>
      <c r="D578" s="7">
        <f>IF(ISBLANK('Raw sheet'!D578),AVERAGE('Raw sheet'!$D$2:'Raw sheet'!$D$1500),'Raw sheet'!D578)</f>
        <v>38587.00282087447</v>
      </c>
      <c r="E578" s="7" t="str">
        <f>IF(Table1[[#This Row],[Family_Income]]&gt;=100000,"Upper",IF(D578&gt;=50000,"Middle","Lower"))</f>
        <v>Lower</v>
      </c>
      <c r="F578" s="2" t="s">
        <v>4</v>
      </c>
      <c r="G578" s="3">
        <f>IF(ISBLANK('Raw sheet'!F578),AVERAGE('Raw sheet'!$F$2:'Raw sheet'!$F$1500),'Raw sheet'!F578)</f>
        <v>4.0178702397743278</v>
      </c>
      <c r="H578" s="18">
        <v>70.8</v>
      </c>
      <c r="I578" s="9" t="str">
        <f t="shared" ref="I578:I641" si="18">IF(H578&gt;=75,"Good","Low")</f>
        <v>Low</v>
      </c>
      <c r="J578" s="2">
        <v>2</v>
      </c>
      <c r="K578" s="2">
        <v>25.4</v>
      </c>
      <c r="L578" s="2" t="s">
        <v>3</v>
      </c>
      <c r="M578" s="2" t="s">
        <v>3</v>
      </c>
      <c r="N578" s="5">
        <f>IF(ISBLANK('Raw sheet'!L578),AVERAGE('Raw sheet'!$L$2:'Raw sheet'!$L$1500),'Raw sheet'!L578)</f>
        <v>5.5242595204513369</v>
      </c>
      <c r="O578" s="5" t="str">
        <f>IF(Table1[[#This Row],[Stress_Index]]&gt;=8,"High",IF(N578&gt;=5,"Medium","Low"))</f>
        <v>Medium</v>
      </c>
      <c r="P578" s="3">
        <v>2.1800000000000002</v>
      </c>
      <c r="Q578" s="2">
        <v>2.4500000000000002</v>
      </c>
      <c r="R578" s="3">
        <v>2.56</v>
      </c>
      <c r="S578" s="3" t="str">
        <f>IF(Table1[[#This Row],[CGPA]]&gt;=3,"High",IF(R577&gt;=2,"Medium","Low"))</f>
        <v>Medium</v>
      </c>
      <c r="T578" s="2" t="s">
        <v>7</v>
      </c>
      <c r="U578" s="2" t="s">
        <v>13</v>
      </c>
      <c r="V578" s="2" t="s">
        <v>0</v>
      </c>
      <c r="W578" s="7">
        <v>1</v>
      </c>
      <c r="X578" t="str">
        <f t="shared" ref="X578:X641" si="19">IF(W578=1,"Dropped Out","Active")</f>
        <v>Dropped Out</v>
      </c>
    </row>
    <row r="579" spans="1:24" x14ac:dyDescent="0.3">
      <c r="A579" s="2">
        <v>578</v>
      </c>
      <c r="B579" s="7">
        <v>22.7</v>
      </c>
      <c r="C579" s="2" t="s">
        <v>11</v>
      </c>
      <c r="D579" s="7">
        <f>IF(ISBLANK('Raw sheet'!D579),AVERAGE('Raw sheet'!$D$2:'Raw sheet'!$D$1500),'Raw sheet'!D579)</f>
        <v>28406</v>
      </c>
      <c r="E579" s="7" t="str">
        <f>IF(Table1[[#This Row],[Family_Income]]&gt;=100000,"Upper",IF(D579&gt;=50000,"Middle","Lower"))</f>
        <v>Lower</v>
      </c>
      <c r="F579" s="2" t="s">
        <v>4</v>
      </c>
      <c r="G579" s="3">
        <f>IF(ISBLANK('Raw sheet'!F579),AVERAGE('Raw sheet'!$F$2:'Raw sheet'!$F$1500),'Raw sheet'!F579)</f>
        <v>4.58</v>
      </c>
      <c r="H579" s="18">
        <v>79</v>
      </c>
      <c r="I579" s="9" t="str">
        <f t="shared" si="18"/>
        <v>Good</v>
      </c>
      <c r="J579" s="2">
        <v>1</v>
      </c>
      <c r="K579" s="2">
        <v>39.299999999999997</v>
      </c>
      <c r="L579" s="2" t="s">
        <v>4</v>
      </c>
      <c r="M579" s="2" t="s">
        <v>3</v>
      </c>
      <c r="N579" s="5">
        <f>IF(ISBLANK('Raw sheet'!L579),AVERAGE('Raw sheet'!$L$2:'Raw sheet'!$L$1500),'Raw sheet'!L579)</f>
        <v>4.3</v>
      </c>
      <c r="O579" s="5" t="str">
        <f>IF(Table1[[#This Row],[Stress_Index]]&gt;=8,"High",IF(N579&gt;=5,"Medium","Low"))</f>
        <v>Low</v>
      </c>
      <c r="P579" s="3">
        <v>2.31</v>
      </c>
      <c r="Q579" s="2">
        <v>2.69</v>
      </c>
      <c r="R579" s="3">
        <v>2.71</v>
      </c>
      <c r="S579" s="3" t="str">
        <f>IF(Table1[[#This Row],[CGPA]]&gt;=3,"High",IF(R578&gt;=2,"Medium","Low"))</f>
        <v>Medium</v>
      </c>
      <c r="T579" s="2" t="s">
        <v>12</v>
      </c>
      <c r="U579" s="2" t="s">
        <v>8</v>
      </c>
      <c r="V579" s="2" t="s">
        <v>9</v>
      </c>
      <c r="W579" s="7">
        <v>0</v>
      </c>
      <c r="X579" t="str">
        <f t="shared" si="19"/>
        <v>Active</v>
      </c>
    </row>
    <row r="580" spans="1:24" x14ac:dyDescent="0.3">
      <c r="A580" s="2">
        <v>579</v>
      </c>
      <c r="B580" s="7">
        <v>17.7</v>
      </c>
      <c r="C580" s="2" t="s">
        <v>5</v>
      </c>
      <c r="D580" s="7">
        <f>IF(ISBLANK('Raw sheet'!D580),AVERAGE('Raw sheet'!$D$2:'Raw sheet'!$D$1500),'Raw sheet'!D580)</f>
        <v>25000</v>
      </c>
      <c r="E580" s="7" t="str">
        <f>IF(Table1[[#This Row],[Family_Income]]&gt;=100000,"Upper",IF(D580&gt;=50000,"Middle","Lower"))</f>
        <v>Lower</v>
      </c>
      <c r="F580" s="2" t="s">
        <v>4</v>
      </c>
      <c r="G580" s="3">
        <f>IF(ISBLANK('Raw sheet'!F580),AVERAGE('Raw sheet'!$F$2:'Raw sheet'!$F$1500),'Raw sheet'!F580)</f>
        <v>2.5299999999999998</v>
      </c>
      <c r="H580" s="18">
        <v>83.4</v>
      </c>
      <c r="I580" s="9" t="str">
        <f t="shared" si="18"/>
        <v>Good</v>
      </c>
      <c r="J580" s="2">
        <v>0</v>
      </c>
      <c r="K580" s="2">
        <v>41.9</v>
      </c>
      <c r="L580" s="2" t="s">
        <v>4</v>
      </c>
      <c r="M580" s="2" t="s">
        <v>4</v>
      </c>
      <c r="N580" s="5">
        <f>IF(ISBLANK('Raw sheet'!L580),AVERAGE('Raw sheet'!$L$2:'Raw sheet'!$L$1500),'Raw sheet'!L580)</f>
        <v>4.9000000000000004</v>
      </c>
      <c r="O580" s="5" t="str">
        <f>IF(Table1[[#This Row],[Stress_Index]]&gt;=8,"High",IF(N580&gt;=5,"Medium","Low"))</f>
        <v>Low</v>
      </c>
      <c r="P580" s="3">
        <v>2.2999999999999998</v>
      </c>
      <c r="Q580" s="2">
        <v>1.95</v>
      </c>
      <c r="R580" s="3">
        <v>1.94</v>
      </c>
      <c r="S580" s="3" t="str">
        <f>IF(Table1[[#This Row],[CGPA]]&gt;=3,"High",IF(R579&gt;=2,"Medium","Low"))</f>
        <v>Medium</v>
      </c>
      <c r="T580" s="2" t="s">
        <v>12</v>
      </c>
      <c r="U580" s="2" t="s">
        <v>6</v>
      </c>
      <c r="V580" s="2" t="s">
        <v>9</v>
      </c>
      <c r="W580" s="7">
        <v>0</v>
      </c>
      <c r="X580" t="str">
        <f t="shared" si="19"/>
        <v>Active</v>
      </c>
    </row>
    <row r="581" spans="1:24" x14ac:dyDescent="0.3">
      <c r="A581" s="2">
        <v>580</v>
      </c>
      <c r="B581" s="7">
        <v>23.5</v>
      </c>
      <c r="C581" s="2" t="s">
        <v>5</v>
      </c>
      <c r="D581" s="7">
        <f>IF(ISBLANK('Raw sheet'!D581),AVERAGE('Raw sheet'!$D$2:'Raw sheet'!$D$1500),'Raw sheet'!D581)</f>
        <v>50104</v>
      </c>
      <c r="E581" s="7" t="str">
        <f>IF(Table1[[#This Row],[Family_Income]]&gt;=100000,"Upper",IF(D581&gt;=50000,"Middle","Lower"))</f>
        <v>Middle</v>
      </c>
      <c r="F581" s="2" t="s">
        <v>3</v>
      </c>
      <c r="G581" s="3">
        <f>IF(ISBLANK('Raw sheet'!F581),AVERAGE('Raw sheet'!$F$2:'Raw sheet'!$F$1500),'Raw sheet'!F581)</f>
        <v>5.31</v>
      </c>
      <c r="H581" s="18">
        <v>77.3</v>
      </c>
      <c r="I581" s="9" t="str">
        <f t="shared" si="18"/>
        <v>Good</v>
      </c>
      <c r="J581" s="2">
        <v>3</v>
      </c>
      <c r="K581" s="2">
        <v>30.8</v>
      </c>
      <c r="L581" s="2" t="s">
        <v>3</v>
      </c>
      <c r="M581" s="2" t="s">
        <v>4</v>
      </c>
      <c r="N581" s="5">
        <f>IF(ISBLANK('Raw sheet'!L581),AVERAGE('Raw sheet'!$L$2:'Raw sheet'!$L$1500),'Raw sheet'!L581)</f>
        <v>5.2</v>
      </c>
      <c r="O581" s="5" t="str">
        <f>IF(Table1[[#This Row],[Stress_Index]]&gt;=8,"High",IF(N581&gt;=5,"Medium","Low"))</f>
        <v>Medium</v>
      </c>
      <c r="P581" s="3">
        <v>2.14</v>
      </c>
      <c r="Q581" s="2">
        <v>2.38</v>
      </c>
      <c r="R581" s="3">
        <v>2.34</v>
      </c>
      <c r="S581" s="3" t="str">
        <f>IF(Table1[[#This Row],[CGPA]]&gt;=3,"High",IF(R580&gt;=2,"Medium","Low"))</f>
        <v>Low</v>
      </c>
      <c r="T581" s="2" t="s">
        <v>12</v>
      </c>
      <c r="U581" s="2" t="s">
        <v>6</v>
      </c>
      <c r="V581" s="2" t="s">
        <v>9</v>
      </c>
      <c r="W581" s="7">
        <v>0</v>
      </c>
      <c r="X581" t="str">
        <f t="shared" si="19"/>
        <v>Active</v>
      </c>
    </row>
    <row r="582" spans="1:24" x14ac:dyDescent="0.3">
      <c r="A582" s="2">
        <v>581</v>
      </c>
      <c r="B582" s="7">
        <v>21.7</v>
      </c>
      <c r="C582" s="2" t="s">
        <v>11</v>
      </c>
      <c r="D582" s="7">
        <f>IF(ISBLANK('Raw sheet'!D582),AVERAGE('Raw sheet'!$D$2:'Raw sheet'!$D$1500),'Raw sheet'!D582)</f>
        <v>46740</v>
      </c>
      <c r="E582" s="7" t="str">
        <f>IF(Table1[[#This Row],[Family_Income]]&gt;=100000,"Upper",IF(D582&gt;=50000,"Middle","Lower"))</f>
        <v>Lower</v>
      </c>
      <c r="F582" s="2" t="s">
        <v>4</v>
      </c>
      <c r="G582" s="3">
        <f>IF(ISBLANK('Raw sheet'!F582),AVERAGE('Raw sheet'!$F$2:'Raw sheet'!$F$1500),'Raw sheet'!F582)</f>
        <v>5.0599999999999996</v>
      </c>
      <c r="H582" s="18">
        <v>80.599999999999994</v>
      </c>
      <c r="I582" s="9" t="str">
        <f t="shared" si="18"/>
        <v>Good</v>
      </c>
      <c r="J582" s="2">
        <v>1</v>
      </c>
      <c r="K582" s="2">
        <v>34.4</v>
      </c>
      <c r="L582" s="2" t="s">
        <v>3</v>
      </c>
      <c r="M582" s="2" t="s">
        <v>4</v>
      </c>
      <c r="N582" s="5">
        <f>IF(ISBLANK('Raw sheet'!L582),AVERAGE('Raw sheet'!$L$2:'Raw sheet'!$L$1500),'Raw sheet'!L582)</f>
        <v>5.0999999999999996</v>
      </c>
      <c r="O582" s="5" t="str">
        <f>IF(Table1[[#This Row],[Stress_Index]]&gt;=8,"High",IF(N582&gt;=5,"Medium","Low"))</f>
        <v>Medium</v>
      </c>
      <c r="P582" s="3">
        <v>2.25</v>
      </c>
      <c r="Q582" s="2">
        <v>2.57</v>
      </c>
      <c r="R582" s="3">
        <v>2.5299999999999998</v>
      </c>
      <c r="S582" s="3" t="str">
        <f>IF(Table1[[#This Row],[CGPA]]&gt;=3,"High",IF(R581&gt;=2,"Medium","Low"))</f>
        <v>Medium</v>
      </c>
      <c r="T582" s="2" t="s">
        <v>12</v>
      </c>
      <c r="U582" s="2" t="s">
        <v>13</v>
      </c>
      <c r="V582" s="2" t="s">
        <v>9</v>
      </c>
      <c r="W582" s="7">
        <v>0</v>
      </c>
      <c r="X582" t="str">
        <f t="shared" si="19"/>
        <v>Active</v>
      </c>
    </row>
    <row r="583" spans="1:24" x14ac:dyDescent="0.3">
      <c r="A583" s="2">
        <v>582</v>
      </c>
      <c r="B583" s="7">
        <v>20.100000000000001</v>
      </c>
      <c r="C583" s="2" t="s">
        <v>5</v>
      </c>
      <c r="D583" s="7">
        <f>IF(ISBLANK('Raw sheet'!D583),AVERAGE('Raw sheet'!$D$2:'Raw sheet'!$D$1500),'Raw sheet'!D583)</f>
        <v>40325</v>
      </c>
      <c r="E583" s="7" t="str">
        <f>IF(Table1[[#This Row],[Family_Income]]&gt;=100000,"Upper",IF(D583&gt;=50000,"Middle","Lower"))</f>
        <v>Lower</v>
      </c>
      <c r="F583" s="2" t="s">
        <v>4</v>
      </c>
      <c r="G583" s="3">
        <f>IF(ISBLANK('Raw sheet'!F583),AVERAGE('Raw sheet'!$F$2:'Raw sheet'!$F$1500),'Raw sheet'!F583)</f>
        <v>1.22</v>
      </c>
      <c r="H583" s="18">
        <v>85.3</v>
      </c>
      <c r="I583" s="9" t="str">
        <f t="shared" si="18"/>
        <v>Good</v>
      </c>
      <c r="J583" s="2">
        <v>3</v>
      </c>
      <c r="K583" s="2">
        <v>33</v>
      </c>
      <c r="L583" s="2" t="s">
        <v>3</v>
      </c>
      <c r="M583" s="2" t="s">
        <v>4</v>
      </c>
      <c r="N583" s="5">
        <f>IF(ISBLANK('Raw sheet'!L583),AVERAGE('Raw sheet'!$L$2:'Raw sheet'!$L$1500),'Raw sheet'!L583)</f>
        <v>5.8</v>
      </c>
      <c r="O583" s="5" t="str">
        <f>IF(Table1[[#This Row],[Stress_Index]]&gt;=8,"High",IF(N583&gt;=5,"Medium","Low"))</f>
        <v>Medium</v>
      </c>
      <c r="P583" s="3">
        <v>0.95</v>
      </c>
      <c r="Q583" s="2">
        <v>1.28</v>
      </c>
      <c r="R583" s="3">
        <v>1.23</v>
      </c>
      <c r="S583" s="3" t="str">
        <f>IF(Table1[[#This Row],[CGPA]]&gt;=3,"High",IF(R582&gt;=2,"Medium","Low"))</f>
        <v>Medium</v>
      </c>
      <c r="T583" s="2" t="s">
        <v>12</v>
      </c>
      <c r="U583" s="2" t="s">
        <v>6</v>
      </c>
      <c r="V583" s="2" t="s">
        <v>9</v>
      </c>
      <c r="W583" s="7">
        <v>0</v>
      </c>
      <c r="X583" t="str">
        <f t="shared" si="19"/>
        <v>Active</v>
      </c>
    </row>
    <row r="584" spans="1:24" x14ac:dyDescent="0.3">
      <c r="A584" s="2">
        <v>583</v>
      </c>
      <c r="B584" s="7">
        <v>22.4</v>
      </c>
      <c r="C584" s="2" t="s">
        <v>11</v>
      </c>
      <c r="D584" s="7">
        <f>IF(ISBLANK('Raw sheet'!D584),AVERAGE('Raw sheet'!$D$2:'Raw sheet'!$D$1500),'Raw sheet'!D584)</f>
        <v>38587.00282087447</v>
      </c>
      <c r="E584" s="7" t="str">
        <f>IF(Table1[[#This Row],[Family_Income]]&gt;=100000,"Upper",IF(D584&gt;=50000,"Middle","Lower"))</f>
        <v>Lower</v>
      </c>
      <c r="F584" s="2" t="s">
        <v>4</v>
      </c>
      <c r="G584" s="3">
        <f>IF(ISBLANK('Raw sheet'!F584),AVERAGE('Raw sheet'!$F$2:'Raw sheet'!$F$1500),'Raw sheet'!F584)</f>
        <v>4.0178702397743278</v>
      </c>
      <c r="H584" s="18">
        <v>55.599999999999902</v>
      </c>
      <c r="I584" s="9" t="str">
        <f t="shared" si="18"/>
        <v>Low</v>
      </c>
      <c r="J584" s="2">
        <v>1</v>
      </c>
      <c r="K584" s="2">
        <v>41.5</v>
      </c>
      <c r="L584" s="2" t="s">
        <v>3</v>
      </c>
      <c r="M584" s="2" t="s">
        <v>3</v>
      </c>
      <c r="N584" s="5">
        <f>IF(ISBLANK('Raw sheet'!L584),AVERAGE('Raw sheet'!$L$2:'Raw sheet'!$L$1500),'Raw sheet'!L584)</f>
        <v>5.5242595204513369</v>
      </c>
      <c r="O584" s="5" t="str">
        <f>IF(Table1[[#This Row],[Stress_Index]]&gt;=8,"High",IF(N584&gt;=5,"Medium","Low"))</f>
        <v>Medium</v>
      </c>
      <c r="P584" s="3">
        <v>3.07</v>
      </c>
      <c r="Q584" s="2">
        <v>3.33</v>
      </c>
      <c r="R584" s="3">
        <v>3.33</v>
      </c>
      <c r="S584" s="3" t="str">
        <f>IF(Table1[[#This Row],[CGPA]]&gt;=3,"High",IF(R583&gt;=2,"Medium","Low"))</f>
        <v>High</v>
      </c>
      <c r="T584" s="2" t="s">
        <v>2</v>
      </c>
      <c r="U584" s="2" t="s">
        <v>14</v>
      </c>
      <c r="V584" s="2" t="s">
        <v>0</v>
      </c>
      <c r="W584" s="7">
        <v>0</v>
      </c>
      <c r="X584" t="str">
        <f t="shared" si="19"/>
        <v>Active</v>
      </c>
    </row>
    <row r="585" spans="1:24" x14ac:dyDescent="0.3">
      <c r="A585" s="2">
        <v>584</v>
      </c>
      <c r="B585" s="7">
        <v>26</v>
      </c>
      <c r="C585" s="2" t="s">
        <v>5</v>
      </c>
      <c r="D585" s="7">
        <f>IF(ISBLANK('Raw sheet'!D585),AVERAGE('Raw sheet'!$D$2:'Raw sheet'!$D$1500),'Raw sheet'!D585)</f>
        <v>50579</v>
      </c>
      <c r="E585" s="7" t="str">
        <f>IF(Table1[[#This Row],[Family_Income]]&gt;=100000,"Upper",IF(D585&gt;=50000,"Middle","Lower"))</f>
        <v>Middle</v>
      </c>
      <c r="F585" s="2" t="s">
        <v>4</v>
      </c>
      <c r="G585" s="3">
        <f>IF(ISBLANK('Raw sheet'!F585),AVERAGE('Raw sheet'!$F$2:'Raw sheet'!$F$1500),'Raw sheet'!F585)</f>
        <v>0.61</v>
      </c>
      <c r="H585" s="18">
        <v>85.6</v>
      </c>
      <c r="I585" s="9" t="str">
        <f t="shared" si="18"/>
        <v>Good</v>
      </c>
      <c r="J585" s="2">
        <v>2</v>
      </c>
      <c r="K585" s="2">
        <v>16.7</v>
      </c>
      <c r="L585" s="2" t="s">
        <v>3</v>
      </c>
      <c r="M585" s="2" t="s">
        <v>3</v>
      </c>
      <c r="N585" s="5">
        <f>IF(ISBLANK('Raw sheet'!L585),AVERAGE('Raw sheet'!$L$2:'Raw sheet'!$L$1500),'Raw sheet'!L585)</f>
        <v>4.0999999999999996</v>
      </c>
      <c r="O585" s="5" t="str">
        <f>IF(Table1[[#This Row],[Stress_Index]]&gt;=8,"High",IF(N585&gt;=5,"Medium","Low"))</f>
        <v>Low</v>
      </c>
      <c r="P585" s="3">
        <v>0.66</v>
      </c>
      <c r="Q585" s="2">
        <v>0.48</v>
      </c>
      <c r="R585" s="3">
        <v>0.48</v>
      </c>
      <c r="S585" s="3" t="str">
        <f>IF(Table1[[#This Row],[CGPA]]&gt;=3,"High",IF(R584&gt;=2,"Medium","Low"))</f>
        <v>Medium</v>
      </c>
      <c r="T585" s="2" t="s">
        <v>10</v>
      </c>
      <c r="U585" s="2" t="s">
        <v>6</v>
      </c>
      <c r="V585" s="2" t="s">
        <v>15</v>
      </c>
      <c r="W585" s="7">
        <v>0</v>
      </c>
      <c r="X585" t="str">
        <f t="shared" si="19"/>
        <v>Active</v>
      </c>
    </row>
    <row r="586" spans="1:24" x14ac:dyDescent="0.3">
      <c r="A586" s="2">
        <v>585</v>
      </c>
      <c r="B586" s="7">
        <v>21.4</v>
      </c>
      <c r="C586" s="2" t="s">
        <v>5</v>
      </c>
      <c r="D586" s="7">
        <f>IF(ISBLANK('Raw sheet'!D586),AVERAGE('Raw sheet'!$D$2:'Raw sheet'!$D$1500),'Raw sheet'!D586)</f>
        <v>25000</v>
      </c>
      <c r="E586" s="7" t="str">
        <f>IF(Table1[[#This Row],[Family_Income]]&gt;=100000,"Upper",IF(D586&gt;=50000,"Middle","Lower"))</f>
        <v>Lower</v>
      </c>
      <c r="F586" s="2" t="s">
        <v>4</v>
      </c>
      <c r="G586" s="3">
        <f>IF(ISBLANK('Raw sheet'!F586),AVERAGE('Raw sheet'!$F$2:'Raw sheet'!$F$1500),'Raw sheet'!F586)</f>
        <v>2.48</v>
      </c>
      <c r="H586" s="18">
        <v>70.7</v>
      </c>
      <c r="I586" s="9" t="str">
        <f t="shared" si="18"/>
        <v>Low</v>
      </c>
      <c r="J586" s="2">
        <v>1</v>
      </c>
      <c r="K586" s="2">
        <v>33.200000000000003</v>
      </c>
      <c r="L586" s="2" t="s">
        <v>3</v>
      </c>
      <c r="M586" s="2" t="s">
        <v>4</v>
      </c>
      <c r="N586" s="5">
        <f>IF(ISBLANK('Raw sheet'!L586),AVERAGE('Raw sheet'!$L$2:'Raw sheet'!$L$1500),'Raw sheet'!L586)</f>
        <v>7.9</v>
      </c>
      <c r="O586" s="5" t="str">
        <f>IF(Table1[[#This Row],[Stress_Index]]&gt;=8,"High",IF(N586&gt;=5,"Medium","Low"))</f>
        <v>Medium</v>
      </c>
      <c r="P586" s="3">
        <v>1.57</v>
      </c>
      <c r="Q586" s="2">
        <v>1.82</v>
      </c>
      <c r="R586" s="3">
        <v>1.86</v>
      </c>
      <c r="S586" s="3" t="str">
        <f>IF(Table1[[#This Row],[CGPA]]&gt;=3,"High",IF(R585&gt;=2,"Medium","Low"))</f>
        <v>Low</v>
      </c>
      <c r="T586" s="2" t="s">
        <v>12</v>
      </c>
      <c r="U586" s="2" t="s">
        <v>8</v>
      </c>
      <c r="V586" s="2" t="s">
        <v>0</v>
      </c>
      <c r="W586" s="7">
        <v>1</v>
      </c>
      <c r="X586" t="str">
        <f t="shared" si="19"/>
        <v>Dropped Out</v>
      </c>
    </row>
    <row r="587" spans="1:24" x14ac:dyDescent="0.3">
      <c r="A587" s="2">
        <v>586</v>
      </c>
      <c r="B587" s="7">
        <v>21.5</v>
      </c>
      <c r="C587" s="2" t="s">
        <v>5</v>
      </c>
      <c r="D587" s="7">
        <f>IF(ISBLANK('Raw sheet'!D587),AVERAGE('Raw sheet'!$D$2:'Raw sheet'!$D$1500),'Raw sheet'!D587)</f>
        <v>25000</v>
      </c>
      <c r="E587" s="7" t="str">
        <f>IF(Table1[[#This Row],[Family_Income]]&gt;=100000,"Upper",IF(D587&gt;=50000,"Middle","Lower"))</f>
        <v>Lower</v>
      </c>
      <c r="F587" s="2" t="s">
        <v>3</v>
      </c>
      <c r="G587" s="3">
        <f>IF(ISBLANK('Raw sheet'!F587),AVERAGE('Raw sheet'!$F$2:'Raw sheet'!$F$1500),'Raw sheet'!F587)</f>
        <v>5.34</v>
      </c>
      <c r="H587" s="18">
        <v>71.8</v>
      </c>
      <c r="I587" s="9" t="str">
        <f t="shared" si="18"/>
        <v>Low</v>
      </c>
      <c r="J587" s="2">
        <v>1</v>
      </c>
      <c r="K587" s="2">
        <v>19.3</v>
      </c>
      <c r="L587" s="2" t="s">
        <v>3</v>
      </c>
      <c r="M587" s="2" t="s">
        <v>4</v>
      </c>
      <c r="N587" s="5">
        <f>IF(ISBLANK('Raw sheet'!L587),AVERAGE('Raw sheet'!$L$2:'Raw sheet'!$L$1500),'Raw sheet'!L587)</f>
        <v>5.6</v>
      </c>
      <c r="O587" s="5" t="str">
        <f>IF(Table1[[#This Row],[Stress_Index]]&gt;=8,"High",IF(N587&gt;=5,"Medium","Low"))</f>
        <v>Medium</v>
      </c>
      <c r="P587" s="3">
        <v>2.29</v>
      </c>
      <c r="Q587" s="2">
        <v>2.02</v>
      </c>
      <c r="R587" s="3">
        <v>2.02</v>
      </c>
      <c r="S587" s="3" t="str">
        <f>IF(Table1[[#This Row],[CGPA]]&gt;=3,"High",IF(R586&gt;=2,"Medium","Low"))</f>
        <v>Low</v>
      </c>
      <c r="T587" s="2" t="s">
        <v>2</v>
      </c>
      <c r="U587" s="2" t="s">
        <v>14</v>
      </c>
      <c r="V587" s="2" t="s">
        <v>9</v>
      </c>
      <c r="W587" s="7">
        <v>1</v>
      </c>
      <c r="X587" t="str">
        <f t="shared" si="19"/>
        <v>Dropped Out</v>
      </c>
    </row>
    <row r="588" spans="1:24" x14ac:dyDescent="0.3">
      <c r="A588" s="2">
        <v>587</v>
      </c>
      <c r="B588" s="7">
        <v>20</v>
      </c>
      <c r="C588" s="2" t="s">
        <v>5</v>
      </c>
      <c r="D588" s="7">
        <f>IF(ISBLANK('Raw sheet'!D588),AVERAGE('Raw sheet'!$D$2:'Raw sheet'!$D$1500),'Raw sheet'!D588)</f>
        <v>25000</v>
      </c>
      <c r="E588" s="7" t="str">
        <f>IF(Table1[[#This Row],[Family_Income]]&gt;=100000,"Upper",IF(D588&gt;=50000,"Middle","Lower"))</f>
        <v>Lower</v>
      </c>
      <c r="F588" s="2" t="s">
        <v>4</v>
      </c>
      <c r="G588" s="3">
        <f>IF(ISBLANK('Raw sheet'!F588),AVERAGE('Raw sheet'!$F$2:'Raw sheet'!$F$1500),'Raw sheet'!F588)</f>
        <v>3.3</v>
      </c>
      <c r="H588" s="18">
        <v>87.2</v>
      </c>
      <c r="I588" s="9" t="str">
        <f t="shared" si="18"/>
        <v>Good</v>
      </c>
      <c r="J588" s="2">
        <v>2</v>
      </c>
      <c r="K588" s="2">
        <v>43.1</v>
      </c>
      <c r="L588" s="2" t="s">
        <v>4</v>
      </c>
      <c r="M588" s="2" t="s">
        <v>3</v>
      </c>
      <c r="N588" s="5">
        <f>IF(ISBLANK('Raw sheet'!L588),AVERAGE('Raw sheet'!$L$2:'Raw sheet'!$L$1500),'Raw sheet'!L588)</f>
        <v>7.8</v>
      </c>
      <c r="O588" s="5" t="str">
        <f>IF(Table1[[#This Row],[Stress_Index]]&gt;=8,"High",IF(N588&gt;=5,"Medium","Low"))</f>
        <v>Medium</v>
      </c>
      <c r="P588" s="3">
        <v>2.91</v>
      </c>
      <c r="Q588" s="2">
        <v>2.83</v>
      </c>
      <c r="R588" s="3">
        <v>2.85</v>
      </c>
      <c r="S588" s="3" t="str">
        <f>IF(Table1[[#This Row],[CGPA]]&gt;=3,"High",IF(R587&gt;=2,"Medium","Low"))</f>
        <v>Medium</v>
      </c>
      <c r="T588" s="2" t="s">
        <v>10</v>
      </c>
      <c r="U588" s="2" t="s">
        <v>13</v>
      </c>
      <c r="V588" s="2" t="s">
        <v>17</v>
      </c>
      <c r="W588" s="7">
        <v>0</v>
      </c>
      <c r="X588" t="str">
        <f t="shared" si="19"/>
        <v>Active</v>
      </c>
    </row>
    <row r="589" spans="1:24" x14ac:dyDescent="0.3">
      <c r="A589" s="2">
        <v>588</v>
      </c>
      <c r="B589" s="7">
        <v>19.100000000000001</v>
      </c>
      <c r="C589" s="2" t="s">
        <v>5</v>
      </c>
      <c r="D589" s="7">
        <f>IF(ISBLANK('Raw sheet'!D589),AVERAGE('Raw sheet'!$D$2:'Raw sheet'!$D$1500),'Raw sheet'!D589)</f>
        <v>29141</v>
      </c>
      <c r="E589" s="7" t="str">
        <f>IF(Table1[[#This Row],[Family_Income]]&gt;=100000,"Upper",IF(D589&gt;=50000,"Middle","Lower"))</f>
        <v>Lower</v>
      </c>
      <c r="F589" s="2" t="s">
        <v>4</v>
      </c>
      <c r="G589" s="3">
        <f>IF(ISBLANK('Raw sheet'!F589),AVERAGE('Raw sheet'!$F$2:'Raw sheet'!$F$1500),'Raw sheet'!F589)</f>
        <v>6.03</v>
      </c>
      <c r="H589" s="18">
        <v>75.2</v>
      </c>
      <c r="I589" s="9" t="str">
        <f t="shared" si="18"/>
        <v>Good</v>
      </c>
      <c r="J589" s="2">
        <v>1</v>
      </c>
      <c r="K589" s="2">
        <v>17.3</v>
      </c>
      <c r="L589" s="2" t="s">
        <v>4</v>
      </c>
      <c r="M589" s="2" t="s">
        <v>3</v>
      </c>
      <c r="N589" s="5">
        <f>IF(ISBLANK('Raw sheet'!L589),AVERAGE('Raw sheet'!$L$2:'Raw sheet'!$L$1500),'Raw sheet'!L589)</f>
        <v>4.9000000000000004</v>
      </c>
      <c r="O589" s="5" t="str">
        <f>IF(Table1[[#This Row],[Stress_Index]]&gt;=8,"High",IF(N589&gt;=5,"Medium","Low"))</f>
        <v>Low</v>
      </c>
      <c r="P589" s="3">
        <v>2.54</v>
      </c>
      <c r="Q589" s="2">
        <v>2.5299999999999998</v>
      </c>
      <c r="R589" s="3">
        <v>2.5499999999999998</v>
      </c>
      <c r="S589" s="3" t="str">
        <f>IF(Table1[[#This Row],[CGPA]]&gt;=3,"High",IF(R588&gt;=2,"Medium","Low"))</f>
        <v>Medium</v>
      </c>
      <c r="T589" s="2" t="s">
        <v>10</v>
      </c>
      <c r="U589" s="2" t="s">
        <v>8</v>
      </c>
      <c r="V589" s="2" t="s">
        <v>15</v>
      </c>
      <c r="W589" s="7">
        <v>0</v>
      </c>
      <c r="X589" t="str">
        <f t="shared" si="19"/>
        <v>Active</v>
      </c>
    </row>
    <row r="590" spans="1:24" x14ac:dyDescent="0.3">
      <c r="A590" s="2">
        <v>589</v>
      </c>
      <c r="B590" s="7">
        <v>22.8</v>
      </c>
      <c r="C590" s="2" t="s">
        <v>5</v>
      </c>
      <c r="D590" s="7">
        <f>IF(ISBLANK('Raw sheet'!D590),AVERAGE('Raw sheet'!$D$2:'Raw sheet'!$D$1500),'Raw sheet'!D590)</f>
        <v>44583</v>
      </c>
      <c r="E590" s="7" t="str">
        <f>IF(Table1[[#This Row],[Family_Income]]&gt;=100000,"Upper",IF(D590&gt;=50000,"Middle","Lower"))</f>
        <v>Lower</v>
      </c>
      <c r="F590" s="2" t="s">
        <v>3</v>
      </c>
      <c r="G590" s="3">
        <f>IF(ISBLANK('Raw sheet'!F590),AVERAGE('Raw sheet'!$F$2:'Raw sheet'!$F$1500),'Raw sheet'!F590)</f>
        <v>4.92</v>
      </c>
      <c r="H590" s="18">
        <v>74.099999999999994</v>
      </c>
      <c r="I590" s="9" t="str">
        <f t="shared" si="18"/>
        <v>Low</v>
      </c>
      <c r="J590" s="2">
        <v>3</v>
      </c>
      <c r="K590" s="2">
        <v>34.9</v>
      </c>
      <c r="L590" s="2" t="s">
        <v>3</v>
      </c>
      <c r="M590" s="2" t="s">
        <v>3</v>
      </c>
      <c r="N590" s="5">
        <f>IF(ISBLANK('Raw sheet'!L590),AVERAGE('Raw sheet'!$L$2:'Raw sheet'!$L$1500),'Raw sheet'!L590)</f>
        <v>3.9</v>
      </c>
      <c r="O590" s="5" t="str">
        <f>IF(Table1[[#This Row],[Stress_Index]]&gt;=8,"High",IF(N590&gt;=5,"Medium","Low"))</f>
        <v>Low</v>
      </c>
      <c r="P590" s="3">
        <v>0.34</v>
      </c>
      <c r="Q590" s="2">
        <v>0.53</v>
      </c>
      <c r="R590" s="3">
        <v>0.53</v>
      </c>
      <c r="S590" s="3" t="str">
        <f>IF(Table1[[#This Row],[CGPA]]&gt;=3,"High",IF(R589&gt;=2,"Medium","Low"))</f>
        <v>Medium</v>
      </c>
      <c r="T590" s="2" t="s">
        <v>2</v>
      </c>
      <c r="U590" s="2" t="s">
        <v>6</v>
      </c>
      <c r="V590" s="2" t="s">
        <v>0</v>
      </c>
      <c r="W590" s="7">
        <v>1</v>
      </c>
      <c r="X590" t="str">
        <f t="shared" si="19"/>
        <v>Dropped Out</v>
      </c>
    </row>
    <row r="591" spans="1:24" x14ac:dyDescent="0.3">
      <c r="A591" s="2">
        <v>590</v>
      </c>
      <c r="B591" s="7">
        <v>19.100000000000001</v>
      </c>
      <c r="C591" s="2" t="s">
        <v>5</v>
      </c>
      <c r="D591" s="7">
        <f>IF(ISBLANK('Raw sheet'!D591),AVERAGE('Raw sheet'!$D$2:'Raw sheet'!$D$1500),'Raw sheet'!D591)</f>
        <v>25000</v>
      </c>
      <c r="E591" s="7" t="str">
        <f>IF(Table1[[#This Row],[Family_Income]]&gt;=100000,"Upper",IF(D591&gt;=50000,"Middle","Lower"))</f>
        <v>Lower</v>
      </c>
      <c r="F591" s="2" t="s">
        <v>4</v>
      </c>
      <c r="G591" s="3">
        <f>IF(ISBLANK('Raw sheet'!F591),AVERAGE('Raw sheet'!$F$2:'Raw sheet'!$F$1500),'Raw sheet'!F591)</f>
        <v>3.44</v>
      </c>
      <c r="H591" s="18">
        <v>79.599999999999994</v>
      </c>
      <c r="I591" s="9" t="str">
        <f t="shared" si="18"/>
        <v>Good</v>
      </c>
      <c r="J591" s="2">
        <v>3</v>
      </c>
      <c r="K591" s="2">
        <v>19.399999999999999</v>
      </c>
      <c r="L591" s="2" t="s">
        <v>3</v>
      </c>
      <c r="M591" s="2" t="s">
        <v>3</v>
      </c>
      <c r="N591" s="5">
        <f>IF(ISBLANK('Raw sheet'!L591),AVERAGE('Raw sheet'!$L$2:'Raw sheet'!$L$1500),'Raw sheet'!L591)</f>
        <v>5.6</v>
      </c>
      <c r="O591" s="5" t="str">
        <f>IF(Table1[[#This Row],[Stress_Index]]&gt;=8,"High",IF(N591&gt;=5,"Medium","Low"))</f>
        <v>Medium</v>
      </c>
      <c r="P591" s="3">
        <v>3.18</v>
      </c>
      <c r="Q591" s="2">
        <v>3.55</v>
      </c>
      <c r="R591" s="3">
        <v>3.55</v>
      </c>
      <c r="S591" s="3" t="str">
        <f>IF(Table1[[#This Row],[CGPA]]&gt;=3,"High",IF(R590&gt;=2,"Medium","Low"))</f>
        <v>High</v>
      </c>
      <c r="T591" s="2" t="s">
        <v>2</v>
      </c>
      <c r="U591" s="2" t="s">
        <v>6</v>
      </c>
      <c r="V591" s="2" t="s">
        <v>15</v>
      </c>
      <c r="W591" s="7">
        <v>0</v>
      </c>
      <c r="X591" t="str">
        <f t="shared" si="19"/>
        <v>Active</v>
      </c>
    </row>
    <row r="592" spans="1:24" x14ac:dyDescent="0.3">
      <c r="A592" s="2">
        <v>591</v>
      </c>
      <c r="B592" s="7">
        <v>21.2</v>
      </c>
      <c r="C592" s="2" t="s">
        <v>5</v>
      </c>
      <c r="D592" s="7">
        <f>IF(ISBLANK('Raw sheet'!D592),AVERAGE('Raw sheet'!$D$2:'Raw sheet'!$D$1500),'Raw sheet'!D592)</f>
        <v>65752</v>
      </c>
      <c r="E592" s="7" t="str">
        <f>IF(Table1[[#This Row],[Family_Income]]&gt;=100000,"Upper",IF(D592&gt;=50000,"Middle","Lower"))</f>
        <v>Middle</v>
      </c>
      <c r="F592" s="2" t="s">
        <v>4</v>
      </c>
      <c r="G592" s="3">
        <f>IF(ISBLANK('Raw sheet'!F592),AVERAGE('Raw sheet'!$F$2:'Raw sheet'!$F$1500),'Raw sheet'!F592)</f>
        <v>3.25</v>
      </c>
      <c r="H592" s="18">
        <v>77.3</v>
      </c>
      <c r="I592" s="9" t="str">
        <f t="shared" si="18"/>
        <v>Good</v>
      </c>
      <c r="J592" s="2">
        <v>1</v>
      </c>
      <c r="K592" s="2">
        <v>39</v>
      </c>
      <c r="L592" s="2" t="s">
        <v>3</v>
      </c>
      <c r="M592" s="2" t="s">
        <v>3</v>
      </c>
      <c r="N592" s="5">
        <f>IF(ISBLANK('Raw sheet'!L592),AVERAGE('Raw sheet'!$L$2:'Raw sheet'!$L$1500),'Raw sheet'!L592)</f>
        <v>10</v>
      </c>
      <c r="O592" s="5" t="str">
        <f>IF(Table1[[#This Row],[Stress_Index]]&gt;=8,"High",IF(N592&gt;=5,"Medium","Low"))</f>
        <v>High</v>
      </c>
      <c r="P592" s="3">
        <v>0.95</v>
      </c>
      <c r="Q592" s="2">
        <v>0.82</v>
      </c>
      <c r="R592" s="3">
        <v>0.83</v>
      </c>
      <c r="S592" s="3" t="str">
        <f>IF(Table1[[#This Row],[CGPA]]&gt;=3,"High",IF(R591&gt;=2,"Medium","Low"))</f>
        <v>Medium</v>
      </c>
      <c r="T592" s="2" t="s">
        <v>10</v>
      </c>
      <c r="U592" s="2" t="s">
        <v>8</v>
      </c>
      <c r="V592" s="2" t="s">
        <v>0</v>
      </c>
      <c r="W592" s="7">
        <v>0</v>
      </c>
      <c r="X592" t="str">
        <f t="shared" si="19"/>
        <v>Active</v>
      </c>
    </row>
    <row r="593" spans="1:24" x14ac:dyDescent="0.3">
      <c r="A593" s="2">
        <v>592</v>
      </c>
      <c r="B593" s="7">
        <v>19.899999999999999</v>
      </c>
      <c r="C593" s="2" t="s">
        <v>5</v>
      </c>
      <c r="D593" s="7">
        <f>IF(ISBLANK('Raw sheet'!D593),AVERAGE('Raw sheet'!$D$2:'Raw sheet'!$D$1500),'Raw sheet'!D593)</f>
        <v>32166</v>
      </c>
      <c r="E593" s="7" t="str">
        <f>IF(Table1[[#This Row],[Family_Income]]&gt;=100000,"Upper",IF(D593&gt;=50000,"Middle","Lower"))</f>
        <v>Lower</v>
      </c>
      <c r="F593" s="2" t="s">
        <v>4</v>
      </c>
      <c r="G593" s="3">
        <f>IF(ISBLANK('Raw sheet'!F593),AVERAGE('Raw sheet'!$F$2:'Raw sheet'!$F$1500),'Raw sheet'!F593)</f>
        <v>5.95</v>
      </c>
      <c r="H593" s="18">
        <v>83.9</v>
      </c>
      <c r="I593" s="9" t="str">
        <f t="shared" si="18"/>
        <v>Good</v>
      </c>
      <c r="J593" s="2">
        <v>0</v>
      </c>
      <c r="K593" s="2">
        <v>35.299999999999997</v>
      </c>
      <c r="L593" s="2" t="s">
        <v>3</v>
      </c>
      <c r="M593" s="2" t="s">
        <v>3</v>
      </c>
      <c r="N593" s="5">
        <f>IF(ISBLANK('Raw sheet'!L593),AVERAGE('Raw sheet'!$L$2:'Raw sheet'!$L$1500),'Raw sheet'!L593)</f>
        <v>3</v>
      </c>
      <c r="O593" s="5" t="str">
        <f>IF(Table1[[#This Row],[Stress_Index]]&gt;=8,"High",IF(N593&gt;=5,"Medium","Low"))</f>
        <v>Low</v>
      </c>
      <c r="P593" s="3">
        <v>2.99</v>
      </c>
      <c r="Q593" s="2">
        <v>2.56</v>
      </c>
      <c r="R593" s="3">
        <v>2.56</v>
      </c>
      <c r="S593" s="3" t="str">
        <f>IF(Table1[[#This Row],[CGPA]]&gt;=3,"High",IF(R592&gt;=2,"Medium","Low"))</f>
        <v>Low</v>
      </c>
      <c r="T593" s="2" t="s">
        <v>2</v>
      </c>
      <c r="U593" s="2" t="s">
        <v>14</v>
      </c>
      <c r="V593" s="2" t="s">
        <v>16</v>
      </c>
      <c r="W593" s="7">
        <v>0</v>
      </c>
      <c r="X593" t="str">
        <f t="shared" si="19"/>
        <v>Active</v>
      </c>
    </row>
    <row r="594" spans="1:24" x14ac:dyDescent="0.3">
      <c r="A594" s="2">
        <v>593</v>
      </c>
      <c r="B594" s="7">
        <v>22.1</v>
      </c>
      <c r="C594" s="2" t="s">
        <v>11</v>
      </c>
      <c r="D594" s="7">
        <f>IF(ISBLANK('Raw sheet'!D594),AVERAGE('Raw sheet'!$D$2:'Raw sheet'!$D$1500),'Raw sheet'!D594)</f>
        <v>25000</v>
      </c>
      <c r="E594" s="7" t="str">
        <f>IF(Table1[[#This Row],[Family_Income]]&gt;=100000,"Upper",IF(D594&gt;=50000,"Middle","Lower"))</f>
        <v>Lower</v>
      </c>
      <c r="F594" s="2" t="s">
        <v>4</v>
      </c>
      <c r="G594" s="3">
        <f>IF(ISBLANK('Raw sheet'!F594),AVERAGE('Raw sheet'!$F$2:'Raw sheet'!$F$1500),'Raw sheet'!F594)</f>
        <v>3.38</v>
      </c>
      <c r="H594" s="18">
        <v>83.4</v>
      </c>
      <c r="I594" s="9" t="str">
        <f t="shared" si="18"/>
        <v>Good</v>
      </c>
      <c r="J594" s="2">
        <v>2</v>
      </c>
      <c r="K594" s="2">
        <v>32.9</v>
      </c>
      <c r="L594" s="2" t="s">
        <v>4</v>
      </c>
      <c r="M594" s="2" t="s">
        <v>3</v>
      </c>
      <c r="N594" s="5">
        <f>IF(ISBLANK('Raw sheet'!L594),AVERAGE('Raw sheet'!$L$2:'Raw sheet'!$L$1500),'Raw sheet'!L594)</f>
        <v>6.7</v>
      </c>
      <c r="O594" s="5" t="str">
        <f>IF(Table1[[#This Row],[Stress_Index]]&gt;=8,"High",IF(N594&gt;=5,"Medium","Low"))</f>
        <v>Medium</v>
      </c>
      <c r="P594" s="3">
        <v>0</v>
      </c>
      <c r="Q594" s="2">
        <v>0</v>
      </c>
      <c r="R594" s="3">
        <v>0</v>
      </c>
      <c r="S594" s="3" t="str">
        <f>IF(Table1[[#This Row],[CGPA]]&gt;=3,"High",IF(R593&gt;=2,"Medium","Low"))</f>
        <v>Medium</v>
      </c>
      <c r="T594" s="2" t="s">
        <v>10</v>
      </c>
      <c r="U594" s="2" t="s">
        <v>1</v>
      </c>
      <c r="V594" s="2" t="s">
        <v>9</v>
      </c>
      <c r="W594" s="7">
        <v>1</v>
      </c>
      <c r="X594" t="str">
        <f t="shared" si="19"/>
        <v>Dropped Out</v>
      </c>
    </row>
    <row r="595" spans="1:24" x14ac:dyDescent="0.3">
      <c r="A595" s="2">
        <v>594</v>
      </c>
      <c r="B595" s="7">
        <v>21.7</v>
      </c>
      <c r="C595" s="2" t="s">
        <v>5</v>
      </c>
      <c r="D595" s="7">
        <f>IF(ISBLANK('Raw sheet'!D595),AVERAGE('Raw sheet'!$D$2:'Raw sheet'!$D$1500),'Raw sheet'!D595)</f>
        <v>31589</v>
      </c>
      <c r="E595" s="7" t="str">
        <f>IF(Table1[[#This Row],[Family_Income]]&gt;=100000,"Upper",IF(D595&gt;=50000,"Middle","Lower"))</f>
        <v>Lower</v>
      </c>
      <c r="F595" s="2" t="s">
        <v>4</v>
      </c>
      <c r="G595" s="3">
        <f>IF(ISBLANK('Raw sheet'!F595),AVERAGE('Raw sheet'!$F$2:'Raw sheet'!$F$1500),'Raw sheet'!F595)</f>
        <v>1.58</v>
      </c>
      <c r="H595" s="18">
        <v>74.099999999999994</v>
      </c>
      <c r="I595" s="9" t="str">
        <f t="shared" si="18"/>
        <v>Low</v>
      </c>
      <c r="J595" s="2">
        <v>1</v>
      </c>
      <c r="K595" s="2">
        <v>53.5</v>
      </c>
      <c r="L595" s="2" t="s">
        <v>3</v>
      </c>
      <c r="M595" s="2" t="s">
        <v>4</v>
      </c>
      <c r="N595" s="5">
        <f>IF(ISBLANK('Raw sheet'!L595),AVERAGE('Raw sheet'!$L$2:'Raw sheet'!$L$1500),'Raw sheet'!L595)</f>
        <v>5.8</v>
      </c>
      <c r="O595" s="5" t="str">
        <f>IF(Table1[[#This Row],[Stress_Index]]&gt;=8,"High",IF(N595&gt;=5,"Medium","Low"))</f>
        <v>Medium</v>
      </c>
      <c r="P595" s="3">
        <v>1.79</v>
      </c>
      <c r="Q595" s="2">
        <v>1.92</v>
      </c>
      <c r="R595" s="3">
        <v>1.91</v>
      </c>
      <c r="S595" s="3" t="str">
        <f>IF(Table1[[#This Row],[CGPA]]&gt;=3,"High",IF(R594&gt;=2,"Medium","Low"))</f>
        <v>Low</v>
      </c>
      <c r="T595" s="2" t="s">
        <v>7</v>
      </c>
      <c r="U595" s="2" t="s">
        <v>6</v>
      </c>
      <c r="V595" s="2" t="s">
        <v>15</v>
      </c>
      <c r="W595" s="7">
        <v>0</v>
      </c>
      <c r="X595" t="str">
        <f t="shared" si="19"/>
        <v>Active</v>
      </c>
    </row>
    <row r="596" spans="1:24" x14ac:dyDescent="0.3">
      <c r="A596" s="2">
        <v>595</v>
      </c>
      <c r="B596" s="7">
        <v>23.3</v>
      </c>
      <c r="C596" s="2" t="s">
        <v>11</v>
      </c>
      <c r="D596" s="7">
        <f>IF(ISBLANK('Raw sheet'!D596),AVERAGE('Raw sheet'!$D$2:'Raw sheet'!$D$1500),'Raw sheet'!D596)</f>
        <v>57269</v>
      </c>
      <c r="E596" s="7" t="str">
        <f>IF(Table1[[#This Row],[Family_Income]]&gt;=100000,"Upper",IF(D596&gt;=50000,"Middle","Lower"))</f>
        <v>Middle</v>
      </c>
      <c r="F596" s="2" t="s">
        <v>4</v>
      </c>
      <c r="G596" s="3">
        <f>IF(ISBLANK('Raw sheet'!F596),AVERAGE('Raw sheet'!$F$2:'Raw sheet'!$F$1500),'Raw sheet'!F596)</f>
        <v>2.79</v>
      </c>
      <c r="H596" s="18">
        <v>68.3</v>
      </c>
      <c r="I596" s="9" t="str">
        <f t="shared" si="18"/>
        <v>Low</v>
      </c>
      <c r="J596" s="2">
        <v>1</v>
      </c>
      <c r="K596" s="2">
        <v>21.6</v>
      </c>
      <c r="L596" s="2" t="s">
        <v>4</v>
      </c>
      <c r="M596" s="2" t="s">
        <v>3</v>
      </c>
      <c r="N596" s="5">
        <f>IF(ISBLANK('Raw sheet'!L596),AVERAGE('Raw sheet'!$L$2:'Raw sheet'!$L$1500),'Raw sheet'!L596)</f>
        <v>6.2</v>
      </c>
      <c r="O596" s="5" t="str">
        <f>IF(Table1[[#This Row],[Stress_Index]]&gt;=8,"High",IF(N596&gt;=5,"Medium","Low"))</f>
        <v>Medium</v>
      </c>
      <c r="P596" s="3">
        <v>0</v>
      </c>
      <c r="Q596" s="2">
        <v>0</v>
      </c>
      <c r="R596" s="3">
        <v>0</v>
      </c>
      <c r="S596" s="3" t="str">
        <f>IF(Table1[[#This Row],[CGPA]]&gt;=3,"High",IF(R595&gt;=2,"Medium","Low"))</f>
        <v>Low</v>
      </c>
      <c r="T596" s="2" t="s">
        <v>12</v>
      </c>
      <c r="U596" s="2" t="s">
        <v>13</v>
      </c>
      <c r="V596" s="2" t="s">
        <v>9</v>
      </c>
      <c r="W596" s="7">
        <v>1</v>
      </c>
      <c r="X596" t="str">
        <f t="shared" si="19"/>
        <v>Dropped Out</v>
      </c>
    </row>
    <row r="597" spans="1:24" x14ac:dyDescent="0.3">
      <c r="A597" s="2">
        <v>596</v>
      </c>
      <c r="B597" s="7">
        <v>19.899999999999999</v>
      </c>
      <c r="C597" s="2" t="s">
        <v>11</v>
      </c>
      <c r="D597" s="7">
        <f>IF(ISBLANK('Raw sheet'!D597),AVERAGE('Raw sheet'!$D$2:'Raw sheet'!$D$1500),'Raw sheet'!D597)</f>
        <v>42602</v>
      </c>
      <c r="E597" s="7" t="str">
        <f>IF(Table1[[#This Row],[Family_Income]]&gt;=100000,"Upper",IF(D597&gt;=50000,"Middle","Lower"))</f>
        <v>Lower</v>
      </c>
      <c r="F597" s="2" t="s">
        <v>4</v>
      </c>
      <c r="G597" s="3">
        <f>IF(ISBLANK('Raw sheet'!F597),AVERAGE('Raw sheet'!$F$2:'Raw sheet'!$F$1500),'Raw sheet'!F597)</f>
        <v>4.16</v>
      </c>
      <c r="H597" s="18">
        <v>80.400000000000006</v>
      </c>
      <c r="I597" s="9" t="str">
        <f t="shared" si="18"/>
        <v>Good</v>
      </c>
      <c r="J597" s="2">
        <v>0</v>
      </c>
      <c r="K597" s="2">
        <v>41.1</v>
      </c>
      <c r="L597" s="2" t="s">
        <v>3</v>
      </c>
      <c r="M597" s="2" t="s">
        <v>4</v>
      </c>
      <c r="N597" s="5">
        <f>IF(ISBLANK('Raw sheet'!L597),AVERAGE('Raw sheet'!$L$2:'Raw sheet'!$L$1500),'Raw sheet'!L597)</f>
        <v>3.3</v>
      </c>
      <c r="O597" s="5" t="str">
        <f>IF(Table1[[#This Row],[Stress_Index]]&gt;=8,"High",IF(N597&gt;=5,"Medium","Low"))</f>
        <v>Low</v>
      </c>
      <c r="P597" s="3">
        <v>0.77</v>
      </c>
      <c r="Q597" s="2">
        <v>1.33</v>
      </c>
      <c r="R597" s="3">
        <v>1.33</v>
      </c>
      <c r="S597" s="3" t="str">
        <f>IF(Table1[[#This Row],[CGPA]]&gt;=3,"High",IF(R596&gt;=2,"Medium","Low"))</f>
        <v>Low</v>
      </c>
      <c r="T597" s="2" t="s">
        <v>12</v>
      </c>
      <c r="U597" s="2" t="s">
        <v>13</v>
      </c>
      <c r="V597" s="2" t="s">
        <v>0</v>
      </c>
      <c r="W597" s="7">
        <v>1</v>
      </c>
      <c r="X597" t="str">
        <f t="shared" si="19"/>
        <v>Dropped Out</v>
      </c>
    </row>
    <row r="598" spans="1:24" x14ac:dyDescent="0.3">
      <c r="A598" s="2">
        <v>597</v>
      </c>
      <c r="B598" s="7">
        <v>20.399999999999999</v>
      </c>
      <c r="C598" s="2" t="s">
        <v>11</v>
      </c>
      <c r="D598" s="7">
        <f>IF(ISBLANK('Raw sheet'!D598),AVERAGE('Raw sheet'!$D$2:'Raw sheet'!$D$1500),'Raw sheet'!D598)</f>
        <v>57494</v>
      </c>
      <c r="E598" s="7" t="str">
        <f>IF(Table1[[#This Row],[Family_Income]]&gt;=100000,"Upper",IF(D598&gt;=50000,"Middle","Lower"))</f>
        <v>Middle</v>
      </c>
      <c r="F598" s="2" t="s">
        <v>3</v>
      </c>
      <c r="G598" s="3">
        <f>IF(ISBLANK('Raw sheet'!F598),AVERAGE('Raw sheet'!$F$2:'Raw sheet'!$F$1500),'Raw sheet'!F598)</f>
        <v>2.98</v>
      </c>
      <c r="H598" s="18">
        <v>90.8</v>
      </c>
      <c r="I598" s="9" t="str">
        <f t="shared" si="18"/>
        <v>Good</v>
      </c>
      <c r="J598" s="2">
        <v>1</v>
      </c>
      <c r="K598" s="2">
        <v>44.1</v>
      </c>
      <c r="L598" s="2" t="s">
        <v>3</v>
      </c>
      <c r="M598" s="2" t="s">
        <v>3</v>
      </c>
      <c r="N598" s="5">
        <f>IF(ISBLANK('Raw sheet'!L598),AVERAGE('Raw sheet'!$L$2:'Raw sheet'!$L$1500),'Raw sheet'!L598)</f>
        <v>6.3</v>
      </c>
      <c r="O598" s="5" t="str">
        <f>IF(Table1[[#This Row],[Stress_Index]]&gt;=8,"High",IF(N598&gt;=5,"Medium","Low"))</f>
        <v>Medium</v>
      </c>
      <c r="P598" s="3">
        <v>3.37</v>
      </c>
      <c r="Q598" s="2">
        <v>3.62</v>
      </c>
      <c r="R598" s="3">
        <v>3.62</v>
      </c>
      <c r="S598" s="3" t="str">
        <f>IF(Table1[[#This Row],[CGPA]]&gt;=3,"High",IF(R597&gt;=2,"Medium","Low"))</f>
        <v>High</v>
      </c>
      <c r="T598" s="2" t="s">
        <v>2</v>
      </c>
      <c r="U598" s="2" t="s">
        <v>6</v>
      </c>
      <c r="V598" s="2" t="s">
        <v>0</v>
      </c>
      <c r="W598" s="7">
        <v>0</v>
      </c>
      <c r="X598" t="str">
        <f t="shared" si="19"/>
        <v>Active</v>
      </c>
    </row>
    <row r="599" spans="1:24" x14ac:dyDescent="0.3">
      <c r="A599" s="2">
        <v>598</v>
      </c>
      <c r="B599" s="7">
        <v>18.8</v>
      </c>
      <c r="C599" s="2" t="s">
        <v>11</v>
      </c>
      <c r="D599" s="7">
        <f>IF(ISBLANK('Raw sheet'!D599),AVERAGE('Raw sheet'!$D$2:'Raw sheet'!$D$1500),'Raw sheet'!D599)</f>
        <v>25000</v>
      </c>
      <c r="E599" s="7" t="str">
        <f>IF(Table1[[#This Row],[Family_Income]]&gt;=100000,"Upper",IF(D599&gt;=50000,"Middle","Lower"))</f>
        <v>Lower</v>
      </c>
      <c r="F599" s="2" t="s">
        <v>4</v>
      </c>
      <c r="G599" s="3">
        <f>IF(ISBLANK('Raw sheet'!F599),AVERAGE('Raw sheet'!$F$2:'Raw sheet'!$F$1500),'Raw sheet'!F599)</f>
        <v>7.11</v>
      </c>
      <c r="H599" s="18">
        <v>81.5</v>
      </c>
      <c r="I599" s="9" t="str">
        <f t="shared" si="18"/>
        <v>Good</v>
      </c>
      <c r="J599" s="2">
        <v>2</v>
      </c>
      <c r="K599" s="2">
        <v>41.1</v>
      </c>
      <c r="L599" s="2" t="s">
        <v>3</v>
      </c>
      <c r="M599" s="2" t="s">
        <v>4</v>
      </c>
      <c r="N599" s="5">
        <f>IF(ISBLANK('Raw sheet'!L599),AVERAGE('Raw sheet'!$L$2:'Raw sheet'!$L$1500),'Raw sheet'!L599)</f>
        <v>6</v>
      </c>
      <c r="O599" s="5" t="str">
        <f>IF(Table1[[#This Row],[Stress_Index]]&gt;=8,"High",IF(N599&gt;=5,"Medium","Low"))</f>
        <v>Medium</v>
      </c>
      <c r="P599" s="3">
        <v>2.5099999999999998</v>
      </c>
      <c r="Q599" s="2">
        <v>2.82</v>
      </c>
      <c r="R599" s="3">
        <v>2.8</v>
      </c>
      <c r="S599" s="3" t="str">
        <f>IF(Table1[[#This Row],[CGPA]]&gt;=3,"High",IF(R598&gt;=2,"Medium","Low"))</f>
        <v>Medium</v>
      </c>
      <c r="T599" s="2" t="s">
        <v>10</v>
      </c>
      <c r="U599" s="2" t="s">
        <v>13</v>
      </c>
      <c r="V599" s="2" t="s">
        <v>9</v>
      </c>
      <c r="W599" s="7">
        <v>0</v>
      </c>
      <c r="X599" t="str">
        <f t="shared" si="19"/>
        <v>Active</v>
      </c>
    </row>
    <row r="600" spans="1:24" x14ac:dyDescent="0.3">
      <c r="A600" s="2">
        <v>599</v>
      </c>
      <c r="B600" s="7">
        <v>20</v>
      </c>
      <c r="C600" s="2" t="s">
        <v>5</v>
      </c>
      <c r="D600" s="7">
        <f>IF(ISBLANK('Raw sheet'!D600),AVERAGE('Raw sheet'!$D$2:'Raw sheet'!$D$1500),'Raw sheet'!D600)</f>
        <v>25000</v>
      </c>
      <c r="E600" s="7" t="str">
        <f>IF(Table1[[#This Row],[Family_Income]]&gt;=100000,"Upper",IF(D600&gt;=50000,"Middle","Lower"))</f>
        <v>Lower</v>
      </c>
      <c r="F600" s="2" t="s">
        <v>4</v>
      </c>
      <c r="G600" s="3">
        <f>IF(ISBLANK('Raw sheet'!F600),AVERAGE('Raw sheet'!$F$2:'Raw sheet'!$F$1500),'Raw sheet'!F600)</f>
        <v>3.16</v>
      </c>
      <c r="H600" s="18">
        <v>79.2</v>
      </c>
      <c r="I600" s="9" t="str">
        <f t="shared" si="18"/>
        <v>Good</v>
      </c>
      <c r="J600" s="2">
        <v>4</v>
      </c>
      <c r="K600" s="2">
        <v>21.9</v>
      </c>
      <c r="L600" s="2" t="s">
        <v>4</v>
      </c>
      <c r="M600" s="2" t="s">
        <v>3</v>
      </c>
      <c r="N600" s="5">
        <f>IF(ISBLANK('Raw sheet'!L600),AVERAGE('Raw sheet'!$L$2:'Raw sheet'!$L$1500),'Raw sheet'!L600)</f>
        <v>2.8</v>
      </c>
      <c r="O600" s="5" t="str">
        <f>IF(Table1[[#This Row],[Stress_Index]]&gt;=8,"High",IF(N600&gt;=5,"Medium","Low"))</f>
        <v>Low</v>
      </c>
      <c r="P600" s="3">
        <v>3.47</v>
      </c>
      <c r="Q600" s="2">
        <v>3.61</v>
      </c>
      <c r="R600" s="3">
        <v>3.62</v>
      </c>
      <c r="S600" s="3" t="str">
        <f>IF(Table1[[#This Row],[CGPA]]&gt;=3,"High",IF(R599&gt;=2,"Medium","Low"))</f>
        <v>High</v>
      </c>
      <c r="T600" s="2" t="s">
        <v>10</v>
      </c>
      <c r="U600" s="2" t="s">
        <v>6</v>
      </c>
      <c r="V600" s="2" t="s">
        <v>0</v>
      </c>
      <c r="W600" s="7">
        <v>0</v>
      </c>
      <c r="X600" t="str">
        <f t="shared" si="19"/>
        <v>Active</v>
      </c>
    </row>
    <row r="601" spans="1:24" x14ac:dyDescent="0.3">
      <c r="A601" s="2">
        <v>600</v>
      </c>
      <c r="B601" s="7">
        <v>21.8</v>
      </c>
      <c r="C601" s="2" t="s">
        <v>11</v>
      </c>
      <c r="D601" s="7">
        <f>IF(ISBLANK('Raw sheet'!D601),AVERAGE('Raw sheet'!$D$2:'Raw sheet'!$D$1500),'Raw sheet'!D601)</f>
        <v>25000</v>
      </c>
      <c r="E601" s="7" t="str">
        <f>IF(Table1[[#This Row],[Family_Income]]&gt;=100000,"Upper",IF(D601&gt;=50000,"Middle","Lower"))</f>
        <v>Lower</v>
      </c>
      <c r="F601" s="2" t="s">
        <v>4</v>
      </c>
      <c r="G601" s="3">
        <f>IF(ISBLANK('Raw sheet'!F601),AVERAGE('Raw sheet'!$F$2:'Raw sheet'!$F$1500),'Raw sheet'!F601)</f>
        <v>3.19</v>
      </c>
      <c r="H601" s="18">
        <v>95.8</v>
      </c>
      <c r="I601" s="9" t="str">
        <f t="shared" si="18"/>
        <v>Good</v>
      </c>
      <c r="J601" s="2">
        <v>4</v>
      </c>
      <c r="K601" s="2">
        <v>27.2</v>
      </c>
      <c r="L601" s="2" t="s">
        <v>3</v>
      </c>
      <c r="M601" s="2" t="s">
        <v>3</v>
      </c>
      <c r="N601" s="5">
        <f>IF(ISBLANK('Raw sheet'!L601),AVERAGE('Raw sheet'!$L$2:'Raw sheet'!$L$1500),'Raw sheet'!L601)</f>
        <v>5.7</v>
      </c>
      <c r="O601" s="5" t="str">
        <f>IF(Table1[[#This Row],[Stress_Index]]&gt;=8,"High",IF(N601&gt;=5,"Medium","Low"))</f>
        <v>Medium</v>
      </c>
      <c r="P601" s="3">
        <v>0.98</v>
      </c>
      <c r="Q601" s="2">
        <v>0.88</v>
      </c>
      <c r="R601" s="3">
        <v>0.88</v>
      </c>
      <c r="S601" s="3" t="str">
        <f>IF(Table1[[#This Row],[CGPA]]&gt;=3,"High",IF(R600&gt;=2,"Medium","Low"))</f>
        <v>Medium</v>
      </c>
      <c r="T601" s="2" t="s">
        <v>2</v>
      </c>
      <c r="U601" s="2" t="s">
        <v>6</v>
      </c>
      <c r="V601" s="2" t="s">
        <v>0</v>
      </c>
      <c r="W601" s="7">
        <v>0</v>
      </c>
      <c r="X601" t="str">
        <f t="shared" si="19"/>
        <v>Active</v>
      </c>
    </row>
    <row r="602" spans="1:24" x14ac:dyDescent="0.3">
      <c r="A602" s="2">
        <v>601</v>
      </c>
      <c r="B602" s="7">
        <v>22.7</v>
      </c>
      <c r="C602" s="2" t="s">
        <v>11</v>
      </c>
      <c r="D602" s="7">
        <f>IF(ISBLANK('Raw sheet'!D602),AVERAGE('Raw sheet'!$D$2:'Raw sheet'!$D$1500),'Raw sheet'!D602)</f>
        <v>83329</v>
      </c>
      <c r="E602" s="7" t="str">
        <f>IF(Table1[[#This Row],[Family_Income]]&gt;=100000,"Upper",IF(D602&gt;=50000,"Middle","Lower"))</f>
        <v>Middle</v>
      </c>
      <c r="F602" s="2" t="s">
        <v>4</v>
      </c>
      <c r="G602" s="3">
        <f>IF(ISBLANK('Raw sheet'!F602),AVERAGE('Raw sheet'!$F$2:'Raw sheet'!$F$1500),'Raw sheet'!F602)</f>
        <v>2.72</v>
      </c>
      <c r="H602" s="18">
        <v>88</v>
      </c>
      <c r="I602" s="9" t="str">
        <f t="shared" si="18"/>
        <v>Good</v>
      </c>
      <c r="J602" s="2">
        <v>3</v>
      </c>
      <c r="K602" s="2">
        <v>22.7</v>
      </c>
      <c r="L602" s="2" t="s">
        <v>4</v>
      </c>
      <c r="M602" s="2" t="s">
        <v>4</v>
      </c>
      <c r="N602" s="5">
        <f>IF(ISBLANK('Raw sheet'!L602),AVERAGE('Raw sheet'!$L$2:'Raw sheet'!$L$1500),'Raw sheet'!L602)</f>
        <v>5.0999999999999996</v>
      </c>
      <c r="O602" s="5" t="str">
        <f>IF(Table1[[#This Row],[Stress_Index]]&gt;=8,"High",IF(N602&gt;=5,"Medium","Low"))</f>
        <v>Medium</v>
      </c>
      <c r="P602" s="3">
        <v>1.58</v>
      </c>
      <c r="Q602" s="2">
        <v>1.26</v>
      </c>
      <c r="R602" s="3">
        <v>1.33</v>
      </c>
      <c r="S602" s="3" t="str">
        <f>IF(Table1[[#This Row],[CGPA]]&gt;=3,"High",IF(R601&gt;=2,"Medium","Low"))</f>
        <v>Low</v>
      </c>
      <c r="T602" s="2" t="s">
        <v>12</v>
      </c>
      <c r="U602" s="2" t="s">
        <v>6</v>
      </c>
      <c r="V602" s="2" t="s">
        <v>15</v>
      </c>
      <c r="W602" s="7">
        <v>0</v>
      </c>
      <c r="X602" t="str">
        <f t="shared" si="19"/>
        <v>Active</v>
      </c>
    </row>
    <row r="603" spans="1:24" x14ac:dyDescent="0.3">
      <c r="A603" s="2">
        <v>602</v>
      </c>
      <c r="B603" s="7">
        <v>19</v>
      </c>
      <c r="C603" s="2" t="s">
        <v>11</v>
      </c>
      <c r="D603" s="7">
        <f>IF(ISBLANK('Raw sheet'!D603),AVERAGE('Raw sheet'!$D$2:'Raw sheet'!$D$1500),'Raw sheet'!D603)</f>
        <v>43635</v>
      </c>
      <c r="E603" s="7" t="str">
        <f>IF(Table1[[#This Row],[Family_Income]]&gt;=100000,"Upper",IF(D603&gt;=50000,"Middle","Lower"))</f>
        <v>Lower</v>
      </c>
      <c r="F603" s="2" t="s">
        <v>4</v>
      </c>
      <c r="G603" s="3">
        <f>IF(ISBLANK('Raw sheet'!F603),AVERAGE('Raw sheet'!$F$2:'Raw sheet'!$F$1500),'Raw sheet'!F603)</f>
        <v>5.15</v>
      </c>
      <c r="H603" s="18">
        <v>68.2</v>
      </c>
      <c r="I603" s="9" t="str">
        <f t="shared" si="18"/>
        <v>Low</v>
      </c>
      <c r="J603" s="2">
        <v>2</v>
      </c>
      <c r="K603" s="2">
        <v>26.4</v>
      </c>
      <c r="L603" s="2" t="s">
        <v>4</v>
      </c>
      <c r="M603" s="2" t="s">
        <v>4</v>
      </c>
      <c r="N603" s="5">
        <f>IF(ISBLANK('Raw sheet'!L603),AVERAGE('Raw sheet'!$L$2:'Raw sheet'!$L$1500),'Raw sheet'!L603)</f>
        <v>4.9000000000000004</v>
      </c>
      <c r="O603" s="5" t="str">
        <f>IF(Table1[[#This Row],[Stress_Index]]&gt;=8,"High",IF(N603&gt;=5,"Medium","Low"))</f>
        <v>Low</v>
      </c>
      <c r="P603" s="3">
        <v>2.04</v>
      </c>
      <c r="Q603" s="2">
        <v>1.63</v>
      </c>
      <c r="R603" s="3">
        <v>1.56</v>
      </c>
      <c r="S603" s="3" t="str">
        <f>IF(Table1[[#This Row],[CGPA]]&gt;=3,"High",IF(R602&gt;=2,"Medium","Low"))</f>
        <v>Low</v>
      </c>
      <c r="T603" s="2" t="s">
        <v>12</v>
      </c>
      <c r="U603" s="2" t="s">
        <v>6</v>
      </c>
      <c r="V603" s="2" t="s">
        <v>9</v>
      </c>
      <c r="W603" s="7">
        <v>1</v>
      </c>
      <c r="X603" t="str">
        <f t="shared" si="19"/>
        <v>Dropped Out</v>
      </c>
    </row>
    <row r="604" spans="1:24" x14ac:dyDescent="0.3">
      <c r="A604" s="2">
        <v>603</v>
      </c>
      <c r="B604" s="7">
        <v>22.9</v>
      </c>
      <c r="C604" s="2" t="s">
        <v>5</v>
      </c>
      <c r="D604" s="7">
        <f>IF(ISBLANK('Raw sheet'!D604),AVERAGE('Raw sheet'!$D$2:'Raw sheet'!$D$1500),'Raw sheet'!D604)</f>
        <v>164096</v>
      </c>
      <c r="E604" s="7" t="str">
        <f>IF(Table1[[#This Row],[Family_Income]]&gt;=100000,"Upper",IF(D604&gt;=50000,"Middle","Lower"))</f>
        <v>Upper</v>
      </c>
      <c r="F604" s="2" t="s">
        <v>4</v>
      </c>
      <c r="G604" s="3">
        <f>IF(ISBLANK('Raw sheet'!F604),AVERAGE('Raw sheet'!$F$2:'Raw sheet'!$F$1500),'Raw sheet'!F604)</f>
        <v>3.64</v>
      </c>
      <c r="H604" s="18">
        <v>79.8</v>
      </c>
      <c r="I604" s="9" t="str">
        <f t="shared" si="18"/>
        <v>Good</v>
      </c>
      <c r="J604" s="2">
        <v>2</v>
      </c>
      <c r="K604" s="2">
        <v>19.899999999999999</v>
      </c>
      <c r="L604" s="2" t="s">
        <v>3</v>
      </c>
      <c r="M604" s="2" t="s">
        <v>3</v>
      </c>
      <c r="N604" s="5">
        <f>IF(ISBLANK('Raw sheet'!L604),AVERAGE('Raw sheet'!$L$2:'Raw sheet'!$L$1500),'Raw sheet'!L604)</f>
        <v>5.4</v>
      </c>
      <c r="O604" s="5" t="str">
        <f>IF(Table1[[#This Row],[Stress_Index]]&gt;=8,"High",IF(N604&gt;=5,"Medium","Low"))</f>
        <v>Medium</v>
      </c>
      <c r="P604" s="3">
        <v>0</v>
      </c>
      <c r="Q604" s="2">
        <v>0.2</v>
      </c>
      <c r="R604" s="3">
        <v>0.14000000000000001</v>
      </c>
      <c r="S604" s="3" t="str">
        <f>IF(Table1[[#This Row],[CGPA]]&gt;=3,"High",IF(R603&gt;=2,"Medium","Low"))</f>
        <v>Low</v>
      </c>
      <c r="T604" s="2" t="s">
        <v>7</v>
      </c>
      <c r="U604" s="2" t="s">
        <v>13</v>
      </c>
      <c r="V604" s="2" t="s">
        <v>0</v>
      </c>
      <c r="W604" s="7">
        <v>1</v>
      </c>
      <c r="X604" t="str">
        <f t="shared" si="19"/>
        <v>Dropped Out</v>
      </c>
    </row>
    <row r="605" spans="1:24" x14ac:dyDescent="0.3">
      <c r="A605" s="2">
        <v>604</v>
      </c>
      <c r="B605" s="7">
        <v>24</v>
      </c>
      <c r="C605" s="2" t="s">
        <v>5</v>
      </c>
      <c r="D605" s="7">
        <f>IF(ISBLANK('Raw sheet'!D605),AVERAGE('Raw sheet'!$D$2:'Raw sheet'!$D$1500),'Raw sheet'!D605)</f>
        <v>25000</v>
      </c>
      <c r="E605" s="7" t="str">
        <f>IF(Table1[[#This Row],[Family_Income]]&gt;=100000,"Upper",IF(D605&gt;=50000,"Middle","Lower"))</f>
        <v>Lower</v>
      </c>
      <c r="F605" s="2" t="s">
        <v>4</v>
      </c>
      <c r="G605" s="3">
        <f>IF(ISBLANK('Raw sheet'!F605),AVERAGE('Raw sheet'!$F$2:'Raw sheet'!$F$1500),'Raw sheet'!F605)</f>
        <v>5.0599999999999996</v>
      </c>
      <c r="H605" s="18">
        <v>83.8</v>
      </c>
      <c r="I605" s="9" t="str">
        <f t="shared" si="18"/>
        <v>Good</v>
      </c>
      <c r="J605" s="2">
        <v>2</v>
      </c>
      <c r="K605" s="2">
        <v>25.6</v>
      </c>
      <c r="L605" s="2" t="s">
        <v>3</v>
      </c>
      <c r="M605" s="2" t="s">
        <v>3</v>
      </c>
      <c r="N605" s="5">
        <f>IF(ISBLANK('Raw sheet'!L605),AVERAGE('Raw sheet'!$L$2:'Raw sheet'!$L$1500),'Raw sheet'!L605)</f>
        <v>7.5</v>
      </c>
      <c r="O605" s="5" t="str">
        <f>IF(Table1[[#This Row],[Stress_Index]]&gt;=8,"High",IF(N605&gt;=5,"Medium","Low"))</f>
        <v>Medium</v>
      </c>
      <c r="P605" s="3">
        <v>3.05</v>
      </c>
      <c r="Q605" s="2">
        <v>2.75</v>
      </c>
      <c r="R605" s="3">
        <v>2.71</v>
      </c>
      <c r="S605" s="3" t="str">
        <f>IF(Table1[[#This Row],[CGPA]]&gt;=3,"High",IF(R604&gt;=2,"Medium","Low"))</f>
        <v>Low</v>
      </c>
      <c r="T605" s="2" t="s">
        <v>12</v>
      </c>
      <c r="U605" s="2" t="s">
        <v>8</v>
      </c>
      <c r="V605" s="2" t="s">
        <v>17</v>
      </c>
      <c r="W605" s="7">
        <v>0</v>
      </c>
      <c r="X605" t="str">
        <f t="shared" si="19"/>
        <v>Active</v>
      </c>
    </row>
    <row r="606" spans="1:24" x14ac:dyDescent="0.3">
      <c r="A606" s="2">
        <v>605</v>
      </c>
      <c r="B606" s="7">
        <v>21.9</v>
      </c>
      <c r="C606" s="2" t="s">
        <v>5</v>
      </c>
      <c r="D606" s="7">
        <f>IF(ISBLANK('Raw sheet'!D606),AVERAGE('Raw sheet'!$D$2:'Raw sheet'!$D$1500),'Raw sheet'!D606)</f>
        <v>25000</v>
      </c>
      <c r="E606" s="7" t="str">
        <f>IF(Table1[[#This Row],[Family_Income]]&gt;=100000,"Upper",IF(D606&gt;=50000,"Middle","Lower"))</f>
        <v>Lower</v>
      </c>
      <c r="F606" s="2" t="s">
        <v>4</v>
      </c>
      <c r="G606" s="3">
        <f>IF(ISBLANK('Raw sheet'!F606),AVERAGE('Raw sheet'!$F$2:'Raw sheet'!$F$1500),'Raw sheet'!F606)</f>
        <v>5.5</v>
      </c>
      <c r="H606" s="18">
        <v>73.5</v>
      </c>
      <c r="I606" s="9" t="str">
        <f t="shared" si="18"/>
        <v>Low</v>
      </c>
      <c r="J606" s="2">
        <v>0</v>
      </c>
      <c r="K606" s="2">
        <v>47.6</v>
      </c>
      <c r="L606" s="2" t="s">
        <v>4</v>
      </c>
      <c r="M606" s="2" t="s">
        <v>3</v>
      </c>
      <c r="N606" s="5">
        <f>IF(ISBLANK('Raw sheet'!L606),AVERAGE('Raw sheet'!$L$2:'Raw sheet'!$L$1500),'Raw sheet'!L606)</f>
        <v>6.3</v>
      </c>
      <c r="O606" s="5" t="str">
        <f>IF(Table1[[#This Row],[Stress_Index]]&gt;=8,"High",IF(N606&gt;=5,"Medium","Low"))</f>
        <v>Medium</v>
      </c>
      <c r="P606" s="3">
        <v>3.07</v>
      </c>
      <c r="Q606" s="2">
        <v>3.38</v>
      </c>
      <c r="R606" s="3">
        <v>3.36</v>
      </c>
      <c r="S606" s="3" t="str">
        <f>IF(Table1[[#This Row],[CGPA]]&gt;=3,"High",IF(R605&gt;=2,"Medium","Low"))</f>
        <v>High</v>
      </c>
      <c r="T606" s="2" t="s">
        <v>7</v>
      </c>
      <c r="U606" s="2" t="s">
        <v>6</v>
      </c>
      <c r="V606" s="2" t="s">
        <v>15</v>
      </c>
      <c r="W606" s="7">
        <v>0</v>
      </c>
      <c r="X606" t="str">
        <f t="shared" si="19"/>
        <v>Active</v>
      </c>
    </row>
    <row r="607" spans="1:24" x14ac:dyDescent="0.3">
      <c r="A607" s="2">
        <v>606</v>
      </c>
      <c r="B607" s="7">
        <v>25.1</v>
      </c>
      <c r="C607" s="2" t="s">
        <v>11</v>
      </c>
      <c r="D607" s="7">
        <f>IF(ISBLANK('Raw sheet'!D607),AVERAGE('Raw sheet'!$D$2:'Raw sheet'!$D$1500),'Raw sheet'!D607)</f>
        <v>27291</v>
      </c>
      <c r="E607" s="7" t="str">
        <f>IF(Table1[[#This Row],[Family_Income]]&gt;=100000,"Upper",IF(D607&gt;=50000,"Middle","Lower"))</f>
        <v>Lower</v>
      </c>
      <c r="F607" s="2" t="s">
        <v>4</v>
      </c>
      <c r="G607" s="3">
        <f>IF(ISBLANK('Raw sheet'!F607),AVERAGE('Raw sheet'!$F$2:'Raw sheet'!$F$1500),'Raw sheet'!F607)</f>
        <v>4.47</v>
      </c>
      <c r="H607" s="18">
        <v>79.7</v>
      </c>
      <c r="I607" s="9" t="str">
        <f t="shared" si="18"/>
        <v>Good</v>
      </c>
      <c r="J607" s="2">
        <v>1</v>
      </c>
      <c r="K607" s="2">
        <v>26.2</v>
      </c>
      <c r="L607" s="2" t="s">
        <v>3</v>
      </c>
      <c r="M607" s="2" t="s">
        <v>3</v>
      </c>
      <c r="N607" s="5">
        <f>IF(ISBLANK('Raw sheet'!L607),AVERAGE('Raw sheet'!$L$2:'Raw sheet'!$L$1500),'Raw sheet'!L607)</f>
        <v>3.6</v>
      </c>
      <c r="O607" s="5" t="str">
        <f>IF(Table1[[#This Row],[Stress_Index]]&gt;=8,"High",IF(N607&gt;=5,"Medium","Low"))</f>
        <v>Low</v>
      </c>
      <c r="P607" s="3">
        <v>3.07</v>
      </c>
      <c r="Q607" s="2">
        <v>2.85</v>
      </c>
      <c r="R607" s="3">
        <v>2.84</v>
      </c>
      <c r="S607" s="3" t="str">
        <f>IF(Table1[[#This Row],[CGPA]]&gt;=3,"High",IF(R606&gt;=2,"Medium","Low"))</f>
        <v>Medium</v>
      </c>
      <c r="T607" s="2" t="s">
        <v>7</v>
      </c>
      <c r="U607" s="2" t="s">
        <v>1</v>
      </c>
      <c r="V607" s="2" t="s">
        <v>15</v>
      </c>
      <c r="W607" s="7">
        <v>0</v>
      </c>
      <c r="X607" t="str">
        <f t="shared" si="19"/>
        <v>Active</v>
      </c>
    </row>
    <row r="608" spans="1:24" x14ac:dyDescent="0.3">
      <c r="A608" s="2">
        <v>607</v>
      </c>
      <c r="B608" s="7">
        <v>19.3</v>
      </c>
      <c r="C608" s="2" t="s">
        <v>11</v>
      </c>
      <c r="D608" s="7">
        <f>IF(ISBLANK('Raw sheet'!D608),AVERAGE('Raw sheet'!$D$2:'Raw sheet'!$D$1500),'Raw sheet'!D608)</f>
        <v>67983</v>
      </c>
      <c r="E608" s="7" t="str">
        <f>IF(Table1[[#This Row],[Family_Income]]&gt;=100000,"Upper",IF(D608&gt;=50000,"Middle","Lower"))</f>
        <v>Middle</v>
      </c>
      <c r="F608" s="2" t="s">
        <v>4</v>
      </c>
      <c r="G608" s="3">
        <f>IF(ISBLANK('Raw sheet'!F608),AVERAGE('Raw sheet'!$F$2:'Raw sheet'!$F$1500),'Raw sheet'!F608)</f>
        <v>4.4000000000000004</v>
      </c>
      <c r="H608" s="18">
        <v>82.2</v>
      </c>
      <c r="I608" s="9" t="str">
        <f t="shared" si="18"/>
        <v>Good</v>
      </c>
      <c r="J608" s="2">
        <v>0</v>
      </c>
      <c r="K608" s="2">
        <v>31.3</v>
      </c>
      <c r="L608" s="2" t="s">
        <v>3</v>
      </c>
      <c r="M608" s="2" t="s">
        <v>4</v>
      </c>
      <c r="N608" s="5">
        <f>IF(ISBLANK('Raw sheet'!L608),AVERAGE('Raw sheet'!$L$2:'Raw sheet'!$L$1500),'Raw sheet'!L608)</f>
        <v>6.4</v>
      </c>
      <c r="O608" s="5" t="str">
        <f>IF(Table1[[#This Row],[Stress_Index]]&gt;=8,"High",IF(N608&gt;=5,"Medium","Low"))</f>
        <v>Medium</v>
      </c>
      <c r="P608" s="3">
        <v>1.75</v>
      </c>
      <c r="Q608" s="2">
        <v>1.86</v>
      </c>
      <c r="R608" s="3">
        <v>1.86</v>
      </c>
      <c r="S608" s="3" t="str">
        <f>IF(Table1[[#This Row],[CGPA]]&gt;=3,"High",IF(R607&gt;=2,"Medium","Low"))</f>
        <v>Medium</v>
      </c>
      <c r="T608" s="2" t="s">
        <v>2</v>
      </c>
      <c r="U608" s="2" t="s">
        <v>14</v>
      </c>
      <c r="V608" s="2" t="s">
        <v>15</v>
      </c>
      <c r="W608" s="7">
        <v>0</v>
      </c>
      <c r="X608" t="str">
        <f t="shared" si="19"/>
        <v>Active</v>
      </c>
    </row>
    <row r="609" spans="1:24" x14ac:dyDescent="0.3">
      <c r="A609" s="2">
        <v>608</v>
      </c>
      <c r="B609" s="7">
        <v>18.3</v>
      </c>
      <c r="C609" s="2" t="s">
        <v>5</v>
      </c>
      <c r="D609" s="7">
        <f>IF(ISBLANK('Raw sheet'!D609),AVERAGE('Raw sheet'!$D$2:'Raw sheet'!$D$1500),'Raw sheet'!D609)</f>
        <v>25000</v>
      </c>
      <c r="E609" s="7" t="str">
        <f>IF(Table1[[#This Row],[Family_Income]]&gt;=100000,"Upper",IF(D609&gt;=50000,"Middle","Lower"))</f>
        <v>Lower</v>
      </c>
      <c r="F609" s="2" t="s">
        <v>4</v>
      </c>
      <c r="G609" s="3">
        <f>IF(ISBLANK('Raw sheet'!F609),AVERAGE('Raw sheet'!$F$2:'Raw sheet'!$F$1500),'Raw sheet'!F609)</f>
        <v>2.44</v>
      </c>
      <c r="H609" s="18">
        <v>80.2</v>
      </c>
      <c r="I609" s="9" t="str">
        <f t="shared" si="18"/>
        <v>Good</v>
      </c>
      <c r="J609" s="2">
        <v>4</v>
      </c>
      <c r="K609" s="2">
        <v>21.3</v>
      </c>
      <c r="L609" s="2" t="s">
        <v>3</v>
      </c>
      <c r="M609" s="2" t="s">
        <v>3</v>
      </c>
      <c r="N609" s="5">
        <f>IF(ISBLANK('Raw sheet'!L609),AVERAGE('Raw sheet'!$L$2:'Raw sheet'!$L$1500),'Raw sheet'!L609)</f>
        <v>5.4</v>
      </c>
      <c r="O609" s="5" t="str">
        <f>IF(Table1[[#This Row],[Stress_Index]]&gt;=8,"High",IF(N609&gt;=5,"Medium","Low"))</f>
        <v>Medium</v>
      </c>
      <c r="P609" s="3">
        <v>1.33</v>
      </c>
      <c r="Q609" s="2">
        <v>1.57</v>
      </c>
      <c r="R609" s="3">
        <v>1.56</v>
      </c>
      <c r="S609" s="3" t="str">
        <f>IF(Table1[[#This Row],[CGPA]]&gt;=3,"High",IF(R608&gt;=2,"Medium","Low"))</f>
        <v>Low</v>
      </c>
      <c r="T609" s="2" t="s">
        <v>12</v>
      </c>
      <c r="U609" s="2" t="s">
        <v>6</v>
      </c>
      <c r="V609" s="2" t="s">
        <v>15</v>
      </c>
      <c r="W609" s="7">
        <v>0</v>
      </c>
      <c r="X609" t="str">
        <f t="shared" si="19"/>
        <v>Active</v>
      </c>
    </row>
    <row r="610" spans="1:24" x14ac:dyDescent="0.3">
      <c r="A610" s="2">
        <v>609</v>
      </c>
      <c r="B610" s="7">
        <v>17.100000000000001</v>
      </c>
      <c r="C610" s="2" t="s">
        <v>11</v>
      </c>
      <c r="D610" s="7">
        <f>IF(ISBLANK('Raw sheet'!D610),AVERAGE('Raw sheet'!$D$2:'Raw sheet'!$D$1500),'Raw sheet'!D610)</f>
        <v>32038</v>
      </c>
      <c r="E610" s="7" t="str">
        <f>IF(Table1[[#This Row],[Family_Income]]&gt;=100000,"Upper",IF(D610&gt;=50000,"Middle","Lower"))</f>
        <v>Lower</v>
      </c>
      <c r="F610" s="2" t="s">
        <v>4</v>
      </c>
      <c r="G610" s="3">
        <f>IF(ISBLANK('Raw sheet'!F610),AVERAGE('Raw sheet'!$F$2:'Raw sheet'!$F$1500),'Raw sheet'!F610)</f>
        <v>2.0299999999999998</v>
      </c>
      <c r="H610" s="18">
        <v>72.3</v>
      </c>
      <c r="I610" s="9" t="str">
        <f t="shared" si="18"/>
        <v>Low</v>
      </c>
      <c r="J610" s="2">
        <v>1</v>
      </c>
      <c r="K610" s="2">
        <v>29.8</v>
      </c>
      <c r="L610" s="2" t="s">
        <v>3</v>
      </c>
      <c r="M610" s="2" t="s">
        <v>3</v>
      </c>
      <c r="N610" s="5">
        <f>IF(ISBLANK('Raw sheet'!L610),AVERAGE('Raw sheet'!$L$2:'Raw sheet'!$L$1500),'Raw sheet'!L610)</f>
        <v>4.4000000000000004</v>
      </c>
      <c r="O610" s="5" t="str">
        <f>IF(Table1[[#This Row],[Stress_Index]]&gt;=8,"High",IF(N610&gt;=5,"Medium","Low"))</f>
        <v>Low</v>
      </c>
      <c r="P610" s="3">
        <v>0.28999999999999998</v>
      </c>
      <c r="Q610" s="2">
        <v>0.66</v>
      </c>
      <c r="R610" s="3">
        <v>0.66</v>
      </c>
      <c r="S610" s="3" t="str">
        <f>IF(Table1[[#This Row],[CGPA]]&gt;=3,"High",IF(R609&gt;=2,"Medium","Low"))</f>
        <v>Low</v>
      </c>
      <c r="T610" s="2" t="s">
        <v>2</v>
      </c>
      <c r="U610" s="2" t="s">
        <v>6</v>
      </c>
      <c r="V610" s="2" t="s">
        <v>9</v>
      </c>
      <c r="W610" s="7">
        <v>0</v>
      </c>
      <c r="X610" t="str">
        <f t="shared" si="19"/>
        <v>Active</v>
      </c>
    </row>
    <row r="611" spans="1:24" x14ac:dyDescent="0.3">
      <c r="A611" s="2">
        <v>610</v>
      </c>
      <c r="B611" s="7">
        <v>24.3</v>
      </c>
      <c r="C611" s="2" t="s">
        <v>11</v>
      </c>
      <c r="D611" s="7">
        <f>IF(ISBLANK('Raw sheet'!D611),AVERAGE('Raw sheet'!$D$2:'Raw sheet'!$D$1500),'Raw sheet'!D611)</f>
        <v>31509</v>
      </c>
      <c r="E611" s="7" t="str">
        <f>IF(Table1[[#This Row],[Family_Income]]&gt;=100000,"Upper",IF(D611&gt;=50000,"Middle","Lower"))</f>
        <v>Lower</v>
      </c>
      <c r="F611" s="2" t="s">
        <v>4</v>
      </c>
      <c r="G611" s="3">
        <f>IF(ISBLANK('Raw sheet'!F611),AVERAGE('Raw sheet'!$F$2:'Raw sheet'!$F$1500),'Raw sheet'!F611)</f>
        <v>2.0499999999999998</v>
      </c>
      <c r="H611" s="18">
        <v>93.7</v>
      </c>
      <c r="I611" s="9" t="str">
        <f t="shared" si="18"/>
        <v>Good</v>
      </c>
      <c r="J611" s="2">
        <v>3</v>
      </c>
      <c r="K611" s="2">
        <v>39.9</v>
      </c>
      <c r="L611" s="2" t="s">
        <v>3</v>
      </c>
      <c r="M611" s="2" t="s">
        <v>3</v>
      </c>
      <c r="N611" s="5">
        <f>IF(ISBLANK('Raw sheet'!L611),AVERAGE('Raw sheet'!$L$2:'Raw sheet'!$L$1500),'Raw sheet'!L611)</f>
        <v>3.3</v>
      </c>
      <c r="O611" s="5" t="str">
        <f>IF(Table1[[#This Row],[Stress_Index]]&gt;=8,"High",IF(N611&gt;=5,"Medium","Low"))</f>
        <v>Low</v>
      </c>
      <c r="P611" s="3">
        <v>1.3</v>
      </c>
      <c r="Q611" s="2">
        <v>1.35</v>
      </c>
      <c r="R611" s="3">
        <v>1.35</v>
      </c>
      <c r="S611" s="3" t="str">
        <f>IF(Table1[[#This Row],[CGPA]]&gt;=3,"High",IF(R610&gt;=2,"Medium","Low"))</f>
        <v>Low</v>
      </c>
      <c r="T611" s="2" t="s">
        <v>2</v>
      </c>
      <c r="U611" s="2" t="s">
        <v>6</v>
      </c>
      <c r="V611" s="2" t="s">
        <v>9</v>
      </c>
      <c r="W611" s="7">
        <v>0</v>
      </c>
      <c r="X611" t="str">
        <f t="shared" si="19"/>
        <v>Active</v>
      </c>
    </row>
    <row r="612" spans="1:24" x14ac:dyDescent="0.3">
      <c r="A612" s="2">
        <v>611</v>
      </c>
      <c r="B612" s="7">
        <v>22.4</v>
      </c>
      <c r="C612" s="2" t="s">
        <v>5</v>
      </c>
      <c r="D612" s="7">
        <f>IF(ISBLANK('Raw sheet'!D612),AVERAGE('Raw sheet'!$D$2:'Raw sheet'!$D$1500),'Raw sheet'!D612)</f>
        <v>30446</v>
      </c>
      <c r="E612" s="7" t="str">
        <f>IF(Table1[[#This Row],[Family_Income]]&gt;=100000,"Upper",IF(D612&gt;=50000,"Middle","Lower"))</f>
        <v>Lower</v>
      </c>
      <c r="F612" s="2" t="s">
        <v>4</v>
      </c>
      <c r="G612" s="3">
        <f>IF(ISBLANK('Raw sheet'!F612),AVERAGE('Raw sheet'!$F$2:'Raw sheet'!$F$1500),'Raw sheet'!F612)</f>
        <v>4.09</v>
      </c>
      <c r="H612" s="18">
        <v>84.1</v>
      </c>
      <c r="I612" s="9" t="str">
        <f t="shared" si="18"/>
        <v>Good</v>
      </c>
      <c r="J612" s="2">
        <v>0</v>
      </c>
      <c r="K612" s="2">
        <v>35.9</v>
      </c>
      <c r="L612" s="2" t="s">
        <v>3</v>
      </c>
      <c r="M612" s="2" t="s">
        <v>3</v>
      </c>
      <c r="N612" s="5">
        <f>IF(ISBLANK('Raw sheet'!L612),AVERAGE('Raw sheet'!$L$2:'Raw sheet'!$L$1500),'Raw sheet'!L612)</f>
        <v>7</v>
      </c>
      <c r="O612" s="5" t="str">
        <f>IF(Table1[[#This Row],[Stress_Index]]&gt;=8,"High",IF(N612&gt;=5,"Medium","Low"))</f>
        <v>Medium</v>
      </c>
      <c r="P612" s="3">
        <v>3.68</v>
      </c>
      <c r="Q612" s="2">
        <v>3.43</v>
      </c>
      <c r="R612" s="3">
        <v>3.43</v>
      </c>
      <c r="S612" s="3" t="str">
        <f>IF(Table1[[#This Row],[CGPA]]&gt;=3,"High",IF(R611&gt;=2,"Medium","Low"))</f>
        <v>High</v>
      </c>
      <c r="T612" s="2" t="s">
        <v>2</v>
      </c>
      <c r="U612" s="2" t="s">
        <v>8</v>
      </c>
      <c r="V612" s="2" t="s">
        <v>9</v>
      </c>
      <c r="W612" s="7">
        <v>0</v>
      </c>
      <c r="X612" t="str">
        <f t="shared" si="19"/>
        <v>Active</v>
      </c>
    </row>
    <row r="613" spans="1:24" x14ac:dyDescent="0.3">
      <c r="A613" s="2">
        <v>612</v>
      </c>
      <c r="B613" s="7">
        <v>20.9</v>
      </c>
      <c r="C613" s="2" t="s">
        <v>11</v>
      </c>
      <c r="D613" s="7">
        <f>IF(ISBLANK('Raw sheet'!D613),AVERAGE('Raw sheet'!$D$2:'Raw sheet'!$D$1500),'Raw sheet'!D613)</f>
        <v>25000</v>
      </c>
      <c r="E613" s="7" t="str">
        <f>IF(Table1[[#This Row],[Family_Income]]&gt;=100000,"Upper",IF(D613&gt;=50000,"Middle","Lower"))</f>
        <v>Lower</v>
      </c>
      <c r="F613" s="2" t="s">
        <v>3</v>
      </c>
      <c r="G613" s="3">
        <f>IF(ISBLANK('Raw sheet'!F613),AVERAGE('Raw sheet'!$F$2:'Raw sheet'!$F$1500),'Raw sheet'!F613)</f>
        <v>7</v>
      </c>
      <c r="H613" s="18">
        <v>75.099999999999994</v>
      </c>
      <c r="I613" s="9" t="str">
        <f t="shared" si="18"/>
        <v>Good</v>
      </c>
      <c r="J613" s="2">
        <v>1</v>
      </c>
      <c r="K613" s="2">
        <v>47</v>
      </c>
      <c r="L613" s="2" t="s">
        <v>3</v>
      </c>
      <c r="M613" s="2" t="s">
        <v>3</v>
      </c>
      <c r="N613" s="5">
        <f>IF(ISBLANK('Raw sheet'!L613),AVERAGE('Raw sheet'!$L$2:'Raw sheet'!$L$1500),'Raw sheet'!L613)</f>
        <v>4.5</v>
      </c>
      <c r="O613" s="5" t="str">
        <f>IF(Table1[[#This Row],[Stress_Index]]&gt;=8,"High",IF(N613&gt;=5,"Medium","Low"))</f>
        <v>Low</v>
      </c>
      <c r="P613" s="3">
        <v>2.67</v>
      </c>
      <c r="Q613" s="2">
        <v>2.91</v>
      </c>
      <c r="R613" s="3">
        <v>2.96</v>
      </c>
      <c r="S613" s="3" t="str">
        <f>IF(Table1[[#This Row],[CGPA]]&gt;=3,"High",IF(R612&gt;=2,"Medium","Low"))</f>
        <v>Medium</v>
      </c>
      <c r="T613" s="2" t="s">
        <v>10</v>
      </c>
      <c r="U613" s="2" t="s">
        <v>8</v>
      </c>
      <c r="V613" s="2" t="s">
        <v>9</v>
      </c>
      <c r="W613" s="7">
        <v>0</v>
      </c>
      <c r="X613" t="str">
        <f t="shared" si="19"/>
        <v>Active</v>
      </c>
    </row>
    <row r="614" spans="1:24" x14ac:dyDescent="0.3">
      <c r="A614" s="2">
        <v>613</v>
      </c>
      <c r="B614" s="7">
        <v>21.6</v>
      </c>
      <c r="C614" s="2" t="s">
        <v>11</v>
      </c>
      <c r="D614" s="7">
        <f>IF(ISBLANK('Raw sheet'!D614),AVERAGE('Raw sheet'!$D$2:'Raw sheet'!$D$1500),'Raw sheet'!D614)</f>
        <v>27382</v>
      </c>
      <c r="E614" s="7" t="str">
        <f>IF(Table1[[#This Row],[Family_Income]]&gt;=100000,"Upper",IF(D614&gt;=50000,"Middle","Lower"))</f>
        <v>Lower</v>
      </c>
      <c r="F614" s="2" t="s">
        <v>4</v>
      </c>
      <c r="G614" s="3">
        <f>IF(ISBLANK('Raw sheet'!F614),AVERAGE('Raw sheet'!$F$2:'Raw sheet'!$F$1500),'Raw sheet'!F614)</f>
        <v>3.26</v>
      </c>
      <c r="H614" s="18">
        <v>89</v>
      </c>
      <c r="I614" s="9" t="str">
        <f t="shared" si="18"/>
        <v>Good</v>
      </c>
      <c r="J614" s="2">
        <v>0</v>
      </c>
      <c r="K614" s="2">
        <v>15.5</v>
      </c>
      <c r="L614" s="2" t="s">
        <v>3</v>
      </c>
      <c r="M614" s="2" t="s">
        <v>3</v>
      </c>
      <c r="N614" s="5">
        <f>IF(ISBLANK('Raw sheet'!L614),AVERAGE('Raw sheet'!$L$2:'Raw sheet'!$L$1500),'Raw sheet'!L614)</f>
        <v>7.1</v>
      </c>
      <c r="O614" s="5" t="str">
        <f>IF(Table1[[#This Row],[Stress_Index]]&gt;=8,"High",IF(N614&gt;=5,"Medium","Low"))</f>
        <v>Medium</v>
      </c>
      <c r="P614" s="3">
        <v>0.03</v>
      </c>
      <c r="Q614" s="2">
        <v>0.02</v>
      </c>
      <c r="R614" s="3">
        <v>0.04</v>
      </c>
      <c r="S614" s="3" t="str">
        <f>IF(Table1[[#This Row],[CGPA]]&gt;=3,"High",IF(R613&gt;=2,"Medium","Low"))</f>
        <v>Medium</v>
      </c>
      <c r="T614" s="2" t="s">
        <v>7</v>
      </c>
      <c r="U614" s="2" t="s">
        <v>6</v>
      </c>
      <c r="V614" s="2" t="s">
        <v>15</v>
      </c>
      <c r="W614" s="7">
        <v>1</v>
      </c>
      <c r="X614" t="str">
        <f t="shared" si="19"/>
        <v>Dropped Out</v>
      </c>
    </row>
    <row r="615" spans="1:24" x14ac:dyDescent="0.3">
      <c r="A615" s="2">
        <v>614</v>
      </c>
      <c r="B615" s="7">
        <v>18.5</v>
      </c>
      <c r="C615" s="2" t="s">
        <v>5</v>
      </c>
      <c r="D615" s="7">
        <f>IF(ISBLANK('Raw sheet'!D615),AVERAGE('Raw sheet'!$D$2:'Raw sheet'!$D$1500),'Raw sheet'!D615)</f>
        <v>26687</v>
      </c>
      <c r="E615" s="7" t="str">
        <f>IF(Table1[[#This Row],[Family_Income]]&gt;=100000,"Upper",IF(D615&gt;=50000,"Middle","Lower"))</f>
        <v>Lower</v>
      </c>
      <c r="F615" s="2" t="s">
        <v>4</v>
      </c>
      <c r="G615" s="3">
        <f>IF(ISBLANK('Raw sheet'!F615),AVERAGE('Raw sheet'!$F$2:'Raw sheet'!$F$1500),'Raw sheet'!F615)</f>
        <v>5.33</v>
      </c>
      <c r="H615" s="18">
        <v>81.400000000000006</v>
      </c>
      <c r="I615" s="9" t="str">
        <f t="shared" si="18"/>
        <v>Good</v>
      </c>
      <c r="J615" s="2">
        <v>1</v>
      </c>
      <c r="K615" s="2">
        <v>20.9</v>
      </c>
      <c r="L615" s="2" t="s">
        <v>3</v>
      </c>
      <c r="M615" s="2" t="s">
        <v>3</v>
      </c>
      <c r="N615" s="5">
        <f>IF(ISBLANK('Raw sheet'!L615),AVERAGE('Raw sheet'!$L$2:'Raw sheet'!$L$1500),'Raw sheet'!L615)</f>
        <v>3.6</v>
      </c>
      <c r="O615" s="5" t="str">
        <f>IF(Table1[[#This Row],[Stress_Index]]&gt;=8,"High",IF(N615&gt;=5,"Medium","Low"))</f>
        <v>Low</v>
      </c>
      <c r="P615" s="3">
        <v>2.8</v>
      </c>
      <c r="Q615" s="2">
        <v>2.8</v>
      </c>
      <c r="R615" s="3">
        <v>2.84</v>
      </c>
      <c r="S615" s="3" t="str">
        <f>IF(Table1[[#This Row],[CGPA]]&gt;=3,"High",IF(R614&gt;=2,"Medium","Low"))</f>
        <v>Low</v>
      </c>
      <c r="T615" s="2" t="s">
        <v>10</v>
      </c>
      <c r="U615" s="2" t="s">
        <v>14</v>
      </c>
      <c r="V615" s="2" t="s">
        <v>0</v>
      </c>
      <c r="W615" s="7">
        <v>0</v>
      </c>
      <c r="X615" t="str">
        <f t="shared" si="19"/>
        <v>Active</v>
      </c>
    </row>
    <row r="616" spans="1:24" x14ac:dyDescent="0.3">
      <c r="A616" s="2">
        <v>615</v>
      </c>
      <c r="B616" s="7">
        <v>26.4</v>
      </c>
      <c r="C616" s="2" t="s">
        <v>11</v>
      </c>
      <c r="D616" s="7">
        <f>IF(ISBLANK('Raw sheet'!D616),AVERAGE('Raw sheet'!$D$2:'Raw sheet'!$D$1500),'Raw sheet'!D616)</f>
        <v>29598</v>
      </c>
      <c r="E616" s="7" t="str">
        <f>IF(Table1[[#This Row],[Family_Income]]&gt;=100000,"Upper",IF(D616&gt;=50000,"Middle","Lower"))</f>
        <v>Lower</v>
      </c>
      <c r="F616" s="2" t="s">
        <v>4</v>
      </c>
      <c r="G616" s="3">
        <f>IF(ISBLANK('Raw sheet'!F616),AVERAGE('Raw sheet'!$F$2:'Raw sheet'!$F$1500),'Raw sheet'!F616)</f>
        <v>4.68</v>
      </c>
      <c r="H616" s="18">
        <v>89.9</v>
      </c>
      <c r="I616" s="9" t="str">
        <f t="shared" si="18"/>
        <v>Good</v>
      </c>
      <c r="J616" s="2">
        <v>2</v>
      </c>
      <c r="K616" s="2">
        <v>25</v>
      </c>
      <c r="L616" s="2" t="s">
        <v>3</v>
      </c>
      <c r="M616" s="2" t="s">
        <v>4</v>
      </c>
      <c r="N616" s="5">
        <f>IF(ISBLANK('Raw sheet'!L616),AVERAGE('Raw sheet'!$L$2:'Raw sheet'!$L$1500),'Raw sheet'!L616)</f>
        <v>9.1</v>
      </c>
      <c r="O616" s="5" t="str">
        <f>IF(Table1[[#This Row],[Stress_Index]]&gt;=8,"High",IF(N616&gt;=5,"Medium","Low"))</f>
        <v>High</v>
      </c>
      <c r="P616" s="3">
        <v>0.87</v>
      </c>
      <c r="Q616" s="2">
        <v>1.19</v>
      </c>
      <c r="R616" s="3">
        <v>1.19</v>
      </c>
      <c r="S616" s="3" t="str">
        <f>IF(Table1[[#This Row],[CGPA]]&gt;=3,"High",IF(R615&gt;=2,"Medium","Low"))</f>
        <v>Medium</v>
      </c>
      <c r="T616" s="2" t="s">
        <v>2</v>
      </c>
      <c r="U616" s="2" t="s">
        <v>14</v>
      </c>
      <c r="V616" s="2" t="s">
        <v>15</v>
      </c>
      <c r="W616" s="7">
        <v>1</v>
      </c>
      <c r="X616" t="str">
        <f t="shared" si="19"/>
        <v>Dropped Out</v>
      </c>
    </row>
    <row r="617" spans="1:24" x14ac:dyDescent="0.3">
      <c r="A617" s="2">
        <v>616</v>
      </c>
      <c r="B617" s="7">
        <v>21.3</v>
      </c>
      <c r="C617" s="2" t="s">
        <v>5</v>
      </c>
      <c r="D617" s="7">
        <f>IF(ISBLANK('Raw sheet'!D617),AVERAGE('Raw sheet'!$D$2:'Raw sheet'!$D$1500),'Raw sheet'!D617)</f>
        <v>52371</v>
      </c>
      <c r="E617" s="7" t="str">
        <f>IF(Table1[[#This Row],[Family_Income]]&gt;=100000,"Upper",IF(D617&gt;=50000,"Middle","Lower"))</f>
        <v>Middle</v>
      </c>
      <c r="F617" s="2" t="s">
        <v>4</v>
      </c>
      <c r="G617" s="3">
        <f>IF(ISBLANK('Raw sheet'!F617),AVERAGE('Raw sheet'!$F$2:'Raw sheet'!$F$1500),'Raw sheet'!F617)</f>
        <v>4.04</v>
      </c>
      <c r="H617" s="18">
        <v>81.2</v>
      </c>
      <c r="I617" s="9" t="str">
        <f t="shared" si="18"/>
        <v>Good</v>
      </c>
      <c r="J617" s="2">
        <v>1</v>
      </c>
      <c r="K617" s="2">
        <v>48.3</v>
      </c>
      <c r="L617" s="2" t="s">
        <v>4</v>
      </c>
      <c r="M617" s="2" t="s">
        <v>3</v>
      </c>
      <c r="N617" s="5">
        <f>IF(ISBLANK('Raw sheet'!L617),AVERAGE('Raw sheet'!$L$2:'Raw sheet'!$L$1500),'Raw sheet'!L617)</f>
        <v>10</v>
      </c>
      <c r="O617" s="5" t="str">
        <f>IF(Table1[[#This Row],[Stress_Index]]&gt;=8,"High",IF(N617&gt;=5,"Medium","Low"))</f>
        <v>High</v>
      </c>
      <c r="P617" s="3">
        <v>1.28</v>
      </c>
      <c r="Q617" s="2">
        <v>1.45</v>
      </c>
      <c r="R617" s="3">
        <v>1.31</v>
      </c>
      <c r="S617" s="3" t="str">
        <f>IF(Table1[[#This Row],[CGPA]]&gt;=3,"High",IF(R616&gt;=2,"Medium","Low"))</f>
        <v>Low</v>
      </c>
      <c r="T617" s="2" t="s">
        <v>12</v>
      </c>
      <c r="U617" s="2" t="s">
        <v>6</v>
      </c>
      <c r="V617" s="2" t="s">
        <v>16</v>
      </c>
      <c r="W617" s="7">
        <v>1</v>
      </c>
      <c r="X617" t="str">
        <f t="shared" si="19"/>
        <v>Dropped Out</v>
      </c>
    </row>
    <row r="618" spans="1:24" x14ac:dyDescent="0.3">
      <c r="A618" s="2">
        <v>617</v>
      </c>
      <c r="B618" s="7">
        <v>21.2</v>
      </c>
      <c r="C618" s="2" t="s">
        <v>11</v>
      </c>
      <c r="D618" s="7">
        <f>IF(ISBLANK('Raw sheet'!D618),AVERAGE('Raw sheet'!$D$2:'Raw sheet'!$D$1500),'Raw sheet'!D618)</f>
        <v>85509</v>
      </c>
      <c r="E618" s="7" t="str">
        <f>IF(Table1[[#This Row],[Family_Income]]&gt;=100000,"Upper",IF(D618&gt;=50000,"Middle","Lower"))</f>
        <v>Middle</v>
      </c>
      <c r="F618" s="2" t="s">
        <v>4</v>
      </c>
      <c r="G618" s="3">
        <f>IF(ISBLANK('Raw sheet'!F618),AVERAGE('Raw sheet'!$F$2:'Raw sheet'!$F$1500),'Raw sheet'!F618)</f>
        <v>3.68</v>
      </c>
      <c r="H618" s="18">
        <v>70.2</v>
      </c>
      <c r="I618" s="9" t="str">
        <f t="shared" si="18"/>
        <v>Low</v>
      </c>
      <c r="J618" s="2">
        <v>3</v>
      </c>
      <c r="K618" s="2">
        <v>33.6</v>
      </c>
      <c r="L618" s="2" t="s">
        <v>4</v>
      </c>
      <c r="M618" s="2" t="s">
        <v>4</v>
      </c>
      <c r="N618" s="5">
        <f>IF(ISBLANK('Raw sheet'!L618),AVERAGE('Raw sheet'!$L$2:'Raw sheet'!$L$1500),'Raw sheet'!L618)</f>
        <v>6.5</v>
      </c>
      <c r="O618" s="5" t="str">
        <f>IF(Table1[[#This Row],[Stress_Index]]&gt;=8,"High",IF(N618&gt;=5,"Medium","Low"))</f>
        <v>Medium</v>
      </c>
      <c r="P618" s="3">
        <v>1.94</v>
      </c>
      <c r="Q618" s="2">
        <v>1.35</v>
      </c>
      <c r="R618" s="3">
        <v>1.32</v>
      </c>
      <c r="S618" s="3" t="str">
        <f>IF(Table1[[#This Row],[CGPA]]&gt;=3,"High",IF(R617&gt;=2,"Medium","Low"))</f>
        <v>Low</v>
      </c>
      <c r="T618" s="2" t="s">
        <v>7</v>
      </c>
      <c r="U618" s="2" t="s">
        <v>6</v>
      </c>
      <c r="V618" s="2" t="s">
        <v>16</v>
      </c>
      <c r="W618" s="7">
        <v>1</v>
      </c>
      <c r="X618" t="str">
        <f t="shared" si="19"/>
        <v>Dropped Out</v>
      </c>
    </row>
    <row r="619" spans="1:24" x14ac:dyDescent="0.3">
      <c r="A619" s="2">
        <v>618</v>
      </c>
      <c r="B619" s="7">
        <v>22.6</v>
      </c>
      <c r="C619" s="2" t="s">
        <v>11</v>
      </c>
      <c r="D619" s="7">
        <f>IF(ISBLANK('Raw sheet'!D619),AVERAGE('Raw sheet'!$D$2:'Raw sheet'!$D$1500),'Raw sheet'!D619)</f>
        <v>25000</v>
      </c>
      <c r="E619" s="7" t="str">
        <f>IF(Table1[[#This Row],[Family_Income]]&gt;=100000,"Upper",IF(D619&gt;=50000,"Middle","Lower"))</f>
        <v>Lower</v>
      </c>
      <c r="F619" s="2" t="s">
        <v>4</v>
      </c>
      <c r="G619" s="3">
        <f>IF(ISBLANK('Raw sheet'!F619),AVERAGE('Raw sheet'!$F$2:'Raw sheet'!$F$1500),'Raw sheet'!F619)</f>
        <v>3.44</v>
      </c>
      <c r="H619" s="18">
        <v>73.5</v>
      </c>
      <c r="I619" s="9" t="str">
        <f t="shared" si="18"/>
        <v>Low</v>
      </c>
      <c r="J619" s="2">
        <v>4</v>
      </c>
      <c r="K619" s="2">
        <v>13</v>
      </c>
      <c r="L619" s="2" t="s">
        <v>3</v>
      </c>
      <c r="M619" s="2" t="s">
        <v>4</v>
      </c>
      <c r="N619" s="5">
        <f>IF(ISBLANK('Raw sheet'!L619),AVERAGE('Raw sheet'!$L$2:'Raw sheet'!$L$1500),'Raw sheet'!L619)</f>
        <v>7.8</v>
      </c>
      <c r="O619" s="5" t="str">
        <f>IF(Table1[[#This Row],[Stress_Index]]&gt;=8,"High",IF(N619&gt;=5,"Medium","Low"))</f>
        <v>Medium</v>
      </c>
      <c r="P619" s="3">
        <v>0.05</v>
      </c>
      <c r="Q619" s="2">
        <v>0</v>
      </c>
      <c r="R619" s="3">
        <v>0.05</v>
      </c>
      <c r="S619" s="3" t="str">
        <f>IF(Table1[[#This Row],[CGPA]]&gt;=3,"High",IF(R618&gt;=2,"Medium","Low"))</f>
        <v>Low</v>
      </c>
      <c r="T619" s="2" t="s">
        <v>7</v>
      </c>
      <c r="U619" s="2" t="s">
        <v>14</v>
      </c>
      <c r="V619" s="2" t="s">
        <v>15</v>
      </c>
      <c r="W619" s="7">
        <v>1</v>
      </c>
      <c r="X619" t="str">
        <f t="shared" si="19"/>
        <v>Dropped Out</v>
      </c>
    </row>
    <row r="620" spans="1:24" x14ac:dyDescent="0.3">
      <c r="A620" s="2">
        <v>619</v>
      </c>
      <c r="B620" s="7">
        <v>22.1</v>
      </c>
      <c r="C620" s="2" t="s">
        <v>11</v>
      </c>
      <c r="D620" s="7">
        <f>IF(ISBLANK('Raw sheet'!D620),AVERAGE('Raw sheet'!$D$2:'Raw sheet'!$D$1500),'Raw sheet'!D620)</f>
        <v>25000</v>
      </c>
      <c r="E620" s="7" t="str">
        <f>IF(Table1[[#This Row],[Family_Income]]&gt;=100000,"Upper",IF(D620&gt;=50000,"Middle","Lower"))</f>
        <v>Lower</v>
      </c>
      <c r="F620" s="2" t="s">
        <v>4</v>
      </c>
      <c r="G620" s="3">
        <f>IF(ISBLANK('Raw sheet'!F620),AVERAGE('Raw sheet'!$F$2:'Raw sheet'!$F$1500),'Raw sheet'!F620)</f>
        <v>3.42</v>
      </c>
      <c r="H620" s="18">
        <v>91.1</v>
      </c>
      <c r="I620" s="9" t="str">
        <f t="shared" si="18"/>
        <v>Good</v>
      </c>
      <c r="J620" s="2">
        <v>0</v>
      </c>
      <c r="K620" s="2">
        <v>43.1</v>
      </c>
      <c r="L620" s="2" t="s">
        <v>3</v>
      </c>
      <c r="M620" s="2" t="s">
        <v>4</v>
      </c>
      <c r="N620" s="5">
        <f>IF(ISBLANK('Raw sheet'!L620),AVERAGE('Raw sheet'!$L$2:'Raw sheet'!$L$1500),'Raw sheet'!L620)</f>
        <v>4.7</v>
      </c>
      <c r="O620" s="5" t="str">
        <f>IF(Table1[[#This Row],[Stress_Index]]&gt;=8,"High",IF(N620&gt;=5,"Medium","Low"))</f>
        <v>Low</v>
      </c>
      <c r="P620" s="3">
        <v>3.66</v>
      </c>
      <c r="Q620" s="2">
        <v>3.62</v>
      </c>
      <c r="R620" s="3">
        <v>3.58</v>
      </c>
      <c r="S620" s="3" t="str">
        <f>IF(Table1[[#This Row],[CGPA]]&gt;=3,"High",IF(R619&gt;=2,"Medium","Low"))</f>
        <v>High</v>
      </c>
      <c r="T620" s="2" t="s">
        <v>12</v>
      </c>
      <c r="U620" s="2" t="s">
        <v>13</v>
      </c>
      <c r="V620" s="2" t="s">
        <v>9</v>
      </c>
      <c r="W620" s="7">
        <v>0</v>
      </c>
      <c r="X620" t="str">
        <f t="shared" si="19"/>
        <v>Active</v>
      </c>
    </row>
    <row r="621" spans="1:24" x14ac:dyDescent="0.3">
      <c r="A621" s="2">
        <v>620</v>
      </c>
      <c r="B621" s="7">
        <v>21.5</v>
      </c>
      <c r="C621" s="2" t="s">
        <v>5</v>
      </c>
      <c r="D621" s="7">
        <f>IF(ISBLANK('Raw sheet'!D621),AVERAGE('Raw sheet'!$D$2:'Raw sheet'!$D$1500),'Raw sheet'!D621)</f>
        <v>25000</v>
      </c>
      <c r="E621" s="7" t="str">
        <f>IF(Table1[[#This Row],[Family_Income]]&gt;=100000,"Upper",IF(D621&gt;=50000,"Middle","Lower"))</f>
        <v>Lower</v>
      </c>
      <c r="F621" s="2" t="s">
        <v>4</v>
      </c>
      <c r="G621" s="3">
        <f>IF(ISBLANK('Raw sheet'!F621),AVERAGE('Raw sheet'!$F$2:'Raw sheet'!$F$1500),'Raw sheet'!F621)</f>
        <v>4.79</v>
      </c>
      <c r="H621" s="18">
        <v>90.3</v>
      </c>
      <c r="I621" s="9" t="str">
        <f t="shared" si="18"/>
        <v>Good</v>
      </c>
      <c r="J621" s="2">
        <v>1</v>
      </c>
      <c r="K621" s="2">
        <v>31.3</v>
      </c>
      <c r="L621" s="2" t="s">
        <v>3</v>
      </c>
      <c r="M621" s="2" t="s">
        <v>3</v>
      </c>
      <c r="N621" s="5">
        <f>IF(ISBLANK('Raw sheet'!L621),AVERAGE('Raw sheet'!$L$2:'Raw sheet'!$L$1500),'Raw sheet'!L621)</f>
        <v>4.5</v>
      </c>
      <c r="O621" s="5" t="str">
        <f>IF(Table1[[#This Row],[Stress_Index]]&gt;=8,"High",IF(N621&gt;=5,"Medium","Low"))</f>
        <v>Low</v>
      </c>
      <c r="P621" s="3">
        <v>3.25</v>
      </c>
      <c r="Q621" s="2">
        <v>3.25</v>
      </c>
      <c r="R621" s="3">
        <v>3.25</v>
      </c>
      <c r="S621" s="3" t="str">
        <f>IF(Table1[[#This Row],[CGPA]]&gt;=3,"High",IF(R620&gt;=2,"Medium","Low"))</f>
        <v>High</v>
      </c>
      <c r="T621" s="2" t="s">
        <v>7</v>
      </c>
      <c r="U621" s="2" t="s">
        <v>1</v>
      </c>
      <c r="V621" s="2" t="s">
        <v>15</v>
      </c>
      <c r="W621" s="7">
        <v>0</v>
      </c>
      <c r="X621" t="str">
        <f t="shared" si="19"/>
        <v>Active</v>
      </c>
    </row>
    <row r="622" spans="1:24" x14ac:dyDescent="0.3">
      <c r="A622" s="2">
        <v>621</v>
      </c>
      <c r="B622" s="7">
        <v>19.3</v>
      </c>
      <c r="C622" s="2" t="s">
        <v>5</v>
      </c>
      <c r="D622" s="7">
        <f>IF(ISBLANK('Raw sheet'!D622),AVERAGE('Raw sheet'!$D$2:'Raw sheet'!$D$1500),'Raw sheet'!D622)</f>
        <v>33265</v>
      </c>
      <c r="E622" s="7" t="str">
        <f>IF(Table1[[#This Row],[Family_Income]]&gt;=100000,"Upper",IF(D622&gt;=50000,"Middle","Lower"))</f>
        <v>Lower</v>
      </c>
      <c r="F622" s="2" t="s">
        <v>4</v>
      </c>
      <c r="G622" s="3">
        <f>IF(ISBLANK('Raw sheet'!F622),AVERAGE('Raw sheet'!$F$2:'Raw sheet'!$F$1500),'Raw sheet'!F622)</f>
        <v>5.12</v>
      </c>
      <c r="H622" s="18">
        <v>71.400000000000006</v>
      </c>
      <c r="I622" s="9" t="str">
        <f t="shared" si="18"/>
        <v>Low</v>
      </c>
      <c r="J622" s="2">
        <v>0</v>
      </c>
      <c r="K622" s="2">
        <v>40.700000000000003</v>
      </c>
      <c r="L622" s="2" t="s">
        <v>3</v>
      </c>
      <c r="M622" s="2" t="s">
        <v>3</v>
      </c>
      <c r="N622" s="5">
        <f>IF(ISBLANK('Raw sheet'!L622),AVERAGE('Raw sheet'!$L$2:'Raw sheet'!$L$1500),'Raw sheet'!L622)</f>
        <v>7.6</v>
      </c>
      <c r="O622" s="5" t="str">
        <f>IF(Table1[[#This Row],[Stress_Index]]&gt;=8,"High",IF(N622&gt;=5,"Medium","Low"))</f>
        <v>Medium</v>
      </c>
      <c r="P622" s="3">
        <v>3.04</v>
      </c>
      <c r="Q622" s="2">
        <v>2.98</v>
      </c>
      <c r="R622" s="3">
        <v>3.02</v>
      </c>
      <c r="S622" s="3" t="str">
        <f>IF(Table1[[#This Row],[CGPA]]&gt;=3,"High",IF(R621&gt;=2,"Medium","Low"))</f>
        <v>High</v>
      </c>
      <c r="T622" s="2" t="s">
        <v>7</v>
      </c>
      <c r="U622" s="2" t="s">
        <v>1</v>
      </c>
      <c r="V622" s="2" t="s">
        <v>9</v>
      </c>
      <c r="W622" s="7">
        <v>0</v>
      </c>
      <c r="X622" t="str">
        <f t="shared" si="19"/>
        <v>Active</v>
      </c>
    </row>
    <row r="623" spans="1:24" x14ac:dyDescent="0.3">
      <c r="A623" s="2">
        <v>622</v>
      </c>
      <c r="B623" s="7">
        <v>22</v>
      </c>
      <c r="C623" s="2" t="s">
        <v>5</v>
      </c>
      <c r="D623" s="7">
        <f>IF(ISBLANK('Raw sheet'!D623),AVERAGE('Raw sheet'!$D$2:'Raw sheet'!$D$1500),'Raw sheet'!D623)</f>
        <v>38587.00282087447</v>
      </c>
      <c r="E623" s="7" t="str">
        <f>IF(Table1[[#This Row],[Family_Income]]&gt;=100000,"Upper",IF(D623&gt;=50000,"Middle","Lower"))</f>
        <v>Lower</v>
      </c>
      <c r="F623" s="2" t="s">
        <v>4</v>
      </c>
      <c r="G623" s="3">
        <f>IF(ISBLANK('Raw sheet'!F623),AVERAGE('Raw sheet'!$F$2:'Raw sheet'!$F$1500),'Raw sheet'!F623)</f>
        <v>4.0178702397743278</v>
      </c>
      <c r="H623" s="18">
        <v>93.1</v>
      </c>
      <c r="I623" s="9" t="str">
        <f t="shared" si="18"/>
        <v>Good</v>
      </c>
      <c r="J623" s="2">
        <v>1</v>
      </c>
      <c r="K623" s="2">
        <v>49</v>
      </c>
      <c r="L623" s="2" t="s">
        <v>4</v>
      </c>
      <c r="M623" s="2" t="s">
        <v>4</v>
      </c>
      <c r="N623" s="5">
        <f>IF(ISBLANK('Raw sheet'!L623),AVERAGE('Raw sheet'!$L$2:'Raw sheet'!$L$1500),'Raw sheet'!L623)</f>
        <v>5.5242595204513369</v>
      </c>
      <c r="O623" s="5" t="str">
        <f>IF(Table1[[#This Row],[Stress_Index]]&gt;=8,"High",IF(N623&gt;=5,"Medium","Low"))</f>
        <v>Medium</v>
      </c>
      <c r="P623" s="3">
        <v>1.66</v>
      </c>
      <c r="Q623" s="2">
        <v>2.2999999999999998</v>
      </c>
      <c r="R623" s="3">
        <v>2.35</v>
      </c>
      <c r="S623" s="3" t="str">
        <f>IF(Table1[[#This Row],[CGPA]]&gt;=3,"High",IF(R622&gt;=2,"Medium","Low"))</f>
        <v>Medium</v>
      </c>
      <c r="T623" s="2" t="s">
        <v>12</v>
      </c>
      <c r="U623" s="2" t="s">
        <v>6</v>
      </c>
      <c r="V623" s="2" t="s">
        <v>15</v>
      </c>
      <c r="W623" s="7">
        <v>0</v>
      </c>
      <c r="X623" t="str">
        <f t="shared" si="19"/>
        <v>Active</v>
      </c>
    </row>
    <row r="624" spans="1:24" x14ac:dyDescent="0.3">
      <c r="A624" s="2">
        <v>623</v>
      </c>
      <c r="B624" s="7">
        <v>25.1</v>
      </c>
      <c r="C624" s="2" t="s">
        <v>11</v>
      </c>
      <c r="D624" s="7">
        <f>IF(ISBLANK('Raw sheet'!D624),AVERAGE('Raw sheet'!$D$2:'Raw sheet'!$D$1500),'Raw sheet'!D624)</f>
        <v>34334</v>
      </c>
      <c r="E624" s="7" t="str">
        <f>IF(Table1[[#This Row],[Family_Income]]&gt;=100000,"Upper",IF(D624&gt;=50000,"Middle","Lower"))</f>
        <v>Lower</v>
      </c>
      <c r="F624" s="2" t="s">
        <v>4</v>
      </c>
      <c r="G624" s="3">
        <f>IF(ISBLANK('Raw sheet'!F624),AVERAGE('Raw sheet'!$F$2:'Raw sheet'!$F$1500),'Raw sheet'!F624)</f>
        <v>3.43</v>
      </c>
      <c r="H624" s="18">
        <v>90.2</v>
      </c>
      <c r="I624" s="9" t="str">
        <f t="shared" si="18"/>
        <v>Good</v>
      </c>
      <c r="J624" s="2">
        <v>2</v>
      </c>
      <c r="K624" s="2">
        <v>18.3</v>
      </c>
      <c r="L624" s="2" t="s">
        <v>3</v>
      </c>
      <c r="M624" s="2" t="s">
        <v>3</v>
      </c>
      <c r="N624" s="5">
        <f>IF(ISBLANK('Raw sheet'!L624),AVERAGE('Raw sheet'!$L$2:'Raw sheet'!$L$1500),'Raw sheet'!L624)</f>
        <v>3</v>
      </c>
      <c r="O624" s="5" t="str">
        <f>IF(Table1[[#This Row],[Stress_Index]]&gt;=8,"High",IF(N624&gt;=5,"Medium","Low"))</f>
        <v>Low</v>
      </c>
      <c r="P624" s="3">
        <v>4</v>
      </c>
      <c r="Q624" s="2">
        <v>4</v>
      </c>
      <c r="R624" s="3">
        <v>4</v>
      </c>
      <c r="S624" s="3" t="str">
        <f>IF(Table1[[#This Row],[CGPA]]&gt;=3,"High",IF(R623&gt;=2,"Medium","Low"))</f>
        <v>High</v>
      </c>
      <c r="T624" s="2" t="s">
        <v>2</v>
      </c>
      <c r="U624" s="2" t="s">
        <v>13</v>
      </c>
      <c r="V624" s="2" t="s">
        <v>15</v>
      </c>
      <c r="W624" s="7">
        <v>0</v>
      </c>
      <c r="X624" t="str">
        <f t="shared" si="19"/>
        <v>Active</v>
      </c>
    </row>
    <row r="625" spans="1:24" x14ac:dyDescent="0.3">
      <c r="A625" s="2">
        <v>624</v>
      </c>
      <c r="B625" s="7">
        <v>24</v>
      </c>
      <c r="C625" s="2" t="s">
        <v>5</v>
      </c>
      <c r="D625" s="7">
        <f>IF(ISBLANK('Raw sheet'!D625),AVERAGE('Raw sheet'!$D$2:'Raw sheet'!$D$1500),'Raw sheet'!D625)</f>
        <v>38587.00282087447</v>
      </c>
      <c r="E625" s="7" t="str">
        <f>IF(Table1[[#This Row],[Family_Income]]&gt;=100000,"Upper",IF(D625&gt;=50000,"Middle","Lower"))</f>
        <v>Lower</v>
      </c>
      <c r="F625" s="2" t="s">
        <v>4</v>
      </c>
      <c r="G625" s="3">
        <f>IF(ISBLANK('Raw sheet'!F625),AVERAGE('Raw sheet'!$F$2:'Raw sheet'!$F$1500),'Raw sheet'!F625)</f>
        <v>4.0178702397743278</v>
      </c>
      <c r="H625" s="18">
        <v>76.900000000000006</v>
      </c>
      <c r="I625" s="9" t="str">
        <f t="shared" si="18"/>
        <v>Good</v>
      </c>
      <c r="J625" s="2">
        <v>1</v>
      </c>
      <c r="K625" s="2">
        <v>49</v>
      </c>
      <c r="L625" s="2" t="s">
        <v>3</v>
      </c>
      <c r="M625" s="2" t="s">
        <v>4</v>
      </c>
      <c r="N625" s="5">
        <f>IF(ISBLANK('Raw sheet'!L625),AVERAGE('Raw sheet'!$L$2:'Raw sheet'!$L$1500),'Raw sheet'!L625)</f>
        <v>5.5242595204513369</v>
      </c>
      <c r="O625" s="5" t="str">
        <f>IF(Table1[[#This Row],[Stress_Index]]&gt;=8,"High",IF(N625&gt;=5,"Medium","Low"))</f>
        <v>Medium</v>
      </c>
      <c r="P625" s="3">
        <v>1.42</v>
      </c>
      <c r="Q625" s="2">
        <v>1.28</v>
      </c>
      <c r="R625" s="3">
        <v>1.3</v>
      </c>
      <c r="S625" s="3" t="str">
        <f>IF(Table1[[#This Row],[CGPA]]&gt;=3,"High",IF(R624&gt;=2,"Medium","Low"))</f>
        <v>Medium</v>
      </c>
      <c r="T625" s="2" t="s">
        <v>10</v>
      </c>
      <c r="U625" s="2" t="s">
        <v>8</v>
      </c>
      <c r="V625" s="2" t="s">
        <v>0</v>
      </c>
      <c r="W625" s="7">
        <v>0</v>
      </c>
      <c r="X625" t="str">
        <f t="shared" si="19"/>
        <v>Active</v>
      </c>
    </row>
    <row r="626" spans="1:24" x14ac:dyDescent="0.3">
      <c r="A626" s="2">
        <v>625</v>
      </c>
      <c r="B626" s="7">
        <v>24.5</v>
      </c>
      <c r="C626" s="2" t="s">
        <v>11</v>
      </c>
      <c r="D626" s="7">
        <f>IF(ISBLANK('Raw sheet'!D626),AVERAGE('Raw sheet'!$D$2:'Raw sheet'!$D$1500),'Raw sheet'!D626)</f>
        <v>38587.00282087447</v>
      </c>
      <c r="E626" s="7" t="str">
        <f>IF(Table1[[#This Row],[Family_Income]]&gt;=100000,"Upper",IF(D626&gt;=50000,"Middle","Lower"))</f>
        <v>Lower</v>
      </c>
      <c r="F626" s="2" t="s">
        <v>4</v>
      </c>
      <c r="G626" s="3">
        <f>IF(ISBLANK('Raw sheet'!F626),AVERAGE('Raw sheet'!$F$2:'Raw sheet'!$F$1500),'Raw sheet'!F626)</f>
        <v>4.0178702397743278</v>
      </c>
      <c r="H626" s="18">
        <v>81.400000000000006</v>
      </c>
      <c r="I626" s="9" t="str">
        <f t="shared" si="18"/>
        <v>Good</v>
      </c>
      <c r="J626" s="2">
        <v>2</v>
      </c>
      <c r="K626" s="2">
        <v>29.1</v>
      </c>
      <c r="L626" s="2" t="s">
        <v>3</v>
      </c>
      <c r="M626" s="2" t="s">
        <v>4</v>
      </c>
      <c r="N626" s="5">
        <f>IF(ISBLANK('Raw sheet'!L626),AVERAGE('Raw sheet'!$L$2:'Raw sheet'!$L$1500),'Raw sheet'!L626)</f>
        <v>5.5242595204513369</v>
      </c>
      <c r="O626" s="5" t="str">
        <f>IF(Table1[[#This Row],[Stress_Index]]&gt;=8,"High",IF(N626&gt;=5,"Medium","Low"))</f>
        <v>Medium</v>
      </c>
      <c r="P626" s="3">
        <v>2.3199999999999998</v>
      </c>
      <c r="Q626" s="2">
        <v>2.29</v>
      </c>
      <c r="R626" s="3">
        <v>2.35</v>
      </c>
      <c r="S626" s="3" t="str">
        <f>IF(Table1[[#This Row],[CGPA]]&gt;=3,"High",IF(R625&gt;=2,"Medium","Low"))</f>
        <v>Low</v>
      </c>
      <c r="T626" s="2" t="s">
        <v>10</v>
      </c>
      <c r="U626" s="2" t="s">
        <v>8</v>
      </c>
      <c r="V626" s="2" t="s">
        <v>0</v>
      </c>
      <c r="W626" s="7">
        <v>0</v>
      </c>
      <c r="X626" t="str">
        <f t="shared" si="19"/>
        <v>Active</v>
      </c>
    </row>
    <row r="627" spans="1:24" x14ac:dyDescent="0.3">
      <c r="A627" s="2">
        <v>626</v>
      </c>
      <c r="B627" s="7">
        <v>19.899999999999999</v>
      </c>
      <c r="C627" s="2" t="s">
        <v>5</v>
      </c>
      <c r="D627" s="7">
        <f>IF(ISBLANK('Raw sheet'!D627),AVERAGE('Raw sheet'!$D$2:'Raw sheet'!$D$1500),'Raw sheet'!D627)</f>
        <v>39937</v>
      </c>
      <c r="E627" s="7" t="str">
        <f>IF(Table1[[#This Row],[Family_Income]]&gt;=100000,"Upper",IF(D627&gt;=50000,"Middle","Lower"))</f>
        <v>Lower</v>
      </c>
      <c r="F627" s="2" t="s">
        <v>4</v>
      </c>
      <c r="G627" s="3">
        <f>IF(ISBLANK('Raw sheet'!F627),AVERAGE('Raw sheet'!$F$2:'Raw sheet'!$F$1500),'Raw sheet'!F627)</f>
        <v>5.14</v>
      </c>
      <c r="H627" s="18">
        <v>64.400000000000006</v>
      </c>
      <c r="I627" s="9" t="str">
        <f t="shared" si="18"/>
        <v>Low</v>
      </c>
      <c r="J627" s="2">
        <v>1</v>
      </c>
      <c r="K627" s="2">
        <v>25</v>
      </c>
      <c r="L627" s="2" t="s">
        <v>4</v>
      </c>
      <c r="M627" s="2" t="s">
        <v>3</v>
      </c>
      <c r="N627" s="5">
        <f>IF(ISBLANK('Raw sheet'!L627),AVERAGE('Raw sheet'!$L$2:'Raw sheet'!$L$1500),'Raw sheet'!L627)</f>
        <v>5.2</v>
      </c>
      <c r="O627" s="5" t="str">
        <f>IF(Table1[[#This Row],[Stress_Index]]&gt;=8,"High",IF(N627&gt;=5,"Medium","Low"))</f>
        <v>Medium</v>
      </c>
      <c r="P627" s="3">
        <v>2.15</v>
      </c>
      <c r="Q627" s="2">
        <v>1.91</v>
      </c>
      <c r="R627" s="3">
        <v>1.93</v>
      </c>
      <c r="S627" s="3" t="str">
        <f>IF(Table1[[#This Row],[CGPA]]&gt;=3,"High",IF(R626&gt;=2,"Medium","Low"))</f>
        <v>Medium</v>
      </c>
      <c r="T627" s="2" t="s">
        <v>7</v>
      </c>
      <c r="U627" s="2" t="s">
        <v>13</v>
      </c>
      <c r="V627" s="2" t="s">
        <v>9</v>
      </c>
      <c r="W627" s="7">
        <v>0</v>
      </c>
      <c r="X627" t="str">
        <f t="shared" si="19"/>
        <v>Active</v>
      </c>
    </row>
    <row r="628" spans="1:24" x14ac:dyDescent="0.3">
      <c r="A628" s="2">
        <v>627</v>
      </c>
      <c r="B628" s="7">
        <v>18.8</v>
      </c>
      <c r="C628" s="2" t="s">
        <v>5</v>
      </c>
      <c r="D628" s="7">
        <f>IF(ISBLANK('Raw sheet'!D628),AVERAGE('Raw sheet'!$D$2:'Raw sheet'!$D$1500),'Raw sheet'!D628)</f>
        <v>25000</v>
      </c>
      <c r="E628" s="7" t="str">
        <f>IF(Table1[[#This Row],[Family_Income]]&gt;=100000,"Upper",IF(D628&gt;=50000,"Middle","Lower"))</f>
        <v>Lower</v>
      </c>
      <c r="F628" s="2" t="s">
        <v>4</v>
      </c>
      <c r="G628" s="3">
        <f>IF(ISBLANK('Raw sheet'!F628),AVERAGE('Raw sheet'!$F$2:'Raw sheet'!$F$1500),'Raw sheet'!F628)</f>
        <v>5.92</v>
      </c>
      <c r="H628" s="18">
        <v>76.400000000000006</v>
      </c>
      <c r="I628" s="9" t="str">
        <f t="shared" si="18"/>
        <v>Good</v>
      </c>
      <c r="J628" s="2">
        <v>3</v>
      </c>
      <c r="K628" s="2">
        <v>31.9</v>
      </c>
      <c r="L628" s="2" t="s">
        <v>3</v>
      </c>
      <c r="M628" s="2" t="s">
        <v>4</v>
      </c>
      <c r="N628" s="5">
        <f>IF(ISBLANK('Raw sheet'!L628),AVERAGE('Raw sheet'!$L$2:'Raw sheet'!$L$1500),'Raw sheet'!L628)</f>
        <v>7.4</v>
      </c>
      <c r="O628" s="5" t="str">
        <f>IF(Table1[[#This Row],[Stress_Index]]&gt;=8,"High",IF(N628&gt;=5,"Medium","Low"))</f>
        <v>Medium</v>
      </c>
      <c r="P628" s="3">
        <v>2.0099999999999998</v>
      </c>
      <c r="Q628" s="2">
        <v>2.27</v>
      </c>
      <c r="R628" s="3">
        <v>2.36</v>
      </c>
      <c r="S628" s="3" t="str">
        <f>IF(Table1[[#This Row],[CGPA]]&gt;=3,"High",IF(R627&gt;=2,"Medium","Low"))</f>
        <v>Low</v>
      </c>
      <c r="T628" s="2" t="s">
        <v>10</v>
      </c>
      <c r="U628" s="2" t="s">
        <v>6</v>
      </c>
      <c r="V628" s="2" t="s">
        <v>0</v>
      </c>
      <c r="W628" s="7">
        <v>0</v>
      </c>
      <c r="X628" t="str">
        <f t="shared" si="19"/>
        <v>Active</v>
      </c>
    </row>
    <row r="629" spans="1:24" x14ac:dyDescent="0.3">
      <c r="A629" s="2">
        <v>628</v>
      </c>
      <c r="B629" s="7">
        <v>20.7</v>
      </c>
      <c r="C629" s="2" t="s">
        <v>5</v>
      </c>
      <c r="D629" s="7">
        <f>IF(ISBLANK('Raw sheet'!D629),AVERAGE('Raw sheet'!$D$2:'Raw sheet'!$D$1500),'Raw sheet'!D629)</f>
        <v>39193</v>
      </c>
      <c r="E629" s="7" t="str">
        <f>IF(Table1[[#This Row],[Family_Income]]&gt;=100000,"Upper",IF(D629&gt;=50000,"Middle","Lower"))</f>
        <v>Lower</v>
      </c>
      <c r="F629" s="2" t="s">
        <v>4</v>
      </c>
      <c r="G629" s="3">
        <f>IF(ISBLANK('Raw sheet'!F629),AVERAGE('Raw sheet'!$F$2:'Raw sheet'!$F$1500),'Raw sheet'!F629)</f>
        <v>2.94</v>
      </c>
      <c r="H629" s="18">
        <v>80.3</v>
      </c>
      <c r="I629" s="9" t="str">
        <f t="shared" si="18"/>
        <v>Good</v>
      </c>
      <c r="J629" s="2">
        <v>2</v>
      </c>
      <c r="K629" s="2">
        <v>15.7</v>
      </c>
      <c r="L629" s="2" t="s">
        <v>3</v>
      </c>
      <c r="M629" s="2" t="s">
        <v>4</v>
      </c>
      <c r="N629" s="5">
        <f>IF(ISBLANK('Raw sheet'!L629),AVERAGE('Raw sheet'!$L$2:'Raw sheet'!$L$1500),'Raw sheet'!L629)</f>
        <v>8.1</v>
      </c>
      <c r="O629" s="5" t="str">
        <f>IF(Table1[[#This Row],[Stress_Index]]&gt;=8,"High",IF(N629&gt;=5,"Medium","Low"))</f>
        <v>High</v>
      </c>
      <c r="P629" s="3">
        <v>2.0099999999999998</v>
      </c>
      <c r="Q629" s="2">
        <v>1.91</v>
      </c>
      <c r="R629" s="3">
        <v>2.0299999999999998</v>
      </c>
      <c r="S629" s="3" t="str">
        <f>IF(Table1[[#This Row],[CGPA]]&gt;=3,"High",IF(R628&gt;=2,"Medium","Low"))</f>
        <v>Medium</v>
      </c>
      <c r="T629" s="2" t="s">
        <v>7</v>
      </c>
      <c r="U629" s="2" t="s">
        <v>8</v>
      </c>
      <c r="V629" s="2" t="s">
        <v>9</v>
      </c>
      <c r="W629" s="7">
        <v>0</v>
      </c>
      <c r="X629" t="str">
        <f t="shared" si="19"/>
        <v>Active</v>
      </c>
    </row>
    <row r="630" spans="1:24" x14ac:dyDescent="0.3">
      <c r="A630" s="2">
        <v>629</v>
      </c>
      <c r="B630" s="7">
        <v>21.1</v>
      </c>
      <c r="C630" s="2" t="s">
        <v>11</v>
      </c>
      <c r="D630" s="7">
        <f>IF(ISBLANK('Raw sheet'!D630),AVERAGE('Raw sheet'!$D$2:'Raw sheet'!$D$1500),'Raw sheet'!D630)</f>
        <v>25000</v>
      </c>
      <c r="E630" s="7" t="str">
        <f>IF(Table1[[#This Row],[Family_Income]]&gt;=100000,"Upper",IF(D630&gt;=50000,"Middle","Lower"))</f>
        <v>Lower</v>
      </c>
      <c r="F630" s="2" t="s">
        <v>4</v>
      </c>
      <c r="G630" s="3">
        <f>IF(ISBLANK('Raw sheet'!F630),AVERAGE('Raw sheet'!$F$2:'Raw sheet'!$F$1500),'Raw sheet'!F630)</f>
        <v>3.2</v>
      </c>
      <c r="H630" s="18">
        <v>84.5</v>
      </c>
      <c r="I630" s="9" t="str">
        <f t="shared" si="18"/>
        <v>Good</v>
      </c>
      <c r="J630" s="2">
        <v>5</v>
      </c>
      <c r="K630" s="2">
        <v>29.8</v>
      </c>
      <c r="L630" s="2" t="s">
        <v>3</v>
      </c>
      <c r="M630" s="2" t="s">
        <v>4</v>
      </c>
      <c r="N630" s="5">
        <f>IF(ISBLANK('Raw sheet'!L630),AVERAGE('Raw sheet'!$L$2:'Raw sheet'!$L$1500),'Raw sheet'!L630)</f>
        <v>6</v>
      </c>
      <c r="O630" s="5" t="str">
        <f>IF(Table1[[#This Row],[Stress_Index]]&gt;=8,"High",IF(N630&gt;=5,"Medium","Low"))</f>
        <v>Medium</v>
      </c>
      <c r="P630" s="3">
        <v>2</v>
      </c>
      <c r="Q630" s="2">
        <v>1.81</v>
      </c>
      <c r="R630" s="3">
        <v>1.86</v>
      </c>
      <c r="S630" s="3" t="str">
        <f>IF(Table1[[#This Row],[CGPA]]&gt;=3,"High",IF(R629&gt;=2,"Medium","Low"))</f>
        <v>Medium</v>
      </c>
      <c r="T630" s="2" t="s">
        <v>12</v>
      </c>
      <c r="U630" s="2" t="s">
        <v>13</v>
      </c>
      <c r="V630" s="2" t="s">
        <v>9</v>
      </c>
      <c r="W630" s="7">
        <v>0</v>
      </c>
      <c r="X630" t="str">
        <f t="shared" si="19"/>
        <v>Active</v>
      </c>
    </row>
    <row r="631" spans="1:24" x14ac:dyDescent="0.3">
      <c r="A631" s="2">
        <v>630</v>
      </c>
      <c r="B631" s="7">
        <v>23.4</v>
      </c>
      <c r="C631" s="2" t="s">
        <v>11</v>
      </c>
      <c r="D631" s="7">
        <f>IF(ISBLANK('Raw sheet'!D631),AVERAGE('Raw sheet'!$D$2:'Raw sheet'!$D$1500),'Raw sheet'!D631)</f>
        <v>60947</v>
      </c>
      <c r="E631" s="7" t="str">
        <f>IF(Table1[[#This Row],[Family_Income]]&gt;=100000,"Upper",IF(D631&gt;=50000,"Middle","Lower"))</f>
        <v>Middle</v>
      </c>
      <c r="F631" s="2" t="s">
        <v>4</v>
      </c>
      <c r="G631" s="3">
        <f>IF(ISBLANK('Raw sheet'!F631),AVERAGE('Raw sheet'!$F$2:'Raw sheet'!$F$1500),'Raw sheet'!F631)</f>
        <v>6.15</v>
      </c>
      <c r="H631" s="18">
        <v>81.099999999999994</v>
      </c>
      <c r="I631" s="9" t="str">
        <f t="shared" si="18"/>
        <v>Good</v>
      </c>
      <c r="J631" s="2">
        <v>1</v>
      </c>
      <c r="K631" s="2">
        <v>27.1</v>
      </c>
      <c r="L631" s="2" t="s">
        <v>3</v>
      </c>
      <c r="M631" s="2" t="s">
        <v>4</v>
      </c>
      <c r="N631" s="5">
        <f>IF(ISBLANK('Raw sheet'!L631),AVERAGE('Raw sheet'!$L$2:'Raw sheet'!$L$1500),'Raw sheet'!L631)</f>
        <v>7.9</v>
      </c>
      <c r="O631" s="5" t="str">
        <f>IF(Table1[[#This Row],[Stress_Index]]&gt;=8,"High",IF(N631&gt;=5,"Medium","Low"))</f>
        <v>Medium</v>
      </c>
      <c r="P631" s="3">
        <v>0.7</v>
      </c>
      <c r="Q631" s="2">
        <v>0.77</v>
      </c>
      <c r="R631" s="3">
        <v>0.77</v>
      </c>
      <c r="S631" s="3" t="str">
        <f>IF(Table1[[#This Row],[CGPA]]&gt;=3,"High",IF(R630&gt;=2,"Medium","Low"))</f>
        <v>Low</v>
      </c>
      <c r="T631" s="2" t="s">
        <v>2</v>
      </c>
      <c r="U631" s="2" t="s">
        <v>6</v>
      </c>
      <c r="V631" s="2" t="s">
        <v>9</v>
      </c>
      <c r="W631" s="7">
        <v>0</v>
      </c>
      <c r="X631" t="str">
        <f t="shared" si="19"/>
        <v>Active</v>
      </c>
    </row>
    <row r="632" spans="1:24" x14ac:dyDescent="0.3">
      <c r="A632" s="2">
        <v>631</v>
      </c>
      <c r="B632" s="7">
        <v>17.3</v>
      </c>
      <c r="C632" s="2" t="s">
        <v>5</v>
      </c>
      <c r="D632" s="7">
        <f>IF(ISBLANK('Raw sheet'!D632),AVERAGE('Raw sheet'!$D$2:'Raw sheet'!$D$1500),'Raw sheet'!D632)</f>
        <v>51430</v>
      </c>
      <c r="E632" s="7" t="str">
        <f>IF(Table1[[#This Row],[Family_Income]]&gt;=100000,"Upper",IF(D632&gt;=50000,"Middle","Lower"))</f>
        <v>Middle</v>
      </c>
      <c r="F632" s="2" t="s">
        <v>4</v>
      </c>
      <c r="G632" s="3">
        <f>IF(ISBLANK('Raw sheet'!F632),AVERAGE('Raw sheet'!$F$2:'Raw sheet'!$F$1500),'Raw sheet'!F632)</f>
        <v>5.72</v>
      </c>
      <c r="H632" s="18">
        <v>83.1</v>
      </c>
      <c r="I632" s="9" t="str">
        <f t="shared" si="18"/>
        <v>Good</v>
      </c>
      <c r="J632" s="2">
        <v>2</v>
      </c>
      <c r="K632" s="2">
        <v>18.7</v>
      </c>
      <c r="L632" s="2" t="s">
        <v>4</v>
      </c>
      <c r="M632" s="2" t="s">
        <v>3</v>
      </c>
      <c r="N632" s="5">
        <f>IF(ISBLANK('Raw sheet'!L632),AVERAGE('Raw sheet'!$L$2:'Raw sheet'!$L$1500),'Raw sheet'!L632)</f>
        <v>4.7</v>
      </c>
      <c r="O632" s="5" t="str">
        <f>IF(Table1[[#This Row],[Stress_Index]]&gt;=8,"High",IF(N632&gt;=5,"Medium","Low"))</f>
        <v>Low</v>
      </c>
      <c r="P632" s="3">
        <v>1.22</v>
      </c>
      <c r="Q632" s="2">
        <v>0.98</v>
      </c>
      <c r="R632" s="3">
        <v>0.9</v>
      </c>
      <c r="S632" s="3" t="str">
        <f>IF(Table1[[#This Row],[CGPA]]&gt;=3,"High",IF(R631&gt;=2,"Medium","Low"))</f>
        <v>Low</v>
      </c>
      <c r="T632" s="2" t="s">
        <v>7</v>
      </c>
      <c r="U632" s="2" t="s">
        <v>1</v>
      </c>
      <c r="V632" s="2" t="s">
        <v>15</v>
      </c>
      <c r="W632" s="7">
        <v>0</v>
      </c>
      <c r="X632" t="str">
        <f t="shared" si="19"/>
        <v>Active</v>
      </c>
    </row>
    <row r="633" spans="1:24" x14ac:dyDescent="0.3">
      <c r="A633" s="2">
        <v>632</v>
      </c>
      <c r="B633" s="7">
        <v>24.4</v>
      </c>
      <c r="C633" s="2" t="s">
        <v>5</v>
      </c>
      <c r="D633" s="7">
        <f>IF(ISBLANK('Raw sheet'!D633),AVERAGE('Raw sheet'!$D$2:'Raw sheet'!$D$1500),'Raw sheet'!D633)</f>
        <v>41815</v>
      </c>
      <c r="E633" s="7" t="str">
        <f>IF(Table1[[#This Row],[Family_Income]]&gt;=100000,"Upper",IF(D633&gt;=50000,"Middle","Lower"))</f>
        <v>Lower</v>
      </c>
      <c r="F633" s="2" t="s">
        <v>3</v>
      </c>
      <c r="G633" s="3">
        <f>IF(ISBLANK('Raw sheet'!F633),AVERAGE('Raw sheet'!$F$2:'Raw sheet'!$F$1500),'Raw sheet'!F633)</f>
        <v>2.71</v>
      </c>
      <c r="H633" s="18">
        <v>74.3</v>
      </c>
      <c r="I633" s="9" t="str">
        <f t="shared" si="18"/>
        <v>Low</v>
      </c>
      <c r="J633" s="2">
        <v>3</v>
      </c>
      <c r="K633" s="2">
        <v>22.2</v>
      </c>
      <c r="L633" s="2" t="s">
        <v>3</v>
      </c>
      <c r="M633" s="2" t="s">
        <v>4</v>
      </c>
      <c r="N633" s="5">
        <f>IF(ISBLANK('Raw sheet'!L633),AVERAGE('Raw sheet'!$L$2:'Raw sheet'!$L$1500),'Raw sheet'!L633)</f>
        <v>8.6</v>
      </c>
      <c r="O633" s="5" t="str">
        <f>IF(Table1[[#This Row],[Stress_Index]]&gt;=8,"High",IF(N633&gt;=5,"Medium","Low"))</f>
        <v>High</v>
      </c>
      <c r="P633" s="3">
        <v>1.74</v>
      </c>
      <c r="Q633" s="2">
        <v>2.15</v>
      </c>
      <c r="R633" s="3">
        <v>2.15</v>
      </c>
      <c r="S633" s="3" t="str">
        <f>IF(Table1[[#This Row],[CGPA]]&gt;=3,"High",IF(R632&gt;=2,"Medium","Low"))</f>
        <v>Low</v>
      </c>
      <c r="T633" s="2" t="s">
        <v>2</v>
      </c>
      <c r="U633" s="2" t="s">
        <v>13</v>
      </c>
      <c r="V633" s="2" t="s">
        <v>9</v>
      </c>
      <c r="W633" s="7">
        <v>0</v>
      </c>
      <c r="X633" t="str">
        <f t="shared" si="19"/>
        <v>Active</v>
      </c>
    </row>
    <row r="634" spans="1:24" x14ac:dyDescent="0.3">
      <c r="A634" s="2">
        <v>633</v>
      </c>
      <c r="B634" s="7">
        <v>20.7</v>
      </c>
      <c r="C634" s="2" t="s">
        <v>11</v>
      </c>
      <c r="D634" s="7">
        <f>IF(ISBLANK('Raw sheet'!D634),AVERAGE('Raw sheet'!$D$2:'Raw sheet'!$D$1500),'Raw sheet'!D634)</f>
        <v>47855</v>
      </c>
      <c r="E634" s="7" t="str">
        <f>IF(Table1[[#This Row],[Family_Income]]&gt;=100000,"Upper",IF(D634&gt;=50000,"Middle","Lower"))</f>
        <v>Lower</v>
      </c>
      <c r="F634" s="2" t="s">
        <v>4</v>
      </c>
      <c r="G634" s="3">
        <f>IF(ISBLANK('Raw sheet'!F634),AVERAGE('Raw sheet'!$F$2:'Raw sheet'!$F$1500),'Raw sheet'!F634)</f>
        <v>2.84</v>
      </c>
      <c r="H634" s="18">
        <v>84.6</v>
      </c>
      <c r="I634" s="9" t="str">
        <f t="shared" si="18"/>
        <v>Good</v>
      </c>
      <c r="J634" s="2">
        <v>2</v>
      </c>
      <c r="K634" s="2">
        <v>43.7</v>
      </c>
      <c r="L634" s="2" t="s">
        <v>3</v>
      </c>
      <c r="M634" s="2" t="s">
        <v>3</v>
      </c>
      <c r="N634" s="5">
        <f>IF(ISBLANK('Raw sheet'!L634),AVERAGE('Raw sheet'!$L$2:'Raw sheet'!$L$1500),'Raw sheet'!L634)</f>
        <v>4.2</v>
      </c>
      <c r="O634" s="5" t="str">
        <f>IF(Table1[[#This Row],[Stress_Index]]&gt;=8,"High",IF(N634&gt;=5,"Medium","Low"))</f>
        <v>Low</v>
      </c>
      <c r="P634" s="3">
        <v>2.69</v>
      </c>
      <c r="Q634" s="2">
        <v>2.88</v>
      </c>
      <c r="R634" s="3">
        <v>2.81</v>
      </c>
      <c r="S634" s="3" t="str">
        <f>IF(Table1[[#This Row],[CGPA]]&gt;=3,"High",IF(R633&gt;=2,"Medium","Low"))</f>
        <v>Medium</v>
      </c>
      <c r="T634" s="2" t="s">
        <v>7</v>
      </c>
      <c r="U634" s="2" t="s">
        <v>8</v>
      </c>
      <c r="V634" s="2" t="s">
        <v>9</v>
      </c>
      <c r="W634" s="7">
        <v>0</v>
      </c>
      <c r="X634" t="str">
        <f t="shared" si="19"/>
        <v>Active</v>
      </c>
    </row>
    <row r="635" spans="1:24" x14ac:dyDescent="0.3">
      <c r="A635" s="2">
        <v>634</v>
      </c>
      <c r="B635" s="7">
        <v>20.100000000000001</v>
      </c>
      <c r="C635" s="2" t="s">
        <v>5</v>
      </c>
      <c r="D635" s="7">
        <f>IF(ISBLANK('Raw sheet'!D635),AVERAGE('Raw sheet'!$D$2:'Raw sheet'!$D$1500),'Raw sheet'!D635)</f>
        <v>25000</v>
      </c>
      <c r="E635" s="7" t="str">
        <f>IF(Table1[[#This Row],[Family_Income]]&gt;=100000,"Upper",IF(D635&gt;=50000,"Middle","Lower"))</f>
        <v>Lower</v>
      </c>
      <c r="F635" s="2" t="s">
        <v>4</v>
      </c>
      <c r="G635" s="3">
        <f>IF(ISBLANK('Raw sheet'!F635),AVERAGE('Raw sheet'!$F$2:'Raw sheet'!$F$1500),'Raw sheet'!F635)</f>
        <v>4.33</v>
      </c>
      <c r="H635" s="18">
        <v>95.5</v>
      </c>
      <c r="I635" s="9" t="str">
        <f t="shared" si="18"/>
        <v>Good</v>
      </c>
      <c r="J635" s="2">
        <v>3</v>
      </c>
      <c r="K635" s="2">
        <v>27.9</v>
      </c>
      <c r="L635" s="2" t="s">
        <v>3</v>
      </c>
      <c r="M635" s="2" t="s">
        <v>3</v>
      </c>
      <c r="N635" s="5">
        <f>IF(ISBLANK('Raw sheet'!L635),AVERAGE('Raw sheet'!$L$2:'Raw sheet'!$L$1500),'Raw sheet'!L635)</f>
        <v>4</v>
      </c>
      <c r="O635" s="5" t="str">
        <f>IF(Table1[[#This Row],[Stress_Index]]&gt;=8,"High",IF(N635&gt;=5,"Medium","Low"))</f>
        <v>Low</v>
      </c>
      <c r="P635" s="3">
        <v>2.66</v>
      </c>
      <c r="Q635" s="2">
        <v>2.17</v>
      </c>
      <c r="R635" s="3">
        <v>2.09</v>
      </c>
      <c r="S635" s="3" t="str">
        <f>IF(Table1[[#This Row],[CGPA]]&gt;=3,"High",IF(R634&gt;=2,"Medium","Low"))</f>
        <v>Medium</v>
      </c>
      <c r="T635" s="2" t="s">
        <v>12</v>
      </c>
      <c r="U635" s="2" t="s">
        <v>1</v>
      </c>
      <c r="V635" s="2" t="s">
        <v>0</v>
      </c>
      <c r="W635" s="7">
        <v>0</v>
      </c>
      <c r="X635" t="str">
        <f t="shared" si="19"/>
        <v>Active</v>
      </c>
    </row>
    <row r="636" spans="1:24" x14ac:dyDescent="0.3">
      <c r="A636" s="2">
        <v>635</v>
      </c>
      <c r="B636" s="7">
        <v>18.8</v>
      </c>
      <c r="C636" s="2" t="s">
        <v>11</v>
      </c>
      <c r="D636" s="7">
        <f>IF(ISBLANK('Raw sheet'!D636),AVERAGE('Raw sheet'!$D$2:'Raw sheet'!$D$1500),'Raw sheet'!D636)</f>
        <v>25000</v>
      </c>
      <c r="E636" s="7" t="str">
        <f>IF(Table1[[#This Row],[Family_Income]]&gt;=100000,"Upper",IF(D636&gt;=50000,"Middle","Lower"))</f>
        <v>Lower</v>
      </c>
      <c r="F636" s="2" t="s">
        <v>4</v>
      </c>
      <c r="G636" s="3">
        <f>IF(ISBLANK('Raw sheet'!F636),AVERAGE('Raw sheet'!$F$2:'Raw sheet'!$F$1500),'Raw sheet'!F636)</f>
        <v>5.61</v>
      </c>
      <c r="H636" s="18">
        <v>85.5</v>
      </c>
      <c r="I636" s="9" t="str">
        <f t="shared" si="18"/>
        <v>Good</v>
      </c>
      <c r="J636" s="2">
        <v>0</v>
      </c>
      <c r="K636" s="2">
        <v>18.2</v>
      </c>
      <c r="L636" s="2" t="s">
        <v>3</v>
      </c>
      <c r="M636" s="2" t="s">
        <v>3</v>
      </c>
      <c r="N636" s="5">
        <f>IF(ISBLANK('Raw sheet'!L636),AVERAGE('Raw sheet'!$L$2:'Raw sheet'!$L$1500),'Raw sheet'!L636)</f>
        <v>4.7</v>
      </c>
      <c r="O636" s="5" t="str">
        <f>IF(Table1[[#This Row],[Stress_Index]]&gt;=8,"High",IF(N636&gt;=5,"Medium","Low"))</f>
        <v>Low</v>
      </c>
      <c r="P636" s="3">
        <v>2.71</v>
      </c>
      <c r="Q636" s="2">
        <v>2.99</v>
      </c>
      <c r="R636" s="3">
        <v>2.99</v>
      </c>
      <c r="S636" s="3" t="str">
        <f>IF(Table1[[#This Row],[CGPA]]&gt;=3,"High",IF(R635&gt;=2,"Medium","Low"))</f>
        <v>Medium</v>
      </c>
      <c r="T636" s="2" t="s">
        <v>2</v>
      </c>
      <c r="U636" s="2" t="s">
        <v>13</v>
      </c>
      <c r="V636" s="2" t="s">
        <v>15</v>
      </c>
      <c r="W636" s="7">
        <v>0</v>
      </c>
      <c r="X636" t="str">
        <f t="shared" si="19"/>
        <v>Active</v>
      </c>
    </row>
    <row r="637" spans="1:24" x14ac:dyDescent="0.3">
      <c r="A637" s="2">
        <v>636</v>
      </c>
      <c r="B637" s="7">
        <v>17.399999999999999</v>
      </c>
      <c r="C637" s="2" t="s">
        <v>11</v>
      </c>
      <c r="D637" s="7">
        <f>IF(ISBLANK('Raw sheet'!D637),AVERAGE('Raw sheet'!$D$2:'Raw sheet'!$D$1500),'Raw sheet'!D637)</f>
        <v>46698</v>
      </c>
      <c r="E637" s="7" t="str">
        <f>IF(Table1[[#This Row],[Family_Income]]&gt;=100000,"Upper",IF(D637&gt;=50000,"Middle","Lower"))</f>
        <v>Lower</v>
      </c>
      <c r="F637" s="2" t="s">
        <v>4</v>
      </c>
      <c r="G637" s="3">
        <f>IF(ISBLANK('Raw sheet'!F637),AVERAGE('Raw sheet'!$F$2:'Raw sheet'!$F$1500),'Raw sheet'!F637)</f>
        <v>2.82</v>
      </c>
      <c r="H637" s="18">
        <v>82.3</v>
      </c>
      <c r="I637" s="9" t="str">
        <f t="shared" si="18"/>
        <v>Good</v>
      </c>
      <c r="J637" s="2">
        <v>4</v>
      </c>
      <c r="K637" s="2">
        <v>35.4</v>
      </c>
      <c r="L637" s="2" t="s">
        <v>3</v>
      </c>
      <c r="M637" s="2" t="s">
        <v>3</v>
      </c>
      <c r="N637" s="5">
        <f>IF(ISBLANK('Raw sheet'!L637),AVERAGE('Raw sheet'!$L$2:'Raw sheet'!$L$1500),'Raw sheet'!L637)</f>
        <v>4.2</v>
      </c>
      <c r="O637" s="5" t="str">
        <f>IF(Table1[[#This Row],[Stress_Index]]&gt;=8,"High",IF(N637&gt;=5,"Medium","Low"))</f>
        <v>Low</v>
      </c>
      <c r="P637" s="3">
        <v>2.91</v>
      </c>
      <c r="Q637" s="2">
        <v>3.03</v>
      </c>
      <c r="R637" s="3">
        <v>3.1</v>
      </c>
      <c r="S637" s="3" t="str">
        <f>IF(Table1[[#This Row],[CGPA]]&gt;=3,"High",IF(R636&gt;=2,"Medium","Low"))</f>
        <v>High</v>
      </c>
      <c r="T637" s="2" t="s">
        <v>10</v>
      </c>
      <c r="U637" s="2" t="s">
        <v>8</v>
      </c>
      <c r="V637" s="2" t="s">
        <v>9</v>
      </c>
      <c r="W637" s="7">
        <v>0</v>
      </c>
      <c r="X637" t="str">
        <f t="shared" si="19"/>
        <v>Active</v>
      </c>
    </row>
    <row r="638" spans="1:24" x14ac:dyDescent="0.3">
      <c r="A638" s="2">
        <v>637</v>
      </c>
      <c r="B638" s="7">
        <v>22.8</v>
      </c>
      <c r="C638" s="2" t="s">
        <v>11</v>
      </c>
      <c r="D638" s="7">
        <f>IF(ISBLANK('Raw sheet'!D638),AVERAGE('Raw sheet'!$D$2:'Raw sheet'!$D$1500),'Raw sheet'!D638)</f>
        <v>25000</v>
      </c>
      <c r="E638" s="7" t="str">
        <f>IF(Table1[[#This Row],[Family_Income]]&gt;=100000,"Upper",IF(D638&gt;=50000,"Middle","Lower"))</f>
        <v>Lower</v>
      </c>
      <c r="F638" s="2" t="s">
        <v>4</v>
      </c>
      <c r="G638" s="3">
        <f>IF(ISBLANK('Raw sheet'!F638),AVERAGE('Raw sheet'!$F$2:'Raw sheet'!$F$1500),'Raw sheet'!F638)</f>
        <v>4.1100000000000003</v>
      </c>
      <c r="H638" s="18">
        <v>76.099999999999994</v>
      </c>
      <c r="I638" s="9" t="str">
        <f t="shared" si="18"/>
        <v>Good</v>
      </c>
      <c r="J638" s="2">
        <v>1</v>
      </c>
      <c r="K638" s="2">
        <v>39.200000000000003</v>
      </c>
      <c r="L638" s="2" t="s">
        <v>4</v>
      </c>
      <c r="M638" s="2" t="s">
        <v>4</v>
      </c>
      <c r="N638" s="5">
        <f>IF(ISBLANK('Raw sheet'!L638),AVERAGE('Raw sheet'!$L$2:'Raw sheet'!$L$1500),'Raw sheet'!L638)</f>
        <v>6.4</v>
      </c>
      <c r="O638" s="5" t="str">
        <f>IF(Table1[[#This Row],[Stress_Index]]&gt;=8,"High",IF(N638&gt;=5,"Medium","Low"))</f>
        <v>Medium</v>
      </c>
      <c r="P638" s="3">
        <v>2.14</v>
      </c>
      <c r="Q638" s="2">
        <v>2.2000000000000002</v>
      </c>
      <c r="R638" s="3">
        <v>2.2000000000000002</v>
      </c>
      <c r="S638" s="3" t="str">
        <f>IF(Table1[[#This Row],[CGPA]]&gt;=3,"High",IF(R637&gt;=2,"Medium","Low"))</f>
        <v>Medium</v>
      </c>
      <c r="T638" s="2" t="s">
        <v>2</v>
      </c>
      <c r="U638" s="2" t="s">
        <v>13</v>
      </c>
      <c r="V638" s="2" t="s">
        <v>9</v>
      </c>
      <c r="W638" s="7">
        <v>0</v>
      </c>
      <c r="X638" t="str">
        <f t="shared" si="19"/>
        <v>Active</v>
      </c>
    </row>
    <row r="639" spans="1:24" x14ac:dyDescent="0.3">
      <c r="A639" s="2">
        <v>638</v>
      </c>
      <c r="B639" s="7">
        <v>21.2</v>
      </c>
      <c r="C639" s="2" t="s">
        <v>11</v>
      </c>
      <c r="D639" s="7">
        <f>IF(ISBLANK('Raw sheet'!D639),AVERAGE('Raw sheet'!$D$2:'Raw sheet'!$D$1500),'Raw sheet'!D639)</f>
        <v>70783</v>
      </c>
      <c r="E639" s="7" t="str">
        <f>IF(Table1[[#This Row],[Family_Income]]&gt;=100000,"Upper",IF(D639&gt;=50000,"Middle","Lower"))</f>
        <v>Middle</v>
      </c>
      <c r="F639" s="2" t="s">
        <v>4</v>
      </c>
      <c r="G639" s="3">
        <f>IF(ISBLANK('Raw sheet'!F639),AVERAGE('Raw sheet'!$F$2:'Raw sheet'!$F$1500),'Raw sheet'!F639)</f>
        <v>5.42</v>
      </c>
      <c r="H639" s="18">
        <v>79.099999999999994</v>
      </c>
      <c r="I639" s="9" t="str">
        <f t="shared" si="18"/>
        <v>Good</v>
      </c>
      <c r="J639" s="2">
        <v>1</v>
      </c>
      <c r="K639" s="2">
        <v>30</v>
      </c>
      <c r="L639" s="2" t="s">
        <v>4</v>
      </c>
      <c r="M639" s="2" t="s">
        <v>3</v>
      </c>
      <c r="N639" s="5">
        <f>IF(ISBLANK('Raw sheet'!L639),AVERAGE('Raw sheet'!$L$2:'Raw sheet'!$L$1500),'Raw sheet'!L639)</f>
        <v>7.8</v>
      </c>
      <c r="O639" s="5" t="str">
        <f>IF(Table1[[#This Row],[Stress_Index]]&gt;=8,"High",IF(N639&gt;=5,"Medium","Low"))</f>
        <v>Medium</v>
      </c>
      <c r="P639" s="3">
        <v>0.64</v>
      </c>
      <c r="Q639" s="2">
        <v>0.16</v>
      </c>
      <c r="R639" s="3">
        <v>0.2</v>
      </c>
      <c r="S639" s="3" t="str">
        <f>IF(Table1[[#This Row],[CGPA]]&gt;=3,"High",IF(R638&gt;=2,"Medium","Low"))</f>
        <v>Medium</v>
      </c>
      <c r="T639" s="2" t="s">
        <v>7</v>
      </c>
      <c r="U639" s="2" t="s">
        <v>13</v>
      </c>
      <c r="V639" s="2" t="s">
        <v>9</v>
      </c>
      <c r="W639" s="7">
        <v>1</v>
      </c>
      <c r="X639" t="str">
        <f t="shared" si="19"/>
        <v>Dropped Out</v>
      </c>
    </row>
    <row r="640" spans="1:24" x14ac:dyDescent="0.3">
      <c r="A640" s="2">
        <v>639</v>
      </c>
      <c r="B640" s="7">
        <v>18.2</v>
      </c>
      <c r="C640" s="2" t="s">
        <v>11</v>
      </c>
      <c r="D640" s="7">
        <f>IF(ISBLANK('Raw sheet'!D640),AVERAGE('Raw sheet'!$D$2:'Raw sheet'!$D$1500),'Raw sheet'!D640)</f>
        <v>25000</v>
      </c>
      <c r="E640" s="7" t="str">
        <f>IF(Table1[[#This Row],[Family_Income]]&gt;=100000,"Upper",IF(D640&gt;=50000,"Middle","Lower"))</f>
        <v>Lower</v>
      </c>
      <c r="F640" s="2" t="s">
        <v>4</v>
      </c>
      <c r="G640" s="3">
        <f>IF(ISBLANK('Raw sheet'!F640),AVERAGE('Raw sheet'!$F$2:'Raw sheet'!$F$1500),'Raw sheet'!F640)</f>
        <v>3.74</v>
      </c>
      <c r="H640" s="18">
        <v>71.5</v>
      </c>
      <c r="I640" s="9" t="str">
        <f t="shared" si="18"/>
        <v>Low</v>
      </c>
      <c r="J640" s="2">
        <v>1</v>
      </c>
      <c r="K640" s="2">
        <v>15.2</v>
      </c>
      <c r="L640" s="2" t="s">
        <v>3</v>
      </c>
      <c r="M640" s="2" t="s">
        <v>3</v>
      </c>
      <c r="N640" s="5">
        <f>IF(ISBLANK('Raw sheet'!L640),AVERAGE('Raw sheet'!$L$2:'Raw sheet'!$L$1500),'Raw sheet'!L640)</f>
        <v>5.5</v>
      </c>
      <c r="O640" s="5" t="str">
        <f>IF(Table1[[#This Row],[Stress_Index]]&gt;=8,"High",IF(N640&gt;=5,"Medium","Low"))</f>
        <v>Medium</v>
      </c>
      <c r="P640" s="3">
        <v>0</v>
      </c>
      <c r="Q640" s="2">
        <v>0</v>
      </c>
      <c r="R640" s="3">
        <v>0</v>
      </c>
      <c r="S640" s="3" t="str">
        <f>IF(Table1[[#This Row],[CGPA]]&gt;=3,"High",IF(R639&gt;=2,"Medium","Low"))</f>
        <v>Low</v>
      </c>
      <c r="T640" s="2" t="s">
        <v>7</v>
      </c>
      <c r="U640" s="2" t="s">
        <v>13</v>
      </c>
      <c r="V640" s="2" t="s">
        <v>9</v>
      </c>
      <c r="W640" s="7">
        <v>1</v>
      </c>
      <c r="X640" t="str">
        <f t="shared" si="19"/>
        <v>Dropped Out</v>
      </c>
    </row>
    <row r="641" spans="1:24" x14ac:dyDescent="0.3">
      <c r="A641" s="2">
        <v>640</v>
      </c>
      <c r="B641" s="7">
        <v>18.2</v>
      </c>
      <c r="C641" s="2" t="s">
        <v>11</v>
      </c>
      <c r="D641" s="7">
        <f>IF(ISBLANK('Raw sheet'!D641),AVERAGE('Raw sheet'!$D$2:'Raw sheet'!$D$1500),'Raw sheet'!D641)</f>
        <v>40180</v>
      </c>
      <c r="E641" s="7" t="str">
        <f>IF(Table1[[#This Row],[Family_Income]]&gt;=100000,"Upper",IF(D641&gt;=50000,"Middle","Lower"))</f>
        <v>Lower</v>
      </c>
      <c r="F641" s="2" t="s">
        <v>3</v>
      </c>
      <c r="G641" s="3">
        <f>IF(ISBLANK('Raw sheet'!F641),AVERAGE('Raw sheet'!$F$2:'Raw sheet'!$F$1500),'Raw sheet'!F641)</f>
        <v>3.9</v>
      </c>
      <c r="H641" s="18">
        <v>70.400000000000006</v>
      </c>
      <c r="I641" s="9" t="str">
        <f t="shared" si="18"/>
        <v>Low</v>
      </c>
      <c r="J641" s="2">
        <v>0</v>
      </c>
      <c r="K641" s="2">
        <v>5</v>
      </c>
      <c r="L641" s="2" t="s">
        <v>3</v>
      </c>
      <c r="M641" s="2" t="s">
        <v>4</v>
      </c>
      <c r="N641" s="5">
        <f>IF(ISBLANK('Raw sheet'!L641),AVERAGE('Raw sheet'!$L$2:'Raw sheet'!$L$1500),'Raw sheet'!L641)</f>
        <v>6.1</v>
      </c>
      <c r="O641" s="5" t="str">
        <f>IF(Table1[[#This Row],[Stress_Index]]&gt;=8,"High",IF(N641&gt;=5,"Medium","Low"))</f>
        <v>Medium</v>
      </c>
      <c r="P641" s="3">
        <v>0.55000000000000004</v>
      </c>
      <c r="Q641" s="2">
        <v>1.1299999999999999</v>
      </c>
      <c r="R641" s="3">
        <v>1.08</v>
      </c>
      <c r="S641" s="3" t="str">
        <f>IF(Table1[[#This Row],[CGPA]]&gt;=3,"High",IF(R640&gt;=2,"Medium","Low"))</f>
        <v>Low</v>
      </c>
      <c r="T641" s="2" t="s">
        <v>12</v>
      </c>
      <c r="U641" s="2" t="s">
        <v>13</v>
      </c>
      <c r="V641" s="2" t="s">
        <v>15</v>
      </c>
      <c r="W641" s="7">
        <v>0</v>
      </c>
      <c r="X641" t="str">
        <f t="shared" si="19"/>
        <v>Active</v>
      </c>
    </row>
    <row r="642" spans="1:24" x14ac:dyDescent="0.3">
      <c r="A642" s="2">
        <v>641</v>
      </c>
      <c r="B642" s="7">
        <v>20.3</v>
      </c>
      <c r="C642" s="2" t="s">
        <v>11</v>
      </c>
      <c r="D642" s="7">
        <f>IF(ISBLANK('Raw sheet'!D642),AVERAGE('Raw sheet'!$D$2:'Raw sheet'!$D$1500),'Raw sheet'!D642)</f>
        <v>104773</v>
      </c>
      <c r="E642" s="7" t="str">
        <f>IF(Table1[[#This Row],[Family_Income]]&gt;=100000,"Upper",IF(D642&gt;=50000,"Middle","Lower"))</f>
        <v>Upper</v>
      </c>
      <c r="F642" s="2" t="s">
        <v>4</v>
      </c>
      <c r="G642" s="3">
        <f>IF(ISBLANK('Raw sheet'!F642),AVERAGE('Raw sheet'!$F$2:'Raw sheet'!$F$1500),'Raw sheet'!F642)</f>
        <v>5.85</v>
      </c>
      <c r="H642" s="18">
        <v>81.400000000000006</v>
      </c>
      <c r="I642" s="9" t="str">
        <f t="shared" ref="I642:I705" si="20">IF(H642&gt;=75,"Good","Low")</f>
        <v>Good</v>
      </c>
      <c r="J642" s="2">
        <v>2</v>
      </c>
      <c r="K642" s="2">
        <v>19.2</v>
      </c>
      <c r="L642" s="2" t="s">
        <v>4</v>
      </c>
      <c r="M642" s="2" t="s">
        <v>3</v>
      </c>
      <c r="N642" s="5">
        <f>IF(ISBLANK('Raw sheet'!L642),AVERAGE('Raw sheet'!$L$2:'Raw sheet'!$L$1500),'Raw sheet'!L642)</f>
        <v>3</v>
      </c>
      <c r="O642" s="5" t="str">
        <f>IF(Table1[[#This Row],[Stress_Index]]&gt;=8,"High",IF(N642&gt;=5,"Medium","Low"))</f>
        <v>Low</v>
      </c>
      <c r="P642" s="3">
        <v>2.71</v>
      </c>
      <c r="Q642" s="2">
        <v>2.72</v>
      </c>
      <c r="R642" s="3">
        <v>2.7</v>
      </c>
      <c r="S642" s="3" t="str">
        <f>IF(Table1[[#This Row],[CGPA]]&gt;=3,"High",IF(R641&gt;=2,"Medium","Low"))</f>
        <v>Low</v>
      </c>
      <c r="T642" s="2" t="s">
        <v>12</v>
      </c>
      <c r="U642" s="2" t="s">
        <v>14</v>
      </c>
      <c r="V642" s="2" t="s">
        <v>0</v>
      </c>
      <c r="W642" s="7">
        <v>0</v>
      </c>
      <c r="X642" t="str">
        <f t="shared" ref="X642:X705" si="21">IF(W642=1,"Dropped Out","Active")</f>
        <v>Active</v>
      </c>
    </row>
    <row r="643" spans="1:24" x14ac:dyDescent="0.3">
      <c r="A643" s="2">
        <v>642</v>
      </c>
      <c r="B643" s="7">
        <v>24.7</v>
      </c>
      <c r="C643" s="2" t="s">
        <v>11</v>
      </c>
      <c r="D643" s="7">
        <f>IF(ISBLANK('Raw sheet'!D643),AVERAGE('Raw sheet'!$D$2:'Raw sheet'!$D$1500),'Raw sheet'!D643)</f>
        <v>25000</v>
      </c>
      <c r="E643" s="7" t="str">
        <f>IF(Table1[[#This Row],[Family_Income]]&gt;=100000,"Upper",IF(D643&gt;=50000,"Middle","Lower"))</f>
        <v>Lower</v>
      </c>
      <c r="F643" s="2" t="s">
        <v>4</v>
      </c>
      <c r="G643" s="3">
        <f>IF(ISBLANK('Raw sheet'!F643),AVERAGE('Raw sheet'!$F$2:'Raw sheet'!$F$1500),'Raw sheet'!F643)</f>
        <v>3.46</v>
      </c>
      <c r="H643" s="18">
        <v>86.4</v>
      </c>
      <c r="I643" s="9" t="str">
        <f t="shared" si="20"/>
        <v>Good</v>
      </c>
      <c r="J643" s="2">
        <v>1</v>
      </c>
      <c r="K643" s="2">
        <v>42.7</v>
      </c>
      <c r="L643" s="2" t="s">
        <v>3</v>
      </c>
      <c r="M643" s="2" t="s">
        <v>3</v>
      </c>
      <c r="N643" s="5">
        <f>IF(ISBLANK('Raw sheet'!L643),AVERAGE('Raw sheet'!$L$2:'Raw sheet'!$L$1500),'Raw sheet'!L643)</f>
        <v>5.7</v>
      </c>
      <c r="O643" s="5" t="str">
        <f>IF(Table1[[#This Row],[Stress_Index]]&gt;=8,"High",IF(N643&gt;=5,"Medium","Low"))</f>
        <v>Medium</v>
      </c>
      <c r="P643" s="3">
        <v>2.25</v>
      </c>
      <c r="Q643" s="2">
        <v>2.15</v>
      </c>
      <c r="R643" s="3">
        <v>2.2400000000000002</v>
      </c>
      <c r="S643" s="3" t="str">
        <f>IF(Table1[[#This Row],[CGPA]]&gt;=3,"High",IF(R642&gt;=2,"Medium","Low"))</f>
        <v>Medium</v>
      </c>
      <c r="T643" s="2" t="s">
        <v>12</v>
      </c>
      <c r="U643" s="2" t="s">
        <v>14</v>
      </c>
      <c r="V643" s="2" t="s">
        <v>15</v>
      </c>
      <c r="W643" s="7">
        <v>0</v>
      </c>
      <c r="X643" t="str">
        <f t="shared" si="21"/>
        <v>Active</v>
      </c>
    </row>
    <row r="644" spans="1:24" x14ac:dyDescent="0.3">
      <c r="A644" s="2">
        <v>643</v>
      </c>
      <c r="B644" s="7">
        <v>20.399999999999999</v>
      </c>
      <c r="C644" s="2" t="s">
        <v>5</v>
      </c>
      <c r="D644" s="7">
        <f>IF(ISBLANK('Raw sheet'!D644),AVERAGE('Raw sheet'!$D$2:'Raw sheet'!$D$1500),'Raw sheet'!D644)</f>
        <v>30985</v>
      </c>
      <c r="E644" s="7" t="str">
        <f>IF(Table1[[#This Row],[Family_Income]]&gt;=100000,"Upper",IF(D644&gt;=50000,"Middle","Lower"))</f>
        <v>Lower</v>
      </c>
      <c r="F644" s="2" t="s">
        <v>4</v>
      </c>
      <c r="G644" s="3">
        <f>IF(ISBLANK('Raw sheet'!F644),AVERAGE('Raw sheet'!$F$2:'Raw sheet'!$F$1500),'Raw sheet'!F644)</f>
        <v>5.65</v>
      </c>
      <c r="H644" s="18">
        <v>75.2</v>
      </c>
      <c r="I644" s="9" t="str">
        <f t="shared" si="20"/>
        <v>Good</v>
      </c>
      <c r="J644" s="2">
        <v>4</v>
      </c>
      <c r="K644" s="2">
        <v>41.6</v>
      </c>
      <c r="L644" s="2" t="s">
        <v>4</v>
      </c>
      <c r="M644" s="2" t="s">
        <v>4</v>
      </c>
      <c r="N644" s="5">
        <f>IF(ISBLANK('Raw sheet'!L644),AVERAGE('Raw sheet'!$L$2:'Raw sheet'!$L$1500),'Raw sheet'!L644)</f>
        <v>8.6999999999999993</v>
      </c>
      <c r="O644" s="5" t="str">
        <f>IF(Table1[[#This Row],[Stress_Index]]&gt;=8,"High",IF(N644&gt;=5,"Medium","Low"))</f>
        <v>High</v>
      </c>
      <c r="P644" s="3">
        <v>2.09</v>
      </c>
      <c r="Q644" s="2">
        <v>1.87</v>
      </c>
      <c r="R644" s="3">
        <v>1.81</v>
      </c>
      <c r="S644" s="3" t="str">
        <f>IF(Table1[[#This Row],[CGPA]]&gt;=3,"High",IF(R643&gt;=2,"Medium","Low"))</f>
        <v>Medium</v>
      </c>
      <c r="T644" s="2" t="s">
        <v>7</v>
      </c>
      <c r="U644" s="2" t="s">
        <v>8</v>
      </c>
      <c r="V644" s="2" t="s">
        <v>9</v>
      </c>
      <c r="W644" s="7">
        <v>0</v>
      </c>
      <c r="X644" t="str">
        <f t="shared" si="21"/>
        <v>Active</v>
      </c>
    </row>
    <row r="645" spans="1:24" x14ac:dyDescent="0.3">
      <c r="A645" s="2">
        <v>644</v>
      </c>
      <c r="B645" s="7">
        <v>17.7</v>
      </c>
      <c r="C645" s="2" t="s">
        <v>5</v>
      </c>
      <c r="D645" s="7">
        <f>IF(ISBLANK('Raw sheet'!D645),AVERAGE('Raw sheet'!$D$2:'Raw sheet'!$D$1500),'Raw sheet'!D645)</f>
        <v>55967</v>
      </c>
      <c r="E645" s="7" t="str">
        <f>IF(Table1[[#This Row],[Family_Income]]&gt;=100000,"Upper",IF(D645&gt;=50000,"Middle","Lower"))</f>
        <v>Middle</v>
      </c>
      <c r="F645" s="2" t="s">
        <v>4</v>
      </c>
      <c r="G645" s="3">
        <f>IF(ISBLANK('Raw sheet'!F645),AVERAGE('Raw sheet'!$F$2:'Raw sheet'!$F$1500),'Raw sheet'!F645)</f>
        <v>3.81</v>
      </c>
      <c r="H645" s="18">
        <v>91.6</v>
      </c>
      <c r="I645" s="9" t="str">
        <f t="shared" si="20"/>
        <v>Good</v>
      </c>
      <c r="J645" s="2">
        <v>0</v>
      </c>
      <c r="K645" s="2">
        <v>20.399999999999999</v>
      </c>
      <c r="L645" s="2" t="s">
        <v>4</v>
      </c>
      <c r="M645" s="2" t="s">
        <v>4</v>
      </c>
      <c r="N645" s="5">
        <f>IF(ISBLANK('Raw sheet'!L645),AVERAGE('Raw sheet'!$L$2:'Raw sheet'!$L$1500),'Raw sheet'!L645)</f>
        <v>8</v>
      </c>
      <c r="O645" s="5" t="str">
        <f>IF(Table1[[#This Row],[Stress_Index]]&gt;=8,"High",IF(N645&gt;=5,"Medium","Low"))</f>
        <v>High</v>
      </c>
      <c r="P645" s="3">
        <v>2.13</v>
      </c>
      <c r="Q645" s="2">
        <v>2.0299999999999998</v>
      </c>
      <c r="R645" s="3">
        <v>1.95</v>
      </c>
      <c r="S645" s="3" t="str">
        <f>IF(Table1[[#This Row],[CGPA]]&gt;=3,"High",IF(R644&gt;=2,"Medium","Low"))</f>
        <v>Low</v>
      </c>
      <c r="T645" s="2" t="s">
        <v>10</v>
      </c>
      <c r="U645" s="2" t="s">
        <v>8</v>
      </c>
      <c r="V645" s="2" t="s">
        <v>15</v>
      </c>
      <c r="W645" s="7">
        <v>0</v>
      </c>
      <c r="X645" t="str">
        <f t="shared" si="21"/>
        <v>Active</v>
      </c>
    </row>
    <row r="646" spans="1:24" x14ac:dyDescent="0.3">
      <c r="A646" s="2">
        <v>645</v>
      </c>
      <c r="B646" s="7">
        <v>20.5</v>
      </c>
      <c r="C646" s="2" t="s">
        <v>5</v>
      </c>
      <c r="D646" s="7">
        <f>IF(ISBLANK('Raw sheet'!D646),AVERAGE('Raw sheet'!$D$2:'Raw sheet'!$D$1500),'Raw sheet'!D646)</f>
        <v>52616</v>
      </c>
      <c r="E646" s="7" t="str">
        <f>IF(Table1[[#This Row],[Family_Income]]&gt;=100000,"Upper",IF(D646&gt;=50000,"Middle","Lower"))</f>
        <v>Middle</v>
      </c>
      <c r="F646" s="2" t="s">
        <v>4</v>
      </c>
      <c r="G646" s="3">
        <f>IF(ISBLANK('Raw sheet'!F646),AVERAGE('Raw sheet'!$F$2:'Raw sheet'!$F$1500),'Raw sheet'!F646)</f>
        <v>2.59</v>
      </c>
      <c r="H646" s="18">
        <v>77.5</v>
      </c>
      <c r="I646" s="9" t="str">
        <f t="shared" si="20"/>
        <v>Good</v>
      </c>
      <c r="J646" s="2">
        <v>2</v>
      </c>
      <c r="K646" s="2">
        <v>27.2</v>
      </c>
      <c r="L646" s="2" t="s">
        <v>4</v>
      </c>
      <c r="M646" s="2" t="s">
        <v>4</v>
      </c>
      <c r="N646" s="5">
        <f>IF(ISBLANK('Raw sheet'!L646),AVERAGE('Raw sheet'!$L$2:'Raw sheet'!$L$1500),'Raw sheet'!L646)</f>
        <v>3.5</v>
      </c>
      <c r="O646" s="5" t="str">
        <f>IF(Table1[[#This Row],[Stress_Index]]&gt;=8,"High",IF(N646&gt;=5,"Medium","Low"))</f>
        <v>Low</v>
      </c>
      <c r="P646" s="3">
        <v>1.45</v>
      </c>
      <c r="Q646" s="2">
        <v>1.73</v>
      </c>
      <c r="R646" s="3">
        <v>1.73</v>
      </c>
      <c r="S646" s="3" t="str">
        <f>IF(Table1[[#This Row],[CGPA]]&gt;=3,"High",IF(R645&gt;=2,"Medium","Low"))</f>
        <v>Low</v>
      </c>
      <c r="T646" s="2" t="s">
        <v>2</v>
      </c>
      <c r="U646" s="2" t="s">
        <v>6</v>
      </c>
      <c r="V646" s="2" t="s">
        <v>15</v>
      </c>
      <c r="W646" s="7">
        <v>0</v>
      </c>
      <c r="X646" t="str">
        <f t="shared" si="21"/>
        <v>Active</v>
      </c>
    </row>
    <row r="647" spans="1:24" x14ac:dyDescent="0.3">
      <c r="A647" s="2">
        <v>646</v>
      </c>
      <c r="B647" s="7">
        <v>20.399999999999999</v>
      </c>
      <c r="C647" s="2" t="s">
        <v>11</v>
      </c>
      <c r="D647" s="7">
        <f>IF(ISBLANK('Raw sheet'!D647),AVERAGE('Raw sheet'!$D$2:'Raw sheet'!$D$1500),'Raw sheet'!D647)</f>
        <v>25000</v>
      </c>
      <c r="E647" s="7" t="str">
        <f>IF(Table1[[#This Row],[Family_Income]]&gt;=100000,"Upper",IF(D647&gt;=50000,"Middle","Lower"))</f>
        <v>Lower</v>
      </c>
      <c r="F647" s="2" t="s">
        <v>4</v>
      </c>
      <c r="G647" s="3">
        <f>IF(ISBLANK('Raw sheet'!F647),AVERAGE('Raw sheet'!$F$2:'Raw sheet'!$F$1500),'Raw sheet'!F647)</f>
        <v>4.72</v>
      </c>
      <c r="H647" s="18">
        <v>81.3</v>
      </c>
      <c r="I647" s="9" t="str">
        <f t="shared" si="20"/>
        <v>Good</v>
      </c>
      <c r="J647" s="2">
        <v>0</v>
      </c>
      <c r="K647" s="2">
        <v>38.4</v>
      </c>
      <c r="L647" s="2" t="s">
        <v>4</v>
      </c>
      <c r="M647" s="2" t="s">
        <v>3</v>
      </c>
      <c r="N647" s="5">
        <f>IF(ISBLANK('Raw sheet'!L647),AVERAGE('Raw sheet'!$L$2:'Raw sheet'!$L$1500),'Raw sheet'!L647)</f>
        <v>4.7</v>
      </c>
      <c r="O647" s="5" t="str">
        <f>IF(Table1[[#This Row],[Stress_Index]]&gt;=8,"High",IF(N647&gt;=5,"Medium","Low"))</f>
        <v>Low</v>
      </c>
      <c r="P647" s="3">
        <v>2.52</v>
      </c>
      <c r="Q647" s="2">
        <v>2.8</v>
      </c>
      <c r="R647" s="3">
        <v>2.81</v>
      </c>
      <c r="S647" s="3" t="str">
        <f>IF(Table1[[#This Row],[CGPA]]&gt;=3,"High",IF(R646&gt;=2,"Medium","Low"))</f>
        <v>Low</v>
      </c>
      <c r="T647" s="2" t="s">
        <v>12</v>
      </c>
      <c r="U647" s="2" t="s">
        <v>1</v>
      </c>
      <c r="V647" s="2" t="s">
        <v>9</v>
      </c>
      <c r="W647" s="7">
        <v>0</v>
      </c>
      <c r="X647" t="str">
        <f t="shared" si="21"/>
        <v>Active</v>
      </c>
    </row>
    <row r="648" spans="1:24" x14ac:dyDescent="0.3">
      <c r="A648" s="2">
        <v>647</v>
      </c>
      <c r="B648" s="7">
        <v>17</v>
      </c>
      <c r="C648" s="2" t="s">
        <v>5</v>
      </c>
      <c r="D648" s="7">
        <f>IF(ISBLANK('Raw sheet'!D648),AVERAGE('Raw sheet'!$D$2:'Raw sheet'!$D$1500),'Raw sheet'!D648)</f>
        <v>25000</v>
      </c>
      <c r="E648" s="7" t="str">
        <f>IF(Table1[[#This Row],[Family_Income]]&gt;=100000,"Upper",IF(D648&gt;=50000,"Middle","Lower"))</f>
        <v>Lower</v>
      </c>
      <c r="F648" s="2" t="s">
        <v>4</v>
      </c>
      <c r="G648" s="3">
        <f>IF(ISBLANK('Raw sheet'!F648),AVERAGE('Raw sheet'!$F$2:'Raw sheet'!$F$1500),'Raw sheet'!F648)</f>
        <v>3.2</v>
      </c>
      <c r="H648" s="18">
        <v>89.6</v>
      </c>
      <c r="I648" s="9" t="str">
        <f t="shared" si="20"/>
        <v>Good</v>
      </c>
      <c r="J648" s="2">
        <v>3</v>
      </c>
      <c r="K648" s="2">
        <v>28.3</v>
      </c>
      <c r="L648" s="2" t="s">
        <v>3</v>
      </c>
      <c r="M648" s="2" t="s">
        <v>3</v>
      </c>
      <c r="N648" s="5">
        <f>IF(ISBLANK('Raw sheet'!L648),AVERAGE('Raw sheet'!$L$2:'Raw sheet'!$L$1500),'Raw sheet'!L648)</f>
        <v>10</v>
      </c>
      <c r="O648" s="5" t="str">
        <f>IF(Table1[[#This Row],[Stress_Index]]&gt;=8,"High",IF(N648&gt;=5,"Medium","Low"))</f>
        <v>High</v>
      </c>
      <c r="P648" s="3">
        <v>2.57</v>
      </c>
      <c r="Q648" s="2">
        <v>2.81</v>
      </c>
      <c r="R648" s="3">
        <v>2.81</v>
      </c>
      <c r="S648" s="3" t="str">
        <f>IF(Table1[[#This Row],[CGPA]]&gt;=3,"High",IF(R647&gt;=2,"Medium","Low"))</f>
        <v>Medium</v>
      </c>
      <c r="T648" s="2" t="s">
        <v>2</v>
      </c>
      <c r="U648" s="2" t="s">
        <v>1</v>
      </c>
      <c r="V648" s="2" t="s">
        <v>9</v>
      </c>
      <c r="W648" s="7">
        <v>0</v>
      </c>
      <c r="X648" t="str">
        <f t="shared" si="21"/>
        <v>Active</v>
      </c>
    </row>
    <row r="649" spans="1:24" x14ac:dyDescent="0.3">
      <c r="A649" s="2">
        <v>648</v>
      </c>
      <c r="B649" s="7">
        <v>20.9</v>
      </c>
      <c r="C649" s="2" t="s">
        <v>5</v>
      </c>
      <c r="D649" s="7">
        <f>IF(ISBLANK('Raw sheet'!D649),AVERAGE('Raw sheet'!$D$2:'Raw sheet'!$D$1500),'Raw sheet'!D649)</f>
        <v>25851</v>
      </c>
      <c r="E649" s="7" t="str">
        <f>IF(Table1[[#This Row],[Family_Income]]&gt;=100000,"Upper",IF(D649&gt;=50000,"Middle","Lower"))</f>
        <v>Lower</v>
      </c>
      <c r="F649" s="2" t="s">
        <v>4</v>
      </c>
      <c r="G649" s="3">
        <f>IF(ISBLANK('Raw sheet'!F649),AVERAGE('Raw sheet'!$F$2:'Raw sheet'!$F$1500),'Raw sheet'!F649)</f>
        <v>2.48</v>
      </c>
      <c r="H649" s="18">
        <v>79.5</v>
      </c>
      <c r="I649" s="9" t="str">
        <f t="shared" si="20"/>
        <v>Good</v>
      </c>
      <c r="J649" s="2">
        <v>1</v>
      </c>
      <c r="K649" s="2">
        <v>41.2</v>
      </c>
      <c r="L649" s="2" t="s">
        <v>3</v>
      </c>
      <c r="M649" s="2" t="s">
        <v>3</v>
      </c>
      <c r="N649" s="5">
        <f>IF(ISBLANK('Raw sheet'!L649),AVERAGE('Raw sheet'!$L$2:'Raw sheet'!$L$1500),'Raw sheet'!L649)</f>
        <v>6.3</v>
      </c>
      <c r="O649" s="5" t="str">
        <f>IF(Table1[[#This Row],[Stress_Index]]&gt;=8,"High",IF(N649&gt;=5,"Medium","Low"))</f>
        <v>Medium</v>
      </c>
      <c r="P649" s="3">
        <v>1.89</v>
      </c>
      <c r="Q649" s="2">
        <v>1.49</v>
      </c>
      <c r="R649" s="3">
        <v>1.54</v>
      </c>
      <c r="S649" s="3" t="str">
        <f>IF(Table1[[#This Row],[CGPA]]&gt;=3,"High",IF(R648&gt;=2,"Medium","Low"))</f>
        <v>Medium</v>
      </c>
      <c r="T649" s="2" t="s">
        <v>7</v>
      </c>
      <c r="U649" s="2" t="s">
        <v>14</v>
      </c>
      <c r="V649" s="2" t="s">
        <v>9</v>
      </c>
      <c r="W649" s="7">
        <v>0</v>
      </c>
      <c r="X649" t="str">
        <f t="shared" si="21"/>
        <v>Active</v>
      </c>
    </row>
    <row r="650" spans="1:24" x14ac:dyDescent="0.3">
      <c r="A650" s="2">
        <v>649</v>
      </c>
      <c r="B650" s="7">
        <v>20.5</v>
      </c>
      <c r="C650" s="2" t="s">
        <v>5</v>
      </c>
      <c r="D650" s="7">
        <f>IF(ISBLANK('Raw sheet'!D650),AVERAGE('Raw sheet'!$D$2:'Raw sheet'!$D$1500),'Raw sheet'!D650)</f>
        <v>70878</v>
      </c>
      <c r="E650" s="7" t="str">
        <f>IF(Table1[[#This Row],[Family_Income]]&gt;=100000,"Upper",IF(D650&gt;=50000,"Middle","Lower"))</f>
        <v>Middle</v>
      </c>
      <c r="F650" s="2" t="s">
        <v>3</v>
      </c>
      <c r="G650" s="3">
        <f>IF(ISBLANK('Raw sheet'!F650),AVERAGE('Raw sheet'!$F$2:'Raw sheet'!$F$1500),'Raw sheet'!F650)</f>
        <v>6.55</v>
      </c>
      <c r="H650" s="18">
        <v>87</v>
      </c>
      <c r="I650" s="9" t="str">
        <f t="shared" si="20"/>
        <v>Good</v>
      </c>
      <c r="J650" s="2">
        <v>1</v>
      </c>
      <c r="K650" s="2">
        <v>28.8</v>
      </c>
      <c r="L650" s="2" t="s">
        <v>3</v>
      </c>
      <c r="M650" s="2" t="s">
        <v>4</v>
      </c>
      <c r="N650" s="5">
        <f>IF(ISBLANK('Raw sheet'!L650),AVERAGE('Raw sheet'!$L$2:'Raw sheet'!$L$1500),'Raw sheet'!L650)</f>
        <v>8.1999999999999993</v>
      </c>
      <c r="O650" s="5" t="str">
        <f>IF(Table1[[#This Row],[Stress_Index]]&gt;=8,"High",IF(N650&gt;=5,"Medium","Low"))</f>
        <v>High</v>
      </c>
      <c r="P650" s="3">
        <v>2.44</v>
      </c>
      <c r="Q650" s="2">
        <v>2.5299999999999998</v>
      </c>
      <c r="R650" s="3">
        <v>2.5299999999999998</v>
      </c>
      <c r="S650" s="3" t="str">
        <f>IF(Table1[[#This Row],[CGPA]]&gt;=3,"High",IF(R649&gt;=2,"Medium","Low"))</f>
        <v>Low</v>
      </c>
      <c r="T650" s="2" t="s">
        <v>2</v>
      </c>
      <c r="U650" s="2" t="s">
        <v>1</v>
      </c>
      <c r="V650" s="2" t="s">
        <v>17</v>
      </c>
      <c r="W650" s="7">
        <v>0</v>
      </c>
      <c r="X650" t="str">
        <f t="shared" si="21"/>
        <v>Active</v>
      </c>
    </row>
    <row r="651" spans="1:24" x14ac:dyDescent="0.3">
      <c r="A651" s="2">
        <v>650</v>
      </c>
      <c r="B651" s="7">
        <v>22.5</v>
      </c>
      <c r="C651" s="2" t="s">
        <v>5</v>
      </c>
      <c r="D651" s="7">
        <f>IF(ISBLANK('Raw sheet'!D651),AVERAGE('Raw sheet'!$D$2:'Raw sheet'!$D$1500),'Raw sheet'!D651)</f>
        <v>25148</v>
      </c>
      <c r="E651" s="7" t="str">
        <f>IF(Table1[[#This Row],[Family_Income]]&gt;=100000,"Upper",IF(D651&gt;=50000,"Middle","Lower"))</f>
        <v>Lower</v>
      </c>
      <c r="F651" s="2" t="s">
        <v>4</v>
      </c>
      <c r="G651" s="3">
        <f>IF(ISBLANK('Raw sheet'!F651),AVERAGE('Raw sheet'!$F$2:'Raw sheet'!$F$1500),'Raw sheet'!F651)</f>
        <v>4.55</v>
      </c>
      <c r="H651" s="18">
        <v>86.6</v>
      </c>
      <c r="I651" s="9" t="str">
        <f t="shared" si="20"/>
        <v>Good</v>
      </c>
      <c r="J651" s="2">
        <v>0</v>
      </c>
      <c r="K651" s="2">
        <v>35.799999999999997</v>
      </c>
      <c r="L651" s="2" t="s">
        <v>3</v>
      </c>
      <c r="M651" s="2" t="s">
        <v>3</v>
      </c>
      <c r="N651" s="5">
        <f>IF(ISBLANK('Raw sheet'!L651),AVERAGE('Raw sheet'!$L$2:'Raw sheet'!$L$1500),'Raw sheet'!L651)</f>
        <v>8.4</v>
      </c>
      <c r="O651" s="5" t="str">
        <f>IF(Table1[[#This Row],[Stress_Index]]&gt;=8,"High",IF(N651&gt;=5,"Medium","Low"))</f>
        <v>High</v>
      </c>
      <c r="P651" s="3">
        <v>1.76</v>
      </c>
      <c r="Q651" s="2">
        <v>1.29</v>
      </c>
      <c r="R651" s="3">
        <v>1.32</v>
      </c>
      <c r="S651" s="3" t="str">
        <f>IF(Table1[[#This Row],[CGPA]]&gt;=3,"High",IF(R650&gt;=2,"Medium","Low"))</f>
        <v>Medium</v>
      </c>
      <c r="T651" s="2" t="s">
        <v>10</v>
      </c>
      <c r="U651" s="2" t="s">
        <v>13</v>
      </c>
      <c r="V651" s="2" t="s">
        <v>0</v>
      </c>
      <c r="W651" s="7">
        <v>0</v>
      </c>
      <c r="X651" t="str">
        <f t="shared" si="21"/>
        <v>Active</v>
      </c>
    </row>
    <row r="652" spans="1:24" x14ac:dyDescent="0.3">
      <c r="A652" s="2">
        <v>651</v>
      </c>
      <c r="B652" s="7">
        <v>25.1</v>
      </c>
      <c r="C652" s="2" t="s">
        <v>11</v>
      </c>
      <c r="D652" s="7">
        <f>IF(ISBLANK('Raw sheet'!D652),AVERAGE('Raw sheet'!$D$2:'Raw sheet'!$D$1500),'Raw sheet'!D652)</f>
        <v>31159</v>
      </c>
      <c r="E652" s="7" t="str">
        <f>IF(Table1[[#This Row],[Family_Income]]&gt;=100000,"Upper",IF(D652&gt;=50000,"Middle","Lower"))</f>
        <v>Lower</v>
      </c>
      <c r="F652" s="2" t="s">
        <v>3</v>
      </c>
      <c r="G652" s="3">
        <f>IF(ISBLANK('Raw sheet'!F652),AVERAGE('Raw sheet'!$F$2:'Raw sheet'!$F$1500),'Raw sheet'!F652)</f>
        <v>3.59</v>
      </c>
      <c r="H652" s="18">
        <v>76.599999999999994</v>
      </c>
      <c r="I652" s="9" t="str">
        <f t="shared" si="20"/>
        <v>Good</v>
      </c>
      <c r="J652" s="2">
        <v>4</v>
      </c>
      <c r="K652" s="2">
        <v>26.1</v>
      </c>
      <c r="L652" s="2" t="s">
        <v>4</v>
      </c>
      <c r="M652" s="2" t="s">
        <v>3</v>
      </c>
      <c r="N652" s="5">
        <f>IF(ISBLANK('Raw sheet'!L652),AVERAGE('Raw sheet'!$L$2:'Raw sheet'!$L$1500),'Raw sheet'!L652)</f>
        <v>3.5</v>
      </c>
      <c r="O652" s="5" t="str">
        <f>IF(Table1[[#This Row],[Stress_Index]]&gt;=8,"High",IF(N652&gt;=5,"Medium","Low"))</f>
        <v>Low</v>
      </c>
      <c r="P652" s="3">
        <v>2.65</v>
      </c>
      <c r="Q652" s="2">
        <v>2.54</v>
      </c>
      <c r="R652" s="3">
        <v>2.48</v>
      </c>
      <c r="S652" s="3" t="str">
        <f>IF(Table1[[#This Row],[CGPA]]&gt;=3,"High",IF(R651&gt;=2,"Medium","Low"))</f>
        <v>Low</v>
      </c>
      <c r="T652" s="2" t="s">
        <v>12</v>
      </c>
      <c r="U652" s="2" t="s">
        <v>14</v>
      </c>
      <c r="V652" s="2" t="s">
        <v>9</v>
      </c>
      <c r="W652" s="7">
        <v>1</v>
      </c>
      <c r="X652" t="str">
        <f t="shared" si="21"/>
        <v>Dropped Out</v>
      </c>
    </row>
    <row r="653" spans="1:24" x14ac:dyDescent="0.3">
      <c r="A653" s="2">
        <v>652</v>
      </c>
      <c r="B653" s="7">
        <v>23.5</v>
      </c>
      <c r="C653" s="2" t="s">
        <v>11</v>
      </c>
      <c r="D653" s="7">
        <f>IF(ISBLANK('Raw sheet'!D653),AVERAGE('Raw sheet'!$D$2:'Raw sheet'!$D$1500),'Raw sheet'!D653)</f>
        <v>25000</v>
      </c>
      <c r="E653" s="7" t="str">
        <f>IF(Table1[[#This Row],[Family_Income]]&gt;=100000,"Upper",IF(D653&gt;=50000,"Middle","Lower"))</f>
        <v>Lower</v>
      </c>
      <c r="F653" s="2" t="s">
        <v>4</v>
      </c>
      <c r="G653" s="3">
        <f>IF(ISBLANK('Raw sheet'!F653),AVERAGE('Raw sheet'!$F$2:'Raw sheet'!$F$1500),'Raw sheet'!F653)</f>
        <v>3.61</v>
      </c>
      <c r="H653" s="18">
        <v>76.8</v>
      </c>
      <c r="I653" s="9" t="str">
        <f t="shared" si="20"/>
        <v>Good</v>
      </c>
      <c r="J653" s="2">
        <v>2</v>
      </c>
      <c r="K653" s="2">
        <v>20.6</v>
      </c>
      <c r="L653" s="2" t="s">
        <v>3</v>
      </c>
      <c r="M653" s="2" t="s">
        <v>3</v>
      </c>
      <c r="N653" s="5">
        <f>IF(ISBLANK('Raw sheet'!L653),AVERAGE('Raw sheet'!$L$2:'Raw sheet'!$L$1500),'Raw sheet'!L653)</f>
        <v>6.8</v>
      </c>
      <c r="O653" s="5" t="str">
        <f>IF(Table1[[#This Row],[Stress_Index]]&gt;=8,"High",IF(N653&gt;=5,"Medium","Low"))</f>
        <v>Medium</v>
      </c>
      <c r="P653" s="3">
        <v>0.61</v>
      </c>
      <c r="Q653" s="2">
        <v>0.45</v>
      </c>
      <c r="R653" s="3">
        <v>0.45</v>
      </c>
      <c r="S653" s="3" t="str">
        <f>IF(Table1[[#This Row],[CGPA]]&gt;=3,"High",IF(R652&gt;=2,"Medium","Low"))</f>
        <v>Medium</v>
      </c>
      <c r="T653" s="2" t="s">
        <v>2</v>
      </c>
      <c r="U653" s="2" t="s">
        <v>13</v>
      </c>
      <c r="V653" s="2" t="s">
        <v>9</v>
      </c>
      <c r="W653" s="7">
        <v>1</v>
      </c>
      <c r="X653" t="str">
        <f t="shared" si="21"/>
        <v>Dropped Out</v>
      </c>
    </row>
    <row r="654" spans="1:24" x14ac:dyDescent="0.3">
      <c r="A654" s="2">
        <v>653</v>
      </c>
      <c r="B654" s="7">
        <v>20.399999999999999</v>
      </c>
      <c r="C654" s="2" t="s">
        <v>11</v>
      </c>
      <c r="D654" s="7">
        <f>IF(ISBLANK('Raw sheet'!D654),AVERAGE('Raw sheet'!$D$2:'Raw sheet'!$D$1500),'Raw sheet'!D654)</f>
        <v>45403</v>
      </c>
      <c r="E654" s="7" t="str">
        <f>IF(Table1[[#This Row],[Family_Income]]&gt;=100000,"Upper",IF(D654&gt;=50000,"Middle","Lower"))</f>
        <v>Lower</v>
      </c>
      <c r="F654" s="2" t="s">
        <v>4</v>
      </c>
      <c r="G654" s="3">
        <f>IF(ISBLANK('Raw sheet'!F654),AVERAGE('Raw sheet'!$F$2:'Raw sheet'!$F$1500),'Raw sheet'!F654)</f>
        <v>5.99</v>
      </c>
      <c r="H654" s="18">
        <v>91.8</v>
      </c>
      <c r="I654" s="9" t="str">
        <f t="shared" si="20"/>
        <v>Good</v>
      </c>
      <c r="J654" s="2">
        <v>1</v>
      </c>
      <c r="K654" s="2">
        <v>44</v>
      </c>
      <c r="L654" s="2" t="s">
        <v>3</v>
      </c>
      <c r="M654" s="2" t="s">
        <v>4</v>
      </c>
      <c r="N654" s="5">
        <f>IF(ISBLANK('Raw sheet'!L654),AVERAGE('Raw sheet'!$L$2:'Raw sheet'!$L$1500),'Raw sheet'!L654)</f>
        <v>5.8</v>
      </c>
      <c r="O654" s="5" t="str">
        <f>IF(Table1[[#This Row],[Stress_Index]]&gt;=8,"High",IF(N654&gt;=5,"Medium","Low"))</f>
        <v>Medium</v>
      </c>
      <c r="P654" s="3">
        <v>2.97</v>
      </c>
      <c r="Q654" s="2">
        <v>2.44</v>
      </c>
      <c r="R654" s="3">
        <v>2.39</v>
      </c>
      <c r="S654" s="3" t="str">
        <f>IF(Table1[[#This Row],[CGPA]]&gt;=3,"High",IF(R653&gt;=2,"Medium","Low"))</f>
        <v>Low</v>
      </c>
      <c r="T654" s="2" t="s">
        <v>12</v>
      </c>
      <c r="U654" s="2" t="s">
        <v>1</v>
      </c>
      <c r="V654" s="2" t="s">
        <v>15</v>
      </c>
      <c r="W654" s="7">
        <v>0</v>
      </c>
      <c r="X654" t="str">
        <f t="shared" si="21"/>
        <v>Active</v>
      </c>
    </row>
    <row r="655" spans="1:24" x14ac:dyDescent="0.3">
      <c r="A655" s="2">
        <v>654</v>
      </c>
      <c r="B655" s="7">
        <v>18.600000000000001</v>
      </c>
      <c r="C655" s="2" t="s">
        <v>5</v>
      </c>
      <c r="D655" s="7">
        <f>IF(ISBLANK('Raw sheet'!D655),AVERAGE('Raw sheet'!$D$2:'Raw sheet'!$D$1500),'Raw sheet'!D655)</f>
        <v>32641</v>
      </c>
      <c r="E655" s="7" t="str">
        <f>IF(Table1[[#This Row],[Family_Income]]&gt;=100000,"Upper",IF(D655&gt;=50000,"Middle","Lower"))</f>
        <v>Lower</v>
      </c>
      <c r="F655" s="2" t="s">
        <v>4</v>
      </c>
      <c r="G655" s="3">
        <f>IF(ISBLANK('Raw sheet'!F655),AVERAGE('Raw sheet'!$F$2:'Raw sheet'!$F$1500),'Raw sheet'!F655)</f>
        <v>6.09</v>
      </c>
      <c r="H655" s="18">
        <v>92.6</v>
      </c>
      <c r="I655" s="9" t="str">
        <f t="shared" si="20"/>
        <v>Good</v>
      </c>
      <c r="J655" s="2">
        <v>1</v>
      </c>
      <c r="K655" s="2">
        <v>12</v>
      </c>
      <c r="L655" s="2" t="s">
        <v>3</v>
      </c>
      <c r="M655" s="2" t="s">
        <v>4</v>
      </c>
      <c r="N655" s="5">
        <f>IF(ISBLANK('Raw sheet'!L655),AVERAGE('Raw sheet'!$L$2:'Raw sheet'!$L$1500),'Raw sheet'!L655)</f>
        <v>8.6</v>
      </c>
      <c r="O655" s="5" t="str">
        <f>IF(Table1[[#This Row],[Stress_Index]]&gt;=8,"High",IF(N655&gt;=5,"Medium","Low"))</f>
        <v>High</v>
      </c>
      <c r="P655" s="3">
        <v>2.12</v>
      </c>
      <c r="Q655" s="2">
        <v>2.4900000000000002</v>
      </c>
      <c r="R655" s="3">
        <v>2.4900000000000002</v>
      </c>
      <c r="S655" s="3" t="str">
        <f>IF(Table1[[#This Row],[CGPA]]&gt;=3,"High",IF(R654&gt;=2,"Medium","Low"))</f>
        <v>Medium</v>
      </c>
      <c r="T655" s="2" t="s">
        <v>2</v>
      </c>
      <c r="U655" s="2" t="s">
        <v>13</v>
      </c>
      <c r="V655" s="2" t="s">
        <v>15</v>
      </c>
      <c r="W655" s="7">
        <v>0</v>
      </c>
      <c r="X655" t="str">
        <f t="shared" si="21"/>
        <v>Active</v>
      </c>
    </row>
    <row r="656" spans="1:24" x14ac:dyDescent="0.3">
      <c r="A656" s="2">
        <v>655</v>
      </c>
      <c r="B656" s="7">
        <v>26.7</v>
      </c>
      <c r="C656" s="2" t="s">
        <v>11</v>
      </c>
      <c r="D656" s="7">
        <f>IF(ISBLANK('Raw sheet'!D656),AVERAGE('Raw sheet'!$D$2:'Raw sheet'!$D$1500),'Raw sheet'!D656)</f>
        <v>25000</v>
      </c>
      <c r="E656" s="7" t="str">
        <f>IF(Table1[[#This Row],[Family_Income]]&gt;=100000,"Upper",IF(D656&gt;=50000,"Middle","Lower"))</f>
        <v>Lower</v>
      </c>
      <c r="F656" s="2" t="s">
        <v>4</v>
      </c>
      <c r="G656" s="3">
        <f>IF(ISBLANK('Raw sheet'!F656),AVERAGE('Raw sheet'!$F$2:'Raw sheet'!$F$1500),'Raw sheet'!F656)</f>
        <v>3.29</v>
      </c>
      <c r="H656" s="18">
        <v>87</v>
      </c>
      <c r="I656" s="9" t="str">
        <f t="shared" si="20"/>
        <v>Good</v>
      </c>
      <c r="J656" s="2">
        <v>1</v>
      </c>
      <c r="K656" s="2">
        <v>22.8</v>
      </c>
      <c r="L656" s="2" t="s">
        <v>4</v>
      </c>
      <c r="M656" s="2" t="s">
        <v>4</v>
      </c>
      <c r="N656" s="5">
        <f>IF(ISBLANK('Raw sheet'!L656),AVERAGE('Raw sheet'!$L$2:'Raw sheet'!$L$1500),'Raw sheet'!L656)</f>
        <v>9</v>
      </c>
      <c r="O656" s="5" t="str">
        <f>IF(Table1[[#This Row],[Stress_Index]]&gt;=8,"High",IF(N656&gt;=5,"Medium","Low"))</f>
        <v>High</v>
      </c>
      <c r="P656" s="3">
        <v>0.85</v>
      </c>
      <c r="Q656" s="2">
        <v>0.52</v>
      </c>
      <c r="R656" s="3">
        <v>0.54</v>
      </c>
      <c r="S656" s="3" t="str">
        <f>IF(Table1[[#This Row],[CGPA]]&gt;=3,"High",IF(R655&gt;=2,"Medium","Low"))</f>
        <v>Medium</v>
      </c>
      <c r="T656" s="2" t="s">
        <v>7</v>
      </c>
      <c r="U656" s="2" t="s">
        <v>14</v>
      </c>
      <c r="V656" s="2" t="s">
        <v>9</v>
      </c>
      <c r="W656" s="7">
        <v>1</v>
      </c>
      <c r="X656" t="str">
        <f t="shared" si="21"/>
        <v>Dropped Out</v>
      </c>
    </row>
    <row r="657" spans="1:24" x14ac:dyDescent="0.3">
      <c r="A657" s="2">
        <v>656</v>
      </c>
      <c r="B657" s="7">
        <v>21.1</v>
      </c>
      <c r="C657" s="2" t="s">
        <v>5</v>
      </c>
      <c r="D657" s="7">
        <f>IF(ISBLANK('Raw sheet'!D657),AVERAGE('Raw sheet'!$D$2:'Raw sheet'!$D$1500),'Raw sheet'!D657)</f>
        <v>25000</v>
      </c>
      <c r="E657" s="7" t="str">
        <f>IF(Table1[[#This Row],[Family_Income]]&gt;=100000,"Upper",IF(D657&gt;=50000,"Middle","Lower"))</f>
        <v>Lower</v>
      </c>
      <c r="F657" s="2" t="s">
        <v>4</v>
      </c>
      <c r="G657" s="3">
        <f>IF(ISBLANK('Raw sheet'!F657),AVERAGE('Raw sheet'!$F$2:'Raw sheet'!$F$1500),'Raw sheet'!F657)</f>
        <v>4.34</v>
      </c>
      <c r="H657" s="18">
        <v>75.099999999999994</v>
      </c>
      <c r="I657" s="9" t="str">
        <f t="shared" si="20"/>
        <v>Good</v>
      </c>
      <c r="J657" s="2">
        <v>0</v>
      </c>
      <c r="K657" s="2">
        <v>28.9</v>
      </c>
      <c r="L657" s="2" t="s">
        <v>3</v>
      </c>
      <c r="M657" s="2" t="s">
        <v>4</v>
      </c>
      <c r="N657" s="5">
        <f>IF(ISBLANK('Raw sheet'!L657),AVERAGE('Raw sheet'!$L$2:'Raw sheet'!$L$1500),'Raw sheet'!L657)</f>
        <v>4</v>
      </c>
      <c r="O657" s="5" t="str">
        <f>IF(Table1[[#This Row],[Stress_Index]]&gt;=8,"High",IF(N657&gt;=5,"Medium","Low"))</f>
        <v>Low</v>
      </c>
      <c r="P657" s="3">
        <v>2.93</v>
      </c>
      <c r="Q657" s="2">
        <v>3.52</v>
      </c>
      <c r="R657" s="3">
        <v>3.52</v>
      </c>
      <c r="S657" s="3" t="str">
        <f>IF(Table1[[#This Row],[CGPA]]&gt;=3,"High",IF(R656&gt;=2,"Medium","Low"))</f>
        <v>High</v>
      </c>
      <c r="T657" s="2" t="s">
        <v>2</v>
      </c>
      <c r="U657" s="2" t="s">
        <v>14</v>
      </c>
      <c r="V657" s="2" t="s">
        <v>9</v>
      </c>
      <c r="W657" s="7">
        <v>0</v>
      </c>
      <c r="X657" t="str">
        <f t="shared" si="21"/>
        <v>Active</v>
      </c>
    </row>
    <row r="658" spans="1:24" x14ac:dyDescent="0.3">
      <c r="A658" s="2">
        <v>657</v>
      </c>
      <c r="B658" s="7">
        <v>21</v>
      </c>
      <c r="C658" s="2" t="s">
        <v>11</v>
      </c>
      <c r="D658" s="7">
        <f>IF(ISBLANK('Raw sheet'!D658),AVERAGE('Raw sheet'!$D$2:'Raw sheet'!$D$1500),'Raw sheet'!D658)</f>
        <v>25000</v>
      </c>
      <c r="E658" s="7" t="str">
        <f>IF(Table1[[#This Row],[Family_Income]]&gt;=100000,"Upper",IF(D658&gt;=50000,"Middle","Lower"))</f>
        <v>Lower</v>
      </c>
      <c r="F658" s="2" t="s">
        <v>4</v>
      </c>
      <c r="G658" s="3">
        <f>IF(ISBLANK('Raw sheet'!F658),AVERAGE('Raw sheet'!$F$2:'Raw sheet'!$F$1500),'Raw sheet'!F658)</f>
        <v>3.52</v>
      </c>
      <c r="H658" s="18">
        <v>88.9</v>
      </c>
      <c r="I658" s="9" t="str">
        <f t="shared" si="20"/>
        <v>Good</v>
      </c>
      <c r="J658" s="2">
        <v>0</v>
      </c>
      <c r="K658" s="2">
        <v>40.299999999999997</v>
      </c>
      <c r="L658" s="2" t="s">
        <v>3</v>
      </c>
      <c r="M658" s="2" t="s">
        <v>3</v>
      </c>
      <c r="N658" s="5">
        <f>IF(ISBLANK('Raw sheet'!L658),AVERAGE('Raw sheet'!$L$2:'Raw sheet'!$L$1500),'Raw sheet'!L658)</f>
        <v>10</v>
      </c>
      <c r="O658" s="5" t="str">
        <f>IF(Table1[[#This Row],[Stress_Index]]&gt;=8,"High",IF(N658&gt;=5,"Medium","Low"))</f>
        <v>High</v>
      </c>
      <c r="P658" s="3">
        <v>1.88</v>
      </c>
      <c r="Q658" s="2">
        <v>1.07</v>
      </c>
      <c r="R658" s="3">
        <v>1.08</v>
      </c>
      <c r="S658" s="3" t="str">
        <f>IF(Table1[[#This Row],[CGPA]]&gt;=3,"High",IF(R657&gt;=2,"Medium","Low"))</f>
        <v>Medium</v>
      </c>
      <c r="T658" s="2" t="s">
        <v>7</v>
      </c>
      <c r="U658" s="2" t="s">
        <v>6</v>
      </c>
      <c r="V658" s="2" t="s">
        <v>15</v>
      </c>
      <c r="W658" s="7">
        <v>1</v>
      </c>
      <c r="X658" t="str">
        <f t="shared" si="21"/>
        <v>Dropped Out</v>
      </c>
    </row>
    <row r="659" spans="1:24" x14ac:dyDescent="0.3">
      <c r="A659" s="2">
        <v>658</v>
      </c>
      <c r="B659" s="7">
        <v>20.9</v>
      </c>
      <c r="C659" s="2" t="s">
        <v>5</v>
      </c>
      <c r="D659" s="7">
        <f>IF(ISBLANK('Raw sheet'!D659),AVERAGE('Raw sheet'!$D$2:'Raw sheet'!$D$1500),'Raw sheet'!D659)</f>
        <v>25000</v>
      </c>
      <c r="E659" s="7" t="str">
        <f>IF(Table1[[#This Row],[Family_Income]]&gt;=100000,"Upper",IF(D659&gt;=50000,"Middle","Lower"))</f>
        <v>Lower</v>
      </c>
      <c r="F659" s="2" t="s">
        <v>4</v>
      </c>
      <c r="G659" s="3">
        <f>IF(ISBLANK('Raw sheet'!F659),AVERAGE('Raw sheet'!$F$2:'Raw sheet'!$F$1500),'Raw sheet'!F659)</f>
        <v>5</v>
      </c>
      <c r="H659" s="18">
        <v>79.8</v>
      </c>
      <c r="I659" s="9" t="str">
        <f t="shared" si="20"/>
        <v>Good</v>
      </c>
      <c r="J659" s="2">
        <v>1</v>
      </c>
      <c r="K659" s="2">
        <v>19.5</v>
      </c>
      <c r="L659" s="2" t="s">
        <v>4</v>
      </c>
      <c r="M659" s="2" t="s">
        <v>4</v>
      </c>
      <c r="N659" s="5">
        <f>IF(ISBLANK('Raw sheet'!L659),AVERAGE('Raw sheet'!$L$2:'Raw sheet'!$L$1500),'Raw sheet'!L659)</f>
        <v>5.8</v>
      </c>
      <c r="O659" s="5" t="str">
        <f>IF(Table1[[#This Row],[Stress_Index]]&gt;=8,"High",IF(N659&gt;=5,"Medium","Low"))</f>
        <v>Medium</v>
      </c>
      <c r="P659" s="3">
        <v>1.84</v>
      </c>
      <c r="Q659" s="2">
        <v>2.4500000000000002</v>
      </c>
      <c r="R659" s="3">
        <v>2.41</v>
      </c>
      <c r="S659" s="3" t="str">
        <f>IF(Table1[[#This Row],[CGPA]]&gt;=3,"High",IF(R658&gt;=2,"Medium","Low"))</f>
        <v>Low</v>
      </c>
      <c r="T659" s="2" t="s">
        <v>10</v>
      </c>
      <c r="U659" s="2" t="s">
        <v>13</v>
      </c>
      <c r="V659" s="2" t="s">
        <v>0</v>
      </c>
      <c r="W659" s="7">
        <v>1</v>
      </c>
      <c r="X659" t="str">
        <f t="shared" si="21"/>
        <v>Dropped Out</v>
      </c>
    </row>
    <row r="660" spans="1:24" x14ac:dyDescent="0.3">
      <c r="A660" s="2">
        <v>659</v>
      </c>
      <c r="B660" s="7">
        <v>21.4</v>
      </c>
      <c r="C660" s="2" t="s">
        <v>5</v>
      </c>
      <c r="D660" s="7">
        <f>IF(ISBLANK('Raw sheet'!D660),AVERAGE('Raw sheet'!$D$2:'Raw sheet'!$D$1500),'Raw sheet'!D660)</f>
        <v>47876</v>
      </c>
      <c r="E660" s="7" t="str">
        <f>IF(Table1[[#This Row],[Family_Income]]&gt;=100000,"Upper",IF(D660&gt;=50000,"Middle","Lower"))</f>
        <v>Lower</v>
      </c>
      <c r="F660" s="2" t="s">
        <v>4</v>
      </c>
      <c r="G660" s="3">
        <f>IF(ISBLANK('Raw sheet'!F660),AVERAGE('Raw sheet'!$F$2:'Raw sheet'!$F$1500),'Raw sheet'!F660)</f>
        <v>3.54</v>
      </c>
      <c r="H660" s="18">
        <v>71.900000000000006</v>
      </c>
      <c r="I660" s="9" t="str">
        <f t="shared" si="20"/>
        <v>Low</v>
      </c>
      <c r="J660" s="2">
        <v>4</v>
      </c>
      <c r="K660" s="2">
        <v>31.5</v>
      </c>
      <c r="L660" s="2" t="s">
        <v>4</v>
      </c>
      <c r="M660" s="2" t="s">
        <v>3</v>
      </c>
      <c r="N660" s="5">
        <f>IF(ISBLANK('Raw sheet'!L660),AVERAGE('Raw sheet'!$L$2:'Raw sheet'!$L$1500),'Raw sheet'!L660)</f>
        <v>6.6</v>
      </c>
      <c r="O660" s="5" t="str">
        <f>IF(Table1[[#This Row],[Stress_Index]]&gt;=8,"High",IF(N660&gt;=5,"Medium","Low"))</f>
        <v>Medium</v>
      </c>
      <c r="P660" s="3">
        <v>2.48</v>
      </c>
      <c r="Q660" s="2">
        <v>2.13</v>
      </c>
      <c r="R660" s="3">
        <v>2.13</v>
      </c>
      <c r="S660" s="3" t="str">
        <f>IF(Table1[[#This Row],[CGPA]]&gt;=3,"High",IF(R659&gt;=2,"Medium","Low"))</f>
        <v>Medium</v>
      </c>
      <c r="T660" s="2" t="s">
        <v>2</v>
      </c>
      <c r="U660" s="2" t="s">
        <v>6</v>
      </c>
      <c r="V660" s="2" t="s">
        <v>0</v>
      </c>
      <c r="W660" s="7">
        <v>0</v>
      </c>
      <c r="X660" t="str">
        <f t="shared" si="21"/>
        <v>Active</v>
      </c>
    </row>
    <row r="661" spans="1:24" x14ac:dyDescent="0.3">
      <c r="A661" s="2">
        <v>660</v>
      </c>
      <c r="B661" s="7">
        <v>20.7</v>
      </c>
      <c r="C661" s="2" t="s">
        <v>5</v>
      </c>
      <c r="D661" s="7">
        <f>IF(ISBLANK('Raw sheet'!D661),AVERAGE('Raw sheet'!$D$2:'Raw sheet'!$D$1500),'Raw sheet'!D661)</f>
        <v>65792</v>
      </c>
      <c r="E661" s="7" t="str">
        <f>IF(Table1[[#This Row],[Family_Income]]&gt;=100000,"Upper",IF(D661&gt;=50000,"Middle","Lower"))</f>
        <v>Middle</v>
      </c>
      <c r="F661" s="2" t="s">
        <v>4</v>
      </c>
      <c r="G661" s="3">
        <f>IF(ISBLANK('Raw sheet'!F661),AVERAGE('Raw sheet'!$F$2:'Raw sheet'!$F$1500),'Raw sheet'!F661)</f>
        <v>1.49</v>
      </c>
      <c r="H661" s="18">
        <v>76.900000000000006</v>
      </c>
      <c r="I661" s="9" t="str">
        <f t="shared" si="20"/>
        <v>Good</v>
      </c>
      <c r="J661" s="2">
        <v>2</v>
      </c>
      <c r="K661" s="2">
        <v>13.4</v>
      </c>
      <c r="L661" s="2" t="s">
        <v>4</v>
      </c>
      <c r="M661" s="2" t="s">
        <v>3</v>
      </c>
      <c r="N661" s="5">
        <f>IF(ISBLANK('Raw sheet'!L661),AVERAGE('Raw sheet'!$L$2:'Raw sheet'!$L$1500),'Raw sheet'!L661)</f>
        <v>1</v>
      </c>
      <c r="O661" s="5" t="str">
        <f>IF(Table1[[#This Row],[Stress_Index]]&gt;=8,"High",IF(N661&gt;=5,"Medium","Low"))</f>
        <v>Low</v>
      </c>
      <c r="P661" s="3">
        <v>1.9</v>
      </c>
      <c r="Q661" s="2">
        <v>2.11</v>
      </c>
      <c r="R661" s="3">
        <v>2.11</v>
      </c>
      <c r="S661" s="3" t="str">
        <f>IF(Table1[[#This Row],[CGPA]]&gt;=3,"High",IF(R660&gt;=2,"Medium","Low"))</f>
        <v>Medium</v>
      </c>
      <c r="T661" s="2" t="s">
        <v>10</v>
      </c>
      <c r="U661" s="2" t="s">
        <v>13</v>
      </c>
      <c r="V661" s="2" t="s">
        <v>15</v>
      </c>
      <c r="W661" s="7">
        <v>0</v>
      </c>
      <c r="X661" t="str">
        <f t="shared" si="21"/>
        <v>Active</v>
      </c>
    </row>
    <row r="662" spans="1:24" x14ac:dyDescent="0.3">
      <c r="A662" s="2">
        <v>661</v>
      </c>
      <c r="B662" s="7">
        <v>19.7</v>
      </c>
      <c r="C662" s="2" t="s">
        <v>5</v>
      </c>
      <c r="D662" s="7">
        <f>IF(ISBLANK('Raw sheet'!D662),AVERAGE('Raw sheet'!$D$2:'Raw sheet'!$D$1500),'Raw sheet'!D662)</f>
        <v>44861</v>
      </c>
      <c r="E662" s="7" t="str">
        <f>IF(Table1[[#This Row],[Family_Income]]&gt;=100000,"Upper",IF(D662&gt;=50000,"Middle","Lower"))</f>
        <v>Lower</v>
      </c>
      <c r="F662" s="2" t="s">
        <v>4</v>
      </c>
      <c r="G662" s="3">
        <f>IF(ISBLANK('Raw sheet'!F662),AVERAGE('Raw sheet'!$F$2:'Raw sheet'!$F$1500),'Raw sheet'!F662)</f>
        <v>2.66</v>
      </c>
      <c r="H662" s="18">
        <v>80.2</v>
      </c>
      <c r="I662" s="9" t="str">
        <f t="shared" si="20"/>
        <v>Good</v>
      </c>
      <c r="J662" s="2">
        <v>0</v>
      </c>
      <c r="K662" s="2">
        <v>35.299999999999997</v>
      </c>
      <c r="L662" s="2" t="s">
        <v>4</v>
      </c>
      <c r="M662" s="2" t="s">
        <v>3</v>
      </c>
      <c r="N662" s="5">
        <f>IF(ISBLANK('Raw sheet'!L662),AVERAGE('Raw sheet'!$L$2:'Raw sheet'!$L$1500),'Raw sheet'!L662)</f>
        <v>7.3</v>
      </c>
      <c r="O662" s="5" t="str">
        <f>IF(Table1[[#This Row],[Stress_Index]]&gt;=8,"High",IF(N662&gt;=5,"Medium","Low"))</f>
        <v>Medium</v>
      </c>
      <c r="P662" s="3">
        <v>1.47</v>
      </c>
      <c r="Q662" s="2">
        <v>1.51</v>
      </c>
      <c r="R662" s="3">
        <v>1.52</v>
      </c>
      <c r="S662" s="3" t="str">
        <f>IF(Table1[[#This Row],[CGPA]]&gt;=3,"High",IF(R661&gt;=2,"Medium","Low"))</f>
        <v>Medium</v>
      </c>
      <c r="T662" s="2" t="s">
        <v>10</v>
      </c>
      <c r="U662" s="2" t="s">
        <v>13</v>
      </c>
      <c r="V662" s="2" t="s">
        <v>0</v>
      </c>
      <c r="W662" s="7">
        <v>0</v>
      </c>
      <c r="X662" t="str">
        <f t="shared" si="21"/>
        <v>Active</v>
      </c>
    </row>
    <row r="663" spans="1:24" x14ac:dyDescent="0.3">
      <c r="A663" s="2">
        <v>662</v>
      </c>
      <c r="B663" s="7">
        <v>19.8</v>
      </c>
      <c r="C663" s="2" t="s">
        <v>11</v>
      </c>
      <c r="D663" s="7">
        <f>IF(ISBLANK('Raw sheet'!D663),AVERAGE('Raw sheet'!$D$2:'Raw sheet'!$D$1500),'Raw sheet'!D663)</f>
        <v>41472</v>
      </c>
      <c r="E663" s="7" t="str">
        <f>IF(Table1[[#This Row],[Family_Income]]&gt;=100000,"Upper",IF(D663&gt;=50000,"Middle","Lower"))</f>
        <v>Lower</v>
      </c>
      <c r="F663" s="2" t="s">
        <v>3</v>
      </c>
      <c r="G663" s="3">
        <f>IF(ISBLANK('Raw sheet'!F663),AVERAGE('Raw sheet'!$F$2:'Raw sheet'!$F$1500),'Raw sheet'!F663)</f>
        <v>5.35</v>
      </c>
      <c r="H663" s="18">
        <v>90.7</v>
      </c>
      <c r="I663" s="9" t="str">
        <f t="shared" si="20"/>
        <v>Good</v>
      </c>
      <c r="J663" s="2">
        <v>2</v>
      </c>
      <c r="K663" s="2">
        <v>51.9</v>
      </c>
      <c r="L663" s="2" t="s">
        <v>3</v>
      </c>
      <c r="M663" s="2" t="s">
        <v>3</v>
      </c>
      <c r="N663" s="5">
        <f>IF(ISBLANK('Raw sheet'!L663),AVERAGE('Raw sheet'!$L$2:'Raw sheet'!$L$1500),'Raw sheet'!L663)</f>
        <v>1.6</v>
      </c>
      <c r="O663" s="5" t="str">
        <f>IF(Table1[[#This Row],[Stress_Index]]&gt;=8,"High",IF(N663&gt;=5,"Medium","Low"))</f>
        <v>Low</v>
      </c>
      <c r="P663" s="3">
        <v>3.78</v>
      </c>
      <c r="Q663" s="2">
        <v>4</v>
      </c>
      <c r="R663" s="3">
        <v>4</v>
      </c>
      <c r="S663" s="3" t="str">
        <f>IF(Table1[[#This Row],[CGPA]]&gt;=3,"High",IF(R662&gt;=2,"Medium","Low"))</f>
        <v>High</v>
      </c>
      <c r="T663" s="2" t="s">
        <v>10</v>
      </c>
      <c r="U663" s="2" t="s">
        <v>8</v>
      </c>
      <c r="V663" s="2" t="s">
        <v>15</v>
      </c>
      <c r="W663" s="7">
        <v>0</v>
      </c>
      <c r="X663" t="str">
        <f t="shared" si="21"/>
        <v>Active</v>
      </c>
    </row>
    <row r="664" spans="1:24" x14ac:dyDescent="0.3">
      <c r="A664" s="2">
        <v>663</v>
      </c>
      <c r="B664" s="7">
        <v>20.9</v>
      </c>
      <c r="C664" s="2" t="s">
        <v>5</v>
      </c>
      <c r="D664" s="7">
        <f>IF(ISBLANK('Raw sheet'!D664),AVERAGE('Raw sheet'!$D$2:'Raw sheet'!$D$1500),'Raw sheet'!D664)</f>
        <v>27559</v>
      </c>
      <c r="E664" s="7" t="str">
        <f>IF(Table1[[#This Row],[Family_Income]]&gt;=100000,"Upper",IF(D664&gt;=50000,"Middle","Lower"))</f>
        <v>Lower</v>
      </c>
      <c r="F664" s="2" t="s">
        <v>4</v>
      </c>
      <c r="G664" s="3">
        <f>IF(ISBLANK('Raw sheet'!F664),AVERAGE('Raw sheet'!$F$2:'Raw sheet'!$F$1500),'Raw sheet'!F664)</f>
        <v>3.06</v>
      </c>
      <c r="H664" s="18">
        <v>75.599999999999994</v>
      </c>
      <c r="I664" s="9" t="str">
        <f t="shared" si="20"/>
        <v>Good</v>
      </c>
      <c r="J664" s="2">
        <v>7</v>
      </c>
      <c r="K664" s="2">
        <v>6.5</v>
      </c>
      <c r="L664" s="2" t="s">
        <v>3</v>
      </c>
      <c r="M664" s="2" t="s">
        <v>4</v>
      </c>
      <c r="N664" s="5">
        <f>IF(ISBLANK('Raw sheet'!L664),AVERAGE('Raw sheet'!$L$2:'Raw sheet'!$L$1500),'Raw sheet'!L664)</f>
        <v>5.2</v>
      </c>
      <c r="O664" s="5" t="str">
        <f>IF(Table1[[#This Row],[Stress_Index]]&gt;=8,"High",IF(N664&gt;=5,"Medium","Low"))</f>
        <v>Medium</v>
      </c>
      <c r="P664" s="3">
        <v>1.57</v>
      </c>
      <c r="Q664" s="2">
        <v>1.3</v>
      </c>
      <c r="R664" s="3">
        <v>1.3</v>
      </c>
      <c r="S664" s="3" t="str">
        <f>IF(Table1[[#This Row],[CGPA]]&gt;=3,"High",IF(R663&gt;=2,"Medium","Low"))</f>
        <v>Medium</v>
      </c>
      <c r="T664" s="2" t="s">
        <v>2</v>
      </c>
      <c r="U664" s="2" t="s">
        <v>1</v>
      </c>
      <c r="V664" s="2" t="s">
        <v>15</v>
      </c>
      <c r="W664" s="7">
        <v>0</v>
      </c>
      <c r="X664" t="str">
        <f t="shared" si="21"/>
        <v>Active</v>
      </c>
    </row>
    <row r="665" spans="1:24" x14ac:dyDescent="0.3">
      <c r="A665" s="2">
        <v>664</v>
      </c>
      <c r="B665" s="7">
        <v>19.8</v>
      </c>
      <c r="C665" s="2" t="s">
        <v>5</v>
      </c>
      <c r="D665" s="7">
        <f>IF(ISBLANK('Raw sheet'!D665),AVERAGE('Raw sheet'!$D$2:'Raw sheet'!$D$1500),'Raw sheet'!D665)</f>
        <v>47332</v>
      </c>
      <c r="E665" s="7" t="str">
        <f>IF(Table1[[#This Row],[Family_Income]]&gt;=100000,"Upper",IF(D665&gt;=50000,"Middle","Lower"))</f>
        <v>Lower</v>
      </c>
      <c r="F665" s="2" t="s">
        <v>4</v>
      </c>
      <c r="G665" s="3">
        <f>IF(ISBLANK('Raw sheet'!F665),AVERAGE('Raw sheet'!$F$2:'Raw sheet'!$F$1500),'Raw sheet'!F665)</f>
        <v>5.0199999999999996</v>
      </c>
      <c r="H665" s="18">
        <v>74.3</v>
      </c>
      <c r="I665" s="9" t="str">
        <f t="shared" si="20"/>
        <v>Low</v>
      </c>
      <c r="J665" s="2">
        <v>2</v>
      </c>
      <c r="K665" s="2">
        <v>21.3</v>
      </c>
      <c r="L665" s="2" t="s">
        <v>3</v>
      </c>
      <c r="M665" s="2" t="s">
        <v>4</v>
      </c>
      <c r="N665" s="5">
        <f>IF(ISBLANK('Raw sheet'!L665),AVERAGE('Raw sheet'!$L$2:'Raw sheet'!$L$1500),'Raw sheet'!L665)</f>
        <v>4.5</v>
      </c>
      <c r="O665" s="5" t="str">
        <f>IF(Table1[[#This Row],[Stress_Index]]&gt;=8,"High",IF(N665&gt;=5,"Medium","Low"))</f>
        <v>Low</v>
      </c>
      <c r="P665" s="3">
        <v>2.62</v>
      </c>
      <c r="Q665" s="2">
        <v>3.07</v>
      </c>
      <c r="R665" s="3">
        <v>3.17</v>
      </c>
      <c r="S665" s="3" t="str">
        <f>IF(Table1[[#This Row],[CGPA]]&gt;=3,"High",IF(R664&gt;=2,"Medium","Low"))</f>
        <v>High</v>
      </c>
      <c r="T665" s="2" t="s">
        <v>10</v>
      </c>
      <c r="U665" s="2" t="s">
        <v>1</v>
      </c>
      <c r="V665" s="2" t="s">
        <v>0</v>
      </c>
      <c r="W665" s="7">
        <v>1</v>
      </c>
      <c r="X665" t="str">
        <f t="shared" si="21"/>
        <v>Dropped Out</v>
      </c>
    </row>
    <row r="666" spans="1:24" x14ac:dyDescent="0.3">
      <c r="A666" s="2">
        <v>665</v>
      </c>
      <c r="B666" s="7">
        <v>19.399999999999999</v>
      </c>
      <c r="C666" s="2" t="s">
        <v>5</v>
      </c>
      <c r="D666" s="7">
        <f>IF(ISBLANK('Raw sheet'!D666),AVERAGE('Raw sheet'!$D$2:'Raw sheet'!$D$1500),'Raw sheet'!D666)</f>
        <v>35305</v>
      </c>
      <c r="E666" s="7" t="str">
        <f>IF(Table1[[#This Row],[Family_Income]]&gt;=100000,"Upper",IF(D666&gt;=50000,"Middle","Lower"))</f>
        <v>Lower</v>
      </c>
      <c r="F666" s="2" t="s">
        <v>4</v>
      </c>
      <c r="G666" s="3">
        <f>IF(ISBLANK('Raw sheet'!F666),AVERAGE('Raw sheet'!$F$2:'Raw sheet'!$F$1500),'Raw sheet'!F666)</f>
        <v>4.4800000000000004</v>
      </c>
      <c r="H666" s="18">
        <v>78.099999999999994</v>
      </c>
      <c r="I666" s="9" t="str">
        <f t="shared" si="20"/>
        <v>Good</v>
      </c>
      <c r="J666" s="2">
        <v>2</v>
      </c>
      <c r="K666" s="2">
        <v>40</v>
      </c>
      <c r="L666" s="2" t="s">
        <v>3</v>
      </c>
      <c r="M666" s="2" t="s">
        <v>3</v>
      </c>
      <c r="N666" s="5">
        <f>IF(ISBLANK('Raw sheet'!L666),AVERAGE('Raw sheet'!$L$2:'Raw sheet'!$L$1500),'Raw sheet'!L666)</f>
        <v>6.3</v>
      </c>
      <c r="O666" s="5" t="str">
        <f>IF(Table1[[#This Row],[Stress_Index]]&gt;=8,"High",IF(N666&gt;=5,"Medium","Low"))</f>
        <v>Medium</v>
      </c>
      <c r="P666" s="3">
        <v>3.2</v>
      </c>
      <c r="Q666" s="2">
        <v>2.84</v>
      </c>
      <c r="R666" s="3">
        <v>2.79</v>
      </c>
      <c r="S666" s="3" t="str">
        <f>IF(Table1[[#This Row],[CGPA]]&gt;=3,"High",IF(R665&gt;=2,"Medium","Low"))</f>
        <v>Medium</v>
      </c>
      <c r="T666" s="2" t="s">
        <v>7</v>
      </c>
      <c r="U666" s="2" t="s">
        <v>1</v>
      </c>
      <c r="V666" s="2" t="s">
        <v>9</v>
      </c>
      <c r="W666" s="7">
        <v>0</v>
      </c>
      <c r="X666" t="str">
        <f t="shared" si="21"/>
        <v>Active</v>
      </c>
    </row>
    <row r="667" spans="1:24" x14ac:dyDescent="0.3">
      <c r="A667" s="2">
        <v>666</v>
      </c>
      <c r="B667" s="7">
        <v>21.2</v>
      </c>
      <c r="C667" s="2" t="s">
        <v>11</v>
      </c>
      <c r="D667" s="7">
        <f>IF(ISBLANK('Raw sheet'!D667),AVERAGE('Raw sheet'!$D$2:'Raw sheet'!$D$1500),'Raw sheet'!D667)</f>
        <v>87787</v>
      </c>
      <c r="E667" s="7" t="str">
        <f>IF(Table1[[#This Row],[Family_Income]]&gt;=100000,"Upper",IF(D667&gt;=50000,"Middle","Lower"))</f>
        <v>Middle</v>
      </c>
      <c r="F667" s="2" t="s">
        <v>4</v>
      </c>
      <c r="G667" s="3">
        <f>IF(ISBLANK('Raw sheet'!F667),AVERAGE('Raw sheet'!$F$2:'Raw sheet'!$F$1500),'Raw sheet'!F667)</f>
        <v>3.07</v>
      </c>
      <c r="H667" s="18">
        <v>81</v>
      </c>
      <c r="I667" s="9" t="str">
        <f t="shared" si="20"/>
        <v>Good</v>
      </c>
      <c r="J667" s="2">
        <v>2</v>
      </c>
      <c r="K667" s="2">
        <v>65.3</v>
      </c>
      <c r="L667" s="2" t="s">
        <v>3</v>
      </c>
      <c r="M667" s="2" t="s">
        <v>3</v>
      </c>
      <c r="N667" s="5">
        <f>IF(ISBLANK('Raw sheet'!L667),AVERAGE('Raw sheet'!$L$2:'Raw sheet'!$L$1500),'Raw sheet'!L667)</f>
        <v>5.8</v>
      </c>
      <c r="O667" s="5" t="str">
        <f>IF(Table1[[#This Row],[Stress_Index]]&gt;=8,"High",IF(N667&gt;=5,"Medium","Low"))</f>
        <v>Medium</v>
      </c>
      <c r="P667" s="3">
        <v>0.25</v>
      </c>
      <c r="Q667" s="2">
        <v>0.65</v>
      </c>
      <c r="R667" s="3">
        <v>0.67</v>
      </c>
      <c r="S667" s="3" t="str">
        <f>IF(Table1[[#This Row],[CGPA]]&gt;=3,"High",IF(R666&gt;=2,"Medium","Low"))</f>
        <v>Medium</v>
      </c>
      <c r="T667" s="2" t="s">
        <v>10</v>
      </c>
      <c r="U667" s="2" t="s">
        <v>14</v>
      </c>
      <c r="V667" s="2" t="s">
        <v>15</v>
      </c>
      <c r="W667" s="7">
        <v>1</v>
      </c>
      <c r="X667" t="str">
        <f t="shared" si="21"/>
        <v>Dropped Out</v>
      </c>
    </row>
    <row r="668" spans="1:24" x14ac:dyDescent="0.3">
      <c r="A668" s="2">
        <v>667</v>
      </c>
      <c r="B668" s="7">
        <v>20.399999999999999</v>
      </c>
      <c r="C668" s="2" t="s">
        <v>5</v>
      </c>
      <c r="D668" s="7">
        <f>IF(ISBLANK('Raw sheet'!D668),AVERAGE('Raw sheet'!$D$2:'Raw sheet'!$D$1500),'Raw sheet'!D668)</f>
        <v>28027</v>
      </c>
      <c r="E668" s="7" t="str">
        <f>IF(Table1[[#This Row],[Family_Income]]&gt;=100000,"Upper",IF(D668&gt;=50000,"Middle","Lower"))</f>
        <v>Lower</v>
      </c>
      <c r="F668" s="2" t="s">
        <v>3</v>
      </c>
      <c r="G668" s="3">
        <f>IF(ISBLANK('Raw sheet'!F668),AVERAGE('Raw sheet'!$F$2:'Raw sheet'!$F$1500),'Raw sheet'!F668)</f>
        <v>3.8</v>
      </c>
      <c r="H668" s="18">
        <v>87.4</v>
      </c>
      <c r="I668" s="9" t="str">
        <f t="shared" si="20"/>
        <v>Good</v>
      </c>
      <c r="J668" s="2">
        <v>2</v>
      </c>
      <c r="K668" s="2">
        <v>37.1</v>
      </c>
      <c r="L668" s="2" t="s">
        <v>4</v>
      </c>
      <c r="M668" s="2" t="s">
        <v>4</v>
      </c>
      <c r="N668" s="5">
        <f>IF(ISBLANK('Raw sheet'!L668),AVERAGE('Raw sheet'!$L$2:'Raw sheet'!$L$1500),'Raw sheet'!L668)</f>
        <v>6.6</v>
      </c>
      <c r="O668" s="5" t="str">
        <f>IF(Table1[[#This Row],[Stress_Index]]&gt;=8,"High",IF(N668&gt;=5,"Medium","Low"))</f>
        <v>Medium</v>
      </c>
      <c r="P668" s="3">
        <v>0.11</v>
      </c>
      <c r="Q668" s="2">
        <v>0</v>
      </c>
      <c r="R668" s="3">
        <v>0</v>
      </c>
      <c r="S668" s="3" t="str">
        <f>IF(Table1[[#This Row],[CGPA]]&gt;=3,"High",IF(R667&gt;=2,"Medium","Low"))</f>
        <v>Low</v>
      </c>
      <c r="T668" s="2" t="s">
        <v>10</v>
      </c>
      <c r="U668" s="2" t="s">
        <v>13</v>
      </c>
      <c r="V668" s="2" t="s">
        <v>0</v>
      </c>
      <c r="W668" s="7">
        <v>1</v>
      </c>
      <c r="X668" t="str">
        <f t="shared" si="21"/>
        <v>Dropped Out</v>
      </c>
    </row>
    <row r="669" spans="1:24" x14ac:dyDescent="0.3">
      <c r="A669" s="2">
        <v>668</v>
      </c>
      <c r="B669" s="7">
        <v>24.3</v>
      </c>
      <c r="C669" s="2" t="s">
        <v>11</v>
      </c>
      <c r="D669" s="7">
        <f>IF(ISBLANK('Raw sheet'!D669),AVERAGE('Raw sheet'!$D$2:'Raw sheet'!$D$1500),'Raw sheet'!D669)</f>
        <v>66556</v>
      </c>
      <c r="E669" s="7" t="str">
        <f>IF(Table1[[#This Row],[Family_Income]]&gt;=100000,"Upper",IF(D669&gt;=50000,"Middle","Lower"))</f>
        <v>Middle</v>
      </c>
      <c r="F669" s="2" t="s">
        <v>3</v>
      </c>
      <c r="G669" s="3">
        <f>IF(ISBLANK('Raw sheet'!F669),AVERAGE('Raw sheet'!$F$2:'Raw sheet'!$F$1500),'Raw sheet'!F669)</f>
        <v>3.19</v>
      </c>
      <c r="H669" s="18">
        <v>86.6</v>
      </c>
      <c r="I669" s="9" t="str">
        <f t="shared" si="20"/>
        <v>Good</v>
      </c>
      <c r="J669" s="2">
        <v>1</v>
      </c>
      <c r="K669" s="2">
        <v>21.2</v>
      </c>
      <c r="L669" s="2" t="s">
        <v>3</v>
      </c>
      <c r="M669" s="2" t="s">
        <v>4</v>
      </c>
      <c r="N669" s="5">
        <f>IF(ISBLANK('Raw sheet'!L669),AVERAGE('Raw sheet'!$L$2:'Raw sheet'!$L$1500),'Raw sheet'!L669)</f>
        <v>7.7</v>
      </c>
      <c r="O669" s="5" t="str">
        <f>IF(Table1[[#This Row],[Stress_Index]]&gt;=8,"High",IF(N669&gt;=5,"Medium","Low"))</f>
        <v>Medium</v>
      </c>
      <c r="P669" s="3">
        <v>1.29</v>
      </c>
      <c r="Q669" s="2">
        <v>1.22</v>
      </c>
      <c r="R669" s="3">
        <v>1.22</v>
      </c>
      <c r="S669" s="3" t="str">
        <f>IF(Table1[[#This Row],[CGPA]]&gt;=3,"High",IF(R668&gt;=2,"Medium","Low"))</f>
        <v>Low</v>
      </c>
      <c r="T669" s="2" t="s">
        <v>2</v>
      </c>
      <c r="U669" s="2" t="s">
        <v>8</v>
      </c>
      <c r="V669" s="2" t="s">
        <v>16</v>
      </c>
      <c r="W669" s="7">
        <v>1</v>
      </c>
      <c r="X669" t="str">
        <f t="shared" si="21"/>
        <v>Dropped Out</v>
      </c>
    </row>
    <row r="670" spans="1:24" x14ac:dyDescent="0.3">
      <c r="A670" s="2">
        <v>669</v>
      </c>
      <c r="B670" s="7">
        <v>17</v>
      </c>
      <c r="C670" s="2" t="s">
        <v>11</v>
      </c>
      <c r="D670" s="7">
        <f>IF(ISBLANK('Raw sheet'!D670),AVERAGE('Raw sheet'!$D$2:'Raw sheet'!$D$1500),'Raw sheet'!D670)</f>
        <v>38587.00282087447</v>
      </c>
      <c r="E670" s="7" t="str">
        <f>IF(Table1[[#This Row],[Family_Income]]&gt;=100000,"Upper",IF(D670&gt;=50000,"Middle","Lower"))</f>
        <v>Lower</v>
      </c>
      <c r="F670" s="2" t="s">
        <v>3</v>
      </c>
      <c r="G670" s="3">
        <f>IF(ISBLANK('Raw sheet'!F670),AVERAGE('Raw sheet'!$F$2:'Raw sheet'!$F$1500),'Raw sheet'!F670)</f>
        <v>4.0178702397743278</v>
      </c>
      <c r="H670" s="18">
        <v>64</v>
      </c>
      <c r="I670" s="9" t="str">
        <f t="shared" si="20"/>
        <v>Low</v>
      </c>
      <c r="J670" s="2">
        <v>1</v>
      </c>
      <c r="K670" s="2">
        <v>28.2</v>
      </c>
      <c r="L670" s="2" t="s">
        <v>3</v>
      </c>
      <c r="M670" s="2" t="s">
        <v>4</v>
      </c>
      <c r="N670" s="5">
        <f>IF(ISBLANK('Raw sheet'!L670),AVERAGE('Raw sheet'!$L$2:'Raw sheet'!$L$1500),'Raw sheet'!L670)</f>
        <v>5.5242595204513369</v>
      </c>
      <c r="O670" s="5" t="str">
        <f>IF(Table1[[#This Row],[Stress_Index]]&gt;=8,"High",IF(N670&gt;=5,"Medium","Low"))</f>
        <v>Medium</v>
      </c>
      <c r="P670" s="3">
        <v>3.98</v>
      </c>
      <c r="Q670" s="2">
        <v>3.84</v>
      </c>
      <c r="R670" s="3">
        <v>3.85</v>
      </c>
      <c r="S670" s="3" t="str">
        <f>IF(Table1[[#This Row],[CGPA]]&gt;=3,"High",IF(R669&gt;=2,"Medium","Low"))</f>
        <v>High</v>
      </c>
      <c r="T670" s="2" t="s">
        <v>10</v>
      </c>
      <c r="U670" s="2" t="s">
        <v>1</v>
      </c>
      <c r="V670" s="2" t="s">
        <v>9</v>
      </c>
      <c r="W670" s="7">
        <v>0</v>
      </c>
      <c r="X670" t="str">
        <f t="shared" si="21"/>
        <v>Active</v>
      </c>
    </row>
    <row r="671" spans="1:24" x14ac:dyDescent="0.3">
      <c r="A671" s="2">
        <v>670</v>
      </c>
      <c r="B671" s="7">
        <v>23.4</v>
      </c>
      <c r="C671" s="2" t="s">
        <v>5</v>
      </c>
      <c r="D671" s="7">
        <f>IF(ISBLANK('Raw sheet'!D671),AVERAGE('Raw sheet'!$D$2:'Raw sheet'!$D$1500),'Raw sheet'!D671)</f>
        <v>46225</v>
      </c>
      <c r="E671" s="7" t="str">
        <f>IF(Table1[[#This Row],[Family_Income]]&gt;=100000,"Upper",IF(D671&gt;=50000,"Middle","Lower"))</f>
        <v>Lower</v>
      </c>
      <c r="F671" s="2" t="s">
        <v>4</v>
      </c>
      <c r="G671" s="3">
        <f>IF(ISBLANK('Raw sheet'!F671),AVERAGE('Raw sheet'!$F$2:'Raw sheet'!$F$1500),'Raw sheet'!F671)</f>
        <v>1.68</v>
      </c>
      <c r="H671" s="18">
        <v>79.2</v>
      </c>
      <c r="I671" s="9" t="str">
        <f t="shared" si="20"/>
        <v>Good</v>
      </c>
      <c r="J671" s="2">
        <v>1</v>
      </c>
      <c r="K671" s="2">
        <v>15.3</v>
      </c>
      <c r="L671" s="2" t="s">
        <v>3</v>
      </c>
      <c r="M671" s="2" t="s">
        <v>4</v>
      </c>
      <c r="N671" s="5">
        <f>IF(ISBLANK('Raw sheet'!L671),AVERAGE('Raw sheet'!$L$2:'Raw sheet'!$L$1500),'Raw sheet'!L671)</f>
        <v>5.0999999999999996</v>
      </c>
      <c r="O671" s="5" t="str">
        <f>IF(Table1[[#This Row],[Stress_Index]]&gt;=8,"High",IF(N671&gt;=5,"Medium","Low"))</f>
        <v>Medium</v>
      </c>
      <c r="P671" s="3">
        <v>0.98</v>
      </c>
      <c r="Q671" s="2">
        <v>0.8</v>
      </c>
      <c r="R671" s="3">
        <v>0.76</v>
      </c>
      <c r="S671" s="3" t="str">
        <f>IF(Table1[[#This Row],[CGPA]]&gt;=3,"High",IF(R670&gt;=2,"Medium","Low"))</f>
        <v>Medium</v>
      </c>
      <c r="T671" s="2" t="s">
        <v>10</v>
      </c>
      <c r="U671" s="2" t="s">
        <v>13</v>
      </c>
      <c r="V671" s="2" t="s">
        <v>16</v>
      </c>
      <c r="W671" s="7">
        <v>1</v>
      </c>
      <c r="X671" t="str">
        <f t="shared" si="21"/>
        <v>Dropped Out</v>
      </c>
    </row>
    <row r="672" spans="1:24" x14ac:dyDescent="0.3">
      <c r="A672" s="2">
        <v>671</v>
      </c>
      <c r="B672" s="7">
        <v>23.7</v>
      </c>
      <c r="C672" s="2" t="s">
        <v>5</v>
      </c>
      <c r="D672" s="7">
        <f>IF(ISBLANK('Raw sheet'!D672),AVERAGE('Raw sheet'!$D$2:'Raw sheet'!$D$1500),'Raw sheet'!D672)</f>
        <v>25000</v>
      </c>
      <c r="E672" s="7" t="str">
        <f>IF(Table1[[#This Row],[Family_Income]]&gt;=100000,"Upper",IF(D672&gt;=50000,"Middle","Lower"))</f>
        <v>Lower</v>
      </c>
      <c r="F672" s="2" t="s">
        <v>3</v>
      </c>
      <c r="G672" s="3">
        <f>IF(ISBLANK('Raw sheet'!F672),AVERAGE('Raw sheet'!$F$2:'Raw sheet'!$F$1500),'Raw sheet'!F672)</f>
        <v>3.85</v>
      </c>
      <c r="H672" s="18">
        <v>83</v>
      </c>
      <c r="I672" s="9" t="str">
        <f t="shared" si="20"/>
        <v>Good</v>
      </c>
      <c r="J672" s="2">
        <v>2</v>
      </c>
      <c r="K672" s="2">
        <v>39.700000000000003</v>
      </c>
      <c r="L672" s="2" t="s">
        <v>4</v>
      </c>
      <c r="M672" s="2" t="s">
        <v>4</v>
      </c>
      <c r="N672" s="5">
        <f>IF(ISBLANK('Raw sheet'!L672),AVERAGE('Raw sheet'!$L$2:'Raw sheet'!$L$1500),'Raw sheet'!L672)</f>
        <v>4</v>
      </c>
      <c r="O672" s="5" t="str">
        <f>IF(Table1[[#This Row],[Stress_Index]]&gt;=8,"High",IF(N672&gt;=5,"Medium","Low"))</f>
        <v>Low</v>
      </c>
      <c r="P672" s="3">
        <v>2.86</v>
      </c>
      <c r="Q672" s="2">
        <v>3.13</v>
      </c>
      <c r="R672" s="3">
        <v>3.13</v>
      </c>
      <c r="S672" s="3" t="str">
        <f>IF(Table1[[#This Row],[CGPA]]&gt;=3,"High",IF(R671&gt;=2,"Medium","Low"))</f>
        <v>High</v>
      </c>
      <c r="T672" s="2" t="s">
        <v>2</v>
      </c>
      <c r="U672" s="2" t="s">
        <v>8</v>
      </c>
      <c r="V672" s="2" t="s">
        <v>15</v>
      </c>
      <c r="W672" s="7">
        <v>0</v>
      </c>
      <c r="X672" t="str">
        <f t="shared" si="21"/>
        <v>Active</v>
      </c>
    </row>
    <row r="673" spans="1:24" x14ac:dyDescent="0.3">
      <c r="A673" s="2">
        <v>672</v>
      </c>
      <c r="B673" s="7">
        <v>17</v>
      </c>
      <c r="C673" s="2" t="s">
        <v>5</v>
      </c>
      <c r="D673" s="7">
        <f>IF(ISBLANK('Raw sheet'!D673),AVERAGE('Raw sheet'!$D$2:'Raw sheet'!$D$1500),'Raw sheet'!D673)</f>
        <v>51923</v>
      </c>
      <c r="E673" s="7" t="str">
        <f>IF(Table1[[#This Row],[Family_Income]]&gt;=100000,"Upper",IF(D673&gt;=50000,"Middle","Lower"))</f>
        <v>Middle</v>
      </c>
      <c r="F673" s="2" t="s">
        <v>4</v>
      </c>
      <c r="G673" s="3">
        <f>IF(ISBLANK('Raw sheet'!F673),AVERAGE('Raw sheet'!$F$2:'Raw sheet'!$F$1500),'Raw sheet'!F673)</f>
        <v>3.25</v>
      </c>
      <c r="H673" s="18">
        <v>75</v>
      </c>
      <c r="I673" s="9" t="str">
        <f t="shared" si="20"/>
        <v>Good</v>
      </c>
      <c r="J673" s="2">
        <v>3</v>
      </c>
      <c r="K673" s="2">
        <v>42.6</v>
      </c>
      <c r="L673" s="2" t="s">
        <v>3</v>
      </c>
      <c r="M673" s="2" t="s">
        <v>4</v>
      </c>
      <c r="N673" s="5">
        <f>IF(ISBLANK('Raw sheet'!L673),AVERAGE('Raw sheet'!$L$2:'Raw sheet'!$L$1500),'Raw sheet'!L673)</f>
        <v>3.8</v>
      </c>
      <c r="O673" s="5" t="str">
        <f>IF(Table1[[#This Row],[Stress_Index]]&gt;=8,"High",IF(N673&gt;=5,"Medium","Low"))</f>
        <v>Low</v>
      </c>
      <c r="P673" s="3">
        <v>2.48</v>
      </c>
      <c r="Q673" s="2">
        <v>2.73</v>
      </c>
      <c r="R673" s="3">
        <v>2.76</v>
      </c>
      <c r="S673" s="3" t="str">
        <f>IF(Table1[[#This Row],[CGPA]]&gt;=3,"High",IF(R672&gt;=2,"Medium","Low"))</f>
        <v>Medium</v>
      </c>
      <c r="T673" s="2" t="s">
        <v>7</v>
      </c>
      <c r="U673" s="2" t="s">
        <v>8</v>
      </c>
      <c r="V673" s="2" t="s">
        <v>15</v>
      </c>
      <c r="W673" s="7">
        <v>0</v>
      </c>
      <c r="X673" t="str">
        <f t="shared" si="21"/>
        <v>Active</v>
      </c>
    </row>
    <row r="674" spans="1:24" x14ac:dyDescent="0.3">
      <c r="A674" s="2">
        <v>673</v>
      </c>
      <c r="B674" s="7">
        <v>20.2</v>
      </c>
      <c r="C674" s="2" t="s">
        <v>11</v>
      </c>
      <c r="D674" s="7">
        <f>IF(ISBLANK('Raw sheet'!D674),AVERAGE('Raw sheet'!$D$2:'Raw sheet'!$D$1500),'Raw sheet'!D674)</f>
        <v>27543</v>
      </c>
      <c r="E674" s="7" t="str">
        <f>IF(Table1[[#This Row],[Family_Income]]&gt;=100000,"Upper",IF(D674&gt;=50000,"Middle","Lower"))</f>
        <v>Lower</v>
      </c>
      <c r="F674" s="2" t="s">
        <v>3</v>
      </c>
      <c r="G674" s="3">
        <f>IF(ISBLANK('Raw sheet'!F674),AVERAGE('Raw sheet'!$F$2:'Raw sheet'!$F$1500),'Raw sheet'!F674)</f>
        <v>4.0999999999999996</v>
      </c>
      <c r="H674" s="18">
        <v>75.8</v>
      </c>
      <c r="I674" s="9" t="str">
        <f t="shared" si="20"/>
        <v>Good</v>
      </c>
      <c r="J674" s="2">
        <v>2</v>
      </c>
      <c r="K674" s="2">
        <v>46.9</v>
      </c>
      <c r="L674" s="2" t="s">
        <v>4</v>
      </c>
      <c r="M674" s="2" t="s">
        <v>3</v>
      </c>
      <c r="N674" s="5">
        <f>IF(ISBLANK('Raw sheet'!L674),AVERAGE('Raw sheet'!$L$2:'Raw sheet'!$L$1500),'Raw sheet'!L674)</f>
        <v>9</v>
      </c>
      <c r="O674" s="5" t="str">
        <f>IF(Table1[[#This Row],[Stress_Index]]&gt;=8,"High",IF(N674&gt;=5,"Medium","Low"))</f>
        <v>High</v>
      </c>
      <c r="P674" s="3">
        <v>2.0099999999999998</v>
      </c>
      <c r="Q674" s="2">
        <v>2.08</v>
      </c>
      <c r="R674" s="3">
        <v>2.13</v>
      </c>
      <c r="S674" s="3" t="str">
        <f>IF(Table1[[#This Row],[CGPA]]&gt;=3,"High",IF(R673&gt;=2,"Medium","Low"))</f>
        <v>Medium</v>
      </c>
      <c r="T674" s="2" t="s">
        <v>7</v>
      </c>
      <c r="U674" s="2" t="s">
        <v>8</v>
      </c>
      <c r="V674" s="2" t="s">
        <v>15</v>
      </c>
      <c r="W674" s="7">
        <v>1</v>
      </c>
      <c r="X674" t="str">
        <f t="shared" si="21"/>
        <v>Dropped Out</v>
      </c>
    </row>
    <row r="675" spans="1:24" x14ac:dyDescent="0.3">
      <c r="A675" s="2">
        <v>674</v>
      </c>
      <c r="B675" s="7">
        <v>20.2</v>
      </c>
      <c r="C675" s="2" t="s">
        <v>5</v>
      </c>
      <c r="D675" s="7">
        <f>IF(ISBLANK('Raw sheet'!D675),AVERAGE('Raw sheet'!$D$2:'Raw sheet'!$D$1500),'Raw sheet'!D675)</f>
        <v>38587.00282087447</v>
      </c>
      <c r="E675" s="7" t="str">
        <f>IF(Table1[[#This Row],[Family_Income]]&gt;=100000,"Upper",IF(D675&gt;=50000,"Middle","Lower"))</f>
        <v>Lower</v>
      </c>
      <c r="F675" s="2" t="s">
        <v>4</v>
      </c>
      <c r="G675" s="3">
        <f>IF(ISBLANK('Raw sheet'!F675),AVERAGE('Raw sheet'!$F$2:'Raw sheet'!$F$1500),'Raw sheet'!F675)</f>
        <v>4.0178702397743278</v>
      </c>
      <c r="H675" s="18">
        <v>87</v>
      </c>
      <c r="I675" s="9" t="str">
        <f t="shared" si="20"/>
        <v>Good</v>
      </c>
      <c r="J675" s="2">
        <v>3</v>
      </c>
      <c r="K675" s="2">
        <v>26</v>
      </c>
      <c r="L675" s="2" t="s">
        <v>3</v>
      </c>
      <c r="M675" s="2" t="s">
        <v>3</v>
      </c>
      <c r="N675" s="5">
        <f>IF(ISBLANK('Raw sheet'!L675),AVERAGE('Raw sheet'!$L$2:'Raw sheet'!$L$1500),'Raw sheet'!L675)</f>
        <v>5.5242595204513369</v>
      </c>
      <c r="O675" s="5" t="str">
        <f>IF(Table1[[#This Row],[Stress_Index]]&gt;=8,"High",IF(N675&gt;=5,"Medium","Low"))</f>
        <v>Medium</v>
      </c>
      <c r="P675" s="3">
        <v>3.99</v>
      </c>
      <c r="Q675" s="2">
        <v>3.94</v>
      </c>
      <c r="R675" s="3">
        <v>3.94</v>
      </c>
      <c r="S675" s="3" t="str">
        <f>IF(Table1[[#This Row],[CGPA]]&gt;=3,"High",IF(R674&gt;=2,"Medium","Low"))</f>
        <v>High</v>
      </c>
      <c r="T675" s="2" t="s">
        <v>2</v>
      </c>
      <c r="U675" s="2" t="s">
        <v>13</v>
      </c>
      <c r="V675" s="2" t="s">
        <v>17</v>
      </c>
      <c r="W675" s="7">
        <v>0</v>
      </c>
      <c r="X675" t="str">
        <f t="shared" si="21"/>
        <v>Active</v>
      </c>
    </row>
    <row r="676" spans="1:24" x14ac:dyDescent="0.3">
      <c r="A676" s="2">
        <v>675</v>
      </c>
      <c r="B676" s="7">
        <v>17.899999999999999</v>
      </c>
      <c r="C676" s="2" t="s">
        <v>5</v>
      </c>
      <c r="D676" s="7">
        <f>IF(ISBLANK('Raw sheet'!D676),AVERAGE('Raw sheet'!$D$2:'Raw sheet'!$D$1500),'Raw sheet'!D676)</f>
        <v>25000</v>
      </c>
      <c r="E676" s="7" t="str">
        <f>IF(Table1[[#This Row],[Family_Income]]&gt;=100000,"Upper",IF(D676&gt;=50000,"Middle","Lower"))</f>
        <v>Lower</v>
      </c>
      <c r="F676" s="2" t="s">
        <v>4</v>
      </c>
      <c r="G676" s="3">
        <f>IF(ISBLANK('Raw sheet'!F676),AVERAGE('Raw sheet'!$F$2:'Raw sheet'!$F$1500),'Raw sheet'!F676)</f>
        <v>4.8099999999999996</v>
      </c>
      <c r="H676" s="18">
        <v>87.5</v>
      </c>
      <c r="I676" s="9" t="str">
        <f t="shared" si="20"/>
        <v>Good</v>
      </c>
      <c r="J676" s="2">
        <v>3</v>
      </c>
      <c r="K676" s="2">
        <v>20.3</v>
      </c>
      <c r="L676" s="2" t="s">
        <v>3</v>
      </c>
      <c r="M676" s="2" t="s">
        <v>4</v>
      </c>
      <c r="N676" s="5">
        <f>IF(ISBLANK('Raw sheet'!L676),AVERAGE('Raw sheet'!$L$2:'Raw sheet'!$L$1500),'Raw sheet'!L676)</f>
        <v>4</v>
      </c>
      <c r="O676" s="5" t="str">
        <f>IF(Table1[[#This Row],[Stress_Index]]&gt;=8,"High",IF(N676&gt;=5,"Medium","Low"))</f>
        <v>Low</v>
      </c>
      <c r="P676" s="3">
        <v>3.99</v>
      </c>
      <c r="Q676" s="2">
        <v>4</v>
      </c>
      <c r="R676" s="3">
        <v>4</v>
      </c>
      <c r="S676" s="3" t="str">
        <f>IF(Table1[[#This Row],[CGPA]]&gt;=3,"High",IF(R675&gt;=2,"Medium","Low"))</f>
        <v>High</v>
      </c>
      <c r="T676" s="2" t="s">
        <v>10</v>
      </c>
      <c r="U676" s="2" t="s">
        <v>6</v>
      </c>
      <c r="V676" s="2" t="s">
        <v>15</v>
      </c>
      <c r="W676" s="7">
        <v>0</v>
      </c>
      <c r="X676" t="str">
        <f t="shared" si="21"/>
        <v>Active</v>
      </c>
    </row>
    <row r="677" spans="1:24" x14ac:dyDescent="0.3">
      <c r="A677" s="2">
        <v>676</v>
      </c>
      <c r="B677" s="7">
        <v>19.3</v>
      </c>
      <c r="C677" s="2" t="s">
        <v>11</v>
      </c>
      <c r="D677" s="7">
        <f>IF(ISBLANK('Raw sheet'!D677),AVERAGE('Raw sheet'!$D$2:'Raw sheet'!$D$1500),'Raw sheet'!D677)</f>
        <v>29633</v>
      </c>
      <c r="E677" s="7" t="str">
        <f>IF(Table1[[#This Row],[Family_Income]]&gt;=100000,"Upper",IF(D677&gt;=50000,"Middle","Lower"))</f>
        <v>Lower</v>
      </c>
      <c r="F677" s="2" t="s">
        <v>4</v>
      </c>
      <c r="G677" s="3">
        <f>IF(ISBLANK('Raw sheet'!F677),AVERAGE('Raw sheet'!$F$2:'Raw sheet'!$F$1500),'Raw sheet'!F677)</f>
        <v>3.26</v>
      </c>
      <c r="H677" s="18">
        <v>80.599999999999994</v>
      </c>
      <c r="I677" s="9" t="str">
        <f t="shared" si="20"/>
        <v>Good</v>
      </c>
      <c r="J677" s="2">
        <v>4</v>
      </c>
      <c r="K677" s="2">
        <v>47.9</v>
      </c>
      <c r="L677" s="2" t="s">
        <v>4</v>
      </c>
      <c r="M677" s="2" t="s">
        <v>3</v>
      </c>
      <c r="N677" s="5">
        <f>IF(ISBLANK('Raw sheet'!L677),AVERAGE('Raw sheet'!$L$2:'Raw sheet'!$L$1500),'Raw sheet'!L677)</f>
        <v>9.4</v>
      </c>
      <c r="O677" s="5" t="str">
        <f>IF(Table1[[#This Row],[Stress_Index]]&gt;=8,"High",IF(N677&gt;=5,"Medium","Low"))</f>
        <v>High</v>
      </c>
      <c r="P677" s="3">
        <v>0.88</v>
      </c>
      <c r="Q677" s="2">
        <v>0.75</v>
      </c>
      <c r="R677" s="3">
        <v>0.75</v>
      </c>
      <c r="S677" s="3" t="str">
        <f>IF(Table1[[#This Row],[CGPA]]&gt;=3,"High",IF(R676&gt;=2,"Medium","Low"))</f>
        <v>Medium</v>
      </c>
      <c r="T677" s="2" t="s">
        <v>2</v>
      </c>
      <c r="U677" s="2" t="s">
        <v>1</v>
      </c>
      <c r="V677" s="2" t="s">
        <v>9</v>
      </c>
      <c r="W677" s="7">
        <v>0</v>
      </c>
      <c r="X677" t="str">
        <f t="shared" si="21"/>
        <v>Active</v>
      </c>
    </row>
    <row r="678" spans="1:24" x14ac:dyDescent="0.3">
      <c r="A678" s="2">
        <v>677</v>
      </c>
      <c r="B678" s="7">
        <v>18.600000000000001</v>
      </c>
      <c r="C678" s="2" t="s">
        <v>11</v>
      </c>
      <c r="D678" s="7">
        <f>IF(ISBLANK('Raw sheet'!D678),AVERAGE('Raw sheet'!$D$2:'Raw sheet'!$D$1500),'Raw sheet'!D678)</f>
        <v>30337</v>
      </c>
      <c r="E678" s="7" t="str">
        <f>IF(Table1[[#This Row],[Family_Income]]&gt;=100000,"Upper",IF(D678&gt;=50000,"Middle","Lower"))</f>
        <v>Lower</v>
      </c>
      <c r="F678" s="2" t="s">
        <v>4</v>
      </c>
      <c r="G678" s="3">
        <f>IF(ISBLANK('Raw sheet'!F678),AVERAGE('Raw sheet'!$F$2:'Raw sheet'!$F$1500),'Raw sheet'!F678)</f>
        <v>3.16</v>
      </c>
      <c r="H678" s="18">
        <v>85.2</v>
      </c>
      <c r="I678" s="9" t="str">
        <f t="shared" si="20"/>
        <v>Good</v>
      </c>
      <c r="J678" s="2">
        <v>4</v>
      </c>
      <c r="K678" s="2">
        <v>46.6</v>
      </c>
      <c r="L678" s="2" t="s">
        <v>3</v>
      </c>
      <c r="M678" s="2" t="s">
        <v>4</v>
      </c>
      <c r="N678" s="5">
        <f>IF(ISBLANK('Raw sheet'!L678),AVERAGE('Raw sheet'!$L$2:'Raw sheet'!$L$1500),'Raw sheet'!L678)</f>
        <v>5.3</v>
      </c>
      <c r="O678" s="5" t="str">
        <f>IF(Table1[[#This Row],[Stress_Index]]&gt;=8,"High",IF(N678&gt;=5,"Medium","Low"))</f>
        <v>Medium</v>
      </c>
      <c r="P678" s="3">
        <v>1.56</v>
      </c>
      <c r="Q678" s="2">
        <v>1.78</v>
      </c>
      <c r="R678" s="3">
        <v>1.78</v>
      </c>
      <c r="S678" s="3" t="str">
        <f>IF(Table1[[#This Row],[CGPA]]&gt;=3,"High",IF(R677&gt;=2,"Medium","Low"))</f>
        <v>Low</v>
      </c>
      <c r="T678" s="2" t="s">
        <v>2</v>
      </c>
      <c r="U678" s="2" t="s">
        <v>14</v>
      </c>
      <c r="V678" s="2" t="s">
        <v>15</v>
      </c>
      <c r="W678" s="7">
        <v>0</v>
      </c>
      <c r="X678" t="str">
        <f t="shared" si="21"/>
        <v>Active</v>
      </c>
    </row>
    <row r="679" spans="1:24" x14ac:dyDescent="0.3">
      <c r="A679" s="2">
        <v>678</v>
      </c>
      <c r="B679" s="7">
        <v>24.9</v>
      </c>
      <c r="C679" s="2" t="s">
        <v>5</v>
      </c>
      <c r="D679" s="7">
        <f>IF(ISBLANK('Raw sheet'!D679),AVERAGE('Raw sheet'!$D$2:'Raw sheet'!$D$1500),'Raw sheet'!D679)</f>
        <v>25000</v>
      </c>
      <c r="E679" s="7" t="str">
        <f>IF(Table1[[#This Row],[Family_Income]]&gt;=100000,"Upper",IF(D679&gt;=50000,"Middle","Lower"))</f>
        <v>Lower</v>
      </c>
      <c r="F679" s="2" t="s">
        <v>4</v>
      </c>
      <c r="G679" s="3">
        <f>IF(ISBLANK('Raw sheet'!F679),AVERAGE('Raw sheet'!$F$2:'Raw sheet'!$F$1500),'Raw sheet'!F679)</f>
        <v>3.8</v>
      </c>
      <c r="H679" s="18">
        <v>85.7</v>
      </c>
      <c r="I679" s="9" t="str">
        <f t="shared" si="20"/>
        <v>Good</v>
      </c>
      <c r="J679" s="2">
        <v>3</v>
      </c>
      <c r="K679" s="2">
        <v>18.100000000000001</v>
      </c>
      <c r="L679" s="2" t="s">
        <v>3</v>
      </c>
      <c r="M679" s="2" t="s">
        <v>4</v>
      </c>
      <c r="N679" s="5">
        <f>IF(ISBLANK('Raw sheet'!L679),AVERAGE('Raw sheet'!$L$2:'Raw sheet'!$L$1500),'Raw sheet'!L679)</f>
        <v>5.4</v>
      </c>
      <c r="O679" s="5" t="str">
        <f>IF(Table1[[#This Row],[Stress_Index]]&gt;=8,"High",IF(N679&gt;=5,"Medium","Low"))</f>
        <v>Medium</v>
      </c>
      <c r="P679" s="3">
        <v>0.31</v>
      </c>
      <c r="Q679" s="2">
        <v>0.04</v>
      </c>
      <c r="R679" s="3">
        <v>0</v>
      </c>
      <c r="S679" s="3" t="str">
        <f>IF(Table1[[#This Row],[CGPA]]&gt;=3,"High",IF(R678&gt;=2,"Medium","Low"))</f>
        <v>Low</v>
      </c>
      <c r="T679" s="2" t="s">
        <v>12</v>
      </c>
      <c r="U679" s="2" t="s">
        <v>14</v>
      </c>
      <c r="V679" s="2" t="s">
        <v>17</v>
      </c>
      <c r="W679" s="7">
        <v>1</v>
      </c>
      <c r="X679" t="str">
        <f t="shared" si="21"/>
        <v>Dropped Out</v>
      </c>
    </row>
    <row r="680" spans="1:24" x14ac:dyDescent="0.3">
      <c r="A680" s="2">
        <v>679</v>
      </c>
      <c r="B680" s="7">
        <v>23.1</v>
      </c>
      <c r="C680" s="2" t="s">
        <v>11</v>
      </c>
      <c r="D680" s="7">
        <f>IF(ISBLANK('Raw sheet'!D680),AVERAGE('Raw sheet'!$D$2:'Raw sheet'!$D$1500),'Raw sheet'!D680)</f>
        <v>25000</v>
      </c>
      <c r="E680" s="7" t="str">
        <f>IF(Table1[[#This Row],[Family_Income]]&gt;=100000,"Upper",IF(D680&gt;=50000,"Middle","Lower"))</f>
        <v>Lower</v>
      </c>
      <c r="F680" s="2" t="s">
        <v>4</v>
      </c>
      <c r="G680" s="3">
        <f>IF(ISBLANK('Raw sheet'!F680),AVERAGE('Raw sheet'!$F$2:'Raw sheet'!$F$1500),'Raw sheet'!F680)</f>
        <v>5.42</v>
      </c>
      <c r="H680" s="18">
        <v>73.2</v>
      </c>
      <c r="I680" s="9" t="str">
        <f t="shared" si="20"/>
        <v>Low</v>
      </c>
      <c r="J680" s="2">
        <v>1</v>
      </c>
      <c r="K680" s="2">
        <v>25.5</v>
      </c>
      <c r="L680" s="2" t="s">
        <v>4</v>
      </c>
      <c r="M680" s="2" t="s">
        <v>3</v>
      </c>
      <c r="N680" s="5">
        <f>IF(ISBLANK('Raw sheet'!L680),AVERAGE('Raw sheet'!$L$2:'Raw sheet'!$L$1500),'Raw sheet'!L680)</f>
        <v>6.2</v>
      </c>
      <c r="O680" s="5" t="str">
        <f>IF(Table1[[#This Row],[Stress_Index]]&gt;=8,"High",IF(N680&gt;=5,"Medium","Low"))</f>
        <v>Medium</v>
      </c>
      <c r="P680" s="3">
        <v>0.84</v>
      </c>
      <c r="Q680" s="2">
        <v>0.55000000000000004</v>
      </c>
      <c r="R680" s="3">
        <v>0.56999999999999995</v>
      </c>
      <c r="S680" s="3" t="str">
        <f>IF(Table1[[#This Row],[CGPA]]&gt;=3,"High",IF(R679&gt;=2,"Medium","Low"))</f>
        <v>Low</v>
      </c>
      <c r="T680" s="2" t="s">
        <v>10</v>
      </c>
      <c r="U680" s="2" t="s">
        <v>6</v>
      </c>
      <c r="V680" s="2" t="s">
        <v>0</v>
      </c>
      <c r="W680" s="7">
        <v>1</v>
      </c>
      <c r="X680" t="str">
        <f t="shared" si="21"/>
        <v>Dropped Out</v>
      </c>
    </row>
    <row r="681" spans="1:24" x14ac:dyDescent="0.3">
      <c r="A681" s="2">
        <v>680</v>
      </c>
      <c r="B681" s="7">
        <v>23.8</v>
      </c>
      <c r="C681" s="2" t="s">
        <v>5</v>
      </c>
      <c r="D681" s="7">
        <f>IF(ISBLANK('Raw sheet'!D681),AVERAGE('Raw sheet'!$D$2:'Raw sheet'!$D$1500),'Raw sheet'!D681)</f>
        <v>39814</v>
      </c>
      <c r="E681" s="7" t="str">
        <f>IF(Table1[[#This Row],[Family_Income]]&gt;=100000,"Upper",IF(D681&gt;=50000,"Middle","Lower"))</f>
        <v>Lower</v>
      </c>
      <c r="F681" s="2" t="s">
        <v>4</v>
      </c>
      <c r="G681" s="3">
        <f>IF(ISBLANK('Raw sheet'!F681),AVERAGE('Raw sheet'!$F$2:'Raw sheet'!$F$1500),'Raw sheet'!F681)</f>
        <v>3.33</v>
      </c>
      <c r="H681" s="18">
        <v>73.3</v>
      </c>
      <c r="I681" s="9" t="str">
        <f t="shared" si="20"/>
        <v>Low</v>
      </c>
      <c r="J681" s="2">
        <v>3</v>
      </c>
      <c r="K681" s="2">
        <v>39.5</v>
      </c>
      <c r="L681" s="2" t="s">
        <v>3</v>
      </c>
      <c r="M681" s="2" t="s">
        <v>3</v>
      </c>
      <c r="N681" s="5">
        <f>IF(ISBLANK('Raw sheet'!L681),AVERAGE('Raw sheet'!$L$2:'Raw sheet'!$L$1500),'Raw sheet'!L681)</f>
        <v>3.3</v>
      </c>
      <c r="O681" s="5" t="str">
        <f>IF(Table1[[#This Row],[Stress_Index]]&gt;=8,"High",IF(N681&gt;=5,"Medium","Low"))</f>
        <v>Low</v>
      </c>
      <c r="P681" s="3">
        <v>3.25</v>
      </c>
      <c r="Q681" s="2">
        <v>3.2</v>
      </c>
      <c r="R681" s="3">
        <v>3.21</v>
      </c>
      <c r="S681" s="3" t="str">
        <f>IF(Table1[[#This Row],[CGPA]]&gt;=3,"High",IF(R680&gt;=2,"Medium","Low"))</f>
        <v>High</v>
      </c>
      <c r="T681" s="2" t="s">
        <v>7</v>
      </c>
      <c r="U681" s="2" t="s">
        <v>6</v>
      </c>
      <c r="V681" s="2" t="s">
        <v>15</v>
      </c>
      <c r="W681" s="7">
        <v>0</v>
      </c>
      <c r="X681" t="str">
        <f t="shared" si="21"/>
        <v>Active</v>
      </c>
    </row>
    <row r="682" spans="1:24" x14ac:dyDescent="0.3">
      <c r="A682" s="2">
        <v>681</v>
      </c>
      <c r="B682" s="7">
        <v>22.6</v>
      </c>
      <c r="C682" s="2" t="s">
        <v>5</v>
      </c>
      <c r="D682" s="7">
        <f>IF(ISBLANK('Raw sheet'!D682),AVERAGE('Raw sheet'!$D$2:'Raw sheet'!$D$1500),'Raw sheet'!D682)</f>
        <v>50163</v>
      </c>
      <c r="E682" s="7" t="str">
        <f>IF(Table1[[#This Row],[Family_Income]]&gt;=100000,"Upper",IF(D682&gt;=50000,"Middle","Lower"))</f>
        <v>Middle</v>
      </c>
      <c r="F682" s="2" t="s">
        <v>4</v>
      </c>
      <c r="G682" s="3">
        <f>IF(ISBLANK('Raw sheet'!F682),AVERAGE('Raw sheet'!$F$2:'Raw sheet'!$F$1500),'Raw sheet'!F682)</f>
        <v>3.11</v>
      </c>
      <c r="H682" s="18">
        <v>78.900000000000006</v>
      </c>
      <c r="I682" s="9" t="str">
        <f t="shared" si="20"/>
        <v>Good</v>
      </c>
      <c r="J682" s="2">
        <v>0</v>
      </c>
      <c r="K682" s="2">
        <v>27</v>
      </c>
      <c r="L682" s="2" t="s">
        <v>4</v>
      </c>
      <c r="M682" s="2" t="s">
        <v>4</v>
      </c>
      <c r="N682" s="5">
        <f>IF(ISBLANK('Raw sheet'!L682),AVERAGE('Raw sheet'!$L$2:'Raw sheet'!$L$1500),'Raw sheet'!L682)</f>
        <v>3.8</v>
      </c>
      <c r="O682" s="5" t="str">
        <f>IF(Table1[[#This Row],[Stress_Index]]&gt;=8,"High",IF(N682&gt;=5,"Medium","Low"))</f>
        <v>Low</v>
      </c>
      <c r="P682" s="3">
        <v>2.2000000000000002</v>
      </c>
      <c r="Q682" s="2">
        <v>1.88</v>
      </c>
      <c r="R682" s="3">
        <v>1.86</v>
      </c>
      <c r="S682" s="3" t="str">
        <f>IF(Table1[[#This Row],[CGPA]]&gt;=3,"High",IF(R681&gt;=2,"Medium","Low"))</f>
        <v>Medium</v>
      </c>
      <c r="T682" s="2" t="s">
        <v>10</v>
      </c>
      <c r="U682" s="2" t="s">
        <v>6</v>
      </c>
      <c r="V682" s="2" t="s">
        <v>15</v>
      </c>
      <c r="W682" s="7">
        <v>0</v>
      </c>
      <c r="X682" t="str">
        <f t="shared" si="21"/>
        <v>Active</v>
      </c>
    </row>
    <row r="683" spans="1:24" x14ac:dyDescent="0.3">
      <c r="A683" s="2">
        <v>682</v>
      </c>
      <c r="B683" s="7">
        <v>18.5</v>
      </c>
      <c r="C683" s="2" t="s">
        <v>5</v>
      </c>
      <c r="D683" s="7">
        <f>IF(ISBLANK('Raw sheet'!D683),AVERAGE('Raw sheet'!$D$2:'Raw sheet'!$D$1500),'Raw sheet'!D683)</f>
        <v>33329</v>
      </c>
      <c r="E683" s="7" t="str">
        <f>IF(Table1[[#This Row],[Family_Income]]&gt;=100000,"Upper",IF(D683&gt;=50000,"Middle","Lower"))</f>
        <v>Lower</v>
      </c>
      <c r="F683" s="2" t="s">
        <v>4</v>
      </c>
      <c r="G683" s="3">
        <f>IF(ISBLANK('Raw sheet'!F683),AVERAGE('Raw sheet'!$F$2:'Raw sheet'!$F$1500),'Raw sheet'!F683)</f>
        <v>2.57</v>
      </c>
      <c r="H683" s="18">
        <v>76.5</v>
      </c>
      <c r="I683" s="9" t="str">
        <f t="shared" si="20"/>
        <v>Good</v>
      </c>
      <c r="J683" s="2">
        <v>2</v>
      </c>
      <c r="K683" s="2">
        <v>30.4</v>
      </c>
      <c r="L683" s="2" t="s">
        <v>4</v>
      </c>
      <c r="M683" s="2" t="s">
        <v>3</v>
      </c>
      <c r="N683" s="5">
        <f>IF(ISBLANK('Raw sheet'!L683),AVERAGE('Raw sheet'!$L$2:'Raw sheet'!$L$1500),'Raw sheet'!L683)</f>
        <v>4.4000000000000004</v>
      </c>
      <c r="O683" s="5" t="str">
        <f>IF(Table1[[#This Row],[Stress_Index]]&gt;=8,"High",IF(N683&gt;=5,"Medium","Low"))</f>
        <v>Low</v>
      </c>
      <c r="P683" s="3">
        <v>0.97</v>
      </c>
      <c r="Q683" s="2">
        <v>1.39</v>
      </c>
      <c r="R683" s="3">
        <v>1.39</v>
      </c>
      <c r="S683" s="3" t="str">
        <f>IF(Table1[[#This Row],[CGPA]]&gt;=3,"High",IF(R682&gt;=2,"Medium","Low"))</f>
        <v>Low</v>
      </c>
      <c r="T683" s="2" t="s">
        <v>2</v>
      </c>
      <c r="U683" s="2" t="s">
        <v>8</v>
      </c>
      <c r="V683" s="2" t="s">
        <v>15</v>
      </c>
      <c r="W683" s="7">
        <v>0</v>
      </c>
      <c r="X683" t="str">
        <f t="shared" si="21"/>
        <v>Active</v>
      </c>
    </row>
    <row r="684" spans="1:24" x14ac:dyDescent="0.3">
      <c r="A684" s="2">
        <v>683</v>
      </c>
      <c r="B684" s="7">
        <v>19.8</v>
      </c>
      <c r="C684" s="2" t="s">
        <v>11</v>
      </c>
      <c r="D684" s="7">
        <f>IF(ISBLANK('Raw sheet'!D684),AVERAGE('Raw sheet'!$D$2:'Raw sheet'!$D$1500),'Raw sheet'!D684)</f>
        <v>59308</v>
      </c>
      <c r="E684" s="7" t="str">
        <f>IF(Table1[[#This Row],[Family_Income]]&gt;=100000,"Upper",IF(D684&gt;=50000,"Middle","Lower"))</f>
        <v>Middle</v>
      </c>
      <c r="F684" s="2" t="s">
        <v>4</v>
      </c>
      <c r="G684" s="3">
        <f>IF(ISBLANK('Raw sheet'!F684),AVERAGE('Raw sheet'!$F$2:'Raw sheet'!$F$1500),'Raw sheet'!F684)</f>
        <v>4.66</v>
      </c>
      <c r="H684" s="18">
        <v>77.2</v>
      </c>
      <c r="I684" s="9" t="str">
        <f t="shared" si="20"/>
        <v>Good</v>
      </c>
      <c r="J684" s="2">
        <v>1</v>
      </c>
      <c r="K684" s="2">
        <v>12.4</v>
      </c>
      <c r="L684" s="2" t="s">
        <v>4</v>
      </c>
      <c r="M684" s="2" t="s">
        <v>3</v>
      </c>
      <c r="N684" s="5">
        <f>IF(ISBLANK('Raw sheet'!L684),AVERAGE('Raw sheet'!$L$2:'Raw sheet'!$L$1500),'Raw sheet'!L684)</f>
        <v>7.4</v>
      </c>
      <c r="O684" s="5" t="str">
        <f>IF(Table1[[#This Row],[Stress_Index]]&gt;=8,"High",IF(N684&gt;=5,"Medium","Low"))</f>
        <v>Medium</v>
      </c>
      <c r="P684" s="3">
        <v>1.6</v>
      </c>
      <c r="Q684" s="2">
        <v>1.36</v>
      </c>
      <c r="R684" s="3">
        <v>1.38</v>
      </c>
      <c r="S684" s="3" t="str">
        <f>IF(Table1[[#This Row],[CGPA]]&gt;=3,"High",IF(R683&gt;=2,"Medium","Low"))</f>
        <v>Low</v>
      </c>
      <c r="T684" s="2" t="s">
        <v>12</v>
      </c>
      <c r="U684" s="2" t="s">
        <v>1</v>
      </c>
      <c r="V684" s="2" t="s">
        <v>9</v>
      </c>
      <c r="W684" s="7">
        <v>0</v>
      </c>
      <c r="X684" t="str">
        <f t="shared" si="21"/>
        <v>Active</v>
      </c>
    </row>
    <row r="685" spans="1:24" x14ac:dyDescent="0.3">
      <c r="A685" s="2">
        <v>684</v>
      </c>
      <c r="B685" s="7">
        <v>22.1</v>
      </c>
      <c r="C685" s="2" t="s">
        <v>5</v>
      </c>
      <c r="D685" s="7">
        <f>IF(ISBLANK('Raw sheet'!D685),AVERAGE('Raw sheet'!$D$2:'Raw sheet'!$D$1500),'Raw sheet'!D685)</f>
        <v>28231</v>
      </c>
      <c r="E685" s="7" t="str">
        <f>IF(Table1[[#This Row],[Family_Income]]&gt;=100000,"Upper",IF(D685&gt;=50000,"Middle","Lower"))</f>
        <v>Lower</v>
      </c>
      <c r="F685" s="2" t="s">
        <v>4</v>
      </c>
      <c r="G685" s="3">
        <f>IF(ISBLANK('Raw sheet'!F685),AVERAGE('Raw sheet'!$F$2:'Raw sheet'!$F$1500),'Raw sheet'!F685)</f>
        <v>3.62</v>
      </c>
      <c r="H685" s="18">
        <v>81.2</v>
      </c>
      <c r="I685" s="9" t="str">
        <f t="shared" si="20"/>
        <v>Good</v>
      </c>
      <c r="J685" s="2">
        <v>1</v>
      </c>
      <c r="K685" s="2">
        <v>16.5</v>
      </c>
      <c r="L685" s="2" t="s">
        <v>4</v>
      </c>
      <c r="M685" s="2" t="s">
        <v>3</v>
      </c>
      <c r="N685" s="5">
        <f>IF(ISBLANK('Raw sheet'!L685),AVERAGE('Raw sheet'!$L$2:'Raw sheet'!$L$1500),'Raw sheet'!L685)</f>
        <v>6.7</v>
      </c>
      <c r="O685" s="5" t="str">
        <f>IF(Table1[[#This Row],[Stress_Index]]&gt;=8,"High",IF(N685&gt;=5,"Medium","Low"))</f>
        <v>Medium</v>
      </c>
      <c r="P685" s="3">
        <v>3.89</v>
      </c>
      <c r="Q685" s="2">
        <v>4</v>
      </c>
      <c r="R685" s="3">
        <v>4</v>
      </c>
      <c r="S685" s="3" t="str">
        <f>IF(Table1[[#This Row],[CGPA]]&gt;=3,"High",IF(R684&gt;=2,"Medium","Low"))</f>
        <v>High</v>
      </c>
      <c r="T685" s="2" t="s">
        <v>7</v>
      </c>
      <c r="U685" s="2" t="s">
        <v>13</v>
      </c>
      <c r="V685" s="2" t="s">
        <v>9</v>
      </c>
      <c r="W685" s="7">
        <v>0</v>
      </c>
      <c r="X685" t="str">
        <f t="shared" si="21"/>
        <v>Active</v>
      </c>
    </row>
    <row r="686" spans="1:24" x14ac:dyDescent="0.3">
      <c r="A686" s="2">
        <v>685</v>
      </c>
      <c r="B686" s="7">
        <v>18.3</v>
      </c>
      <c r="C686" s="2" t="s">
        <v>11</v>
      </c>
      <c r="D686" s="7">
        <f>IF(ISBLANK('Raw sheet'!D686),AVERAGE('Raw sheet'!$D$2:'Raw sheet'!$D$1500),'Raw sheet'!D686)</f>
        <v>28779</v>
      </c>
      <c r="E686" s="7" t="str">
        <f>IF(Table1[[#This Row],[Family_Income]]&gt;=100000,"Upper",IF(D686&gt;=50000,"Middle","Lower"))</f>
        <v>Lower</v>
      </c>
      <c r="F686" s="2" t="s">
        <v>3</v>
      </c>
      <c r="G686" s="3">
        <f>IF(ISBLANK('Raw sheet'!F686),AVERAGE('Raw sheet'!$F$2:'Raw sheet'!$F$1500),'Raw sheet'!F686)</f>
        <v>2.69</v>
      </c>
      <c r="H686" s="18">
        <v>81.3</v>
      </c>
      <c r="I686" s="9" t="str">
        <f t="shared" si="20"/>
        <v>Good</v>
      </c>
      <c r="J686" s="2">
        <v>0</v>
      </c>
      <c r="K686" s="2">
        <v>28.9</v>
      </c>
      <c r="L686" s="2" t="s">
        <v>3</v>
      </c>
      <c r="M686" s="2" t="s">
        <v>4</v>
      </c>
      <c r="N686" s="5">
        <f>IF(ISBLANK('Raw sheet'!L686),AVERAGE('Raw sheet'!$L$2:'Raw sheet'!$L$1500),'Raw sheet'!L686)</f>
        <v>4.4000000000000004</v>
      </c>
      <c r="O686" s="5" t="str">
        <f>IF(Table1[[#This Row],[Stress_Index]]&gt;=8,"High",IF(N686&gt;=5,"Medium","Low"))</f>
        <v>Low</v>
      </c>
      <c r="P686" s="3">
        <v>1.92</v>
      </c>
      <c r="Q686" s="2">
        <v>2</v>
      </c>
      <c r="R686" s="3">
        <v>2</v>
      </c>
      <c r="S686" s="3" t="str">
        <f>IF(Table1[[#This Row],[CGPA]]&gt;=3,"High",IF(R685&gt;=2,"Medium","Low"))</f>
        <v>Medium</v>
      </c>
      <c r="T686" s="2" t="s">
        <v>2</v>
      </c>
      <c r="U686" s="2" t="s">
        <v>14</v>
      </c>
      <c r="V686" s="2" t="s">
        <v>17</v>
      </c>
      <c r="W686" s="7">
        <v>0</v>
      </c>
      <c r="X686" t="str">
        <f t="shared" si="21"/>
        <v>Active</v>
      </c>
    </row>
    <row r="687" spans="1:24" x14ac:dyDescent="0.3">
      <c r="A687" s="2">
        <v>686</v>
      </c>
      <c r="B687" s="7">
        <v>22.6</v>
      </c>
      <c r="C687" s="2" t="s">
        <v>11</v>
      </c>
      <c r="D687" s="7">
        <f>IF(ISBLANK('Raw sheet'!D687),AVERAGE('Raw sheet'!$D$2:'Raw sheet'!$D$1500),'Raw sheet'!D687)</f>
        <v>25000</v>
      </c>
      <c r="E687" s="7" t="str">
        <f>IF(Table1[[#This Row],[Family_Income]]&gt;=100000,"Upper",IF(D687&gt;=50000,"Middle","Lower"))</f>
        <v>Lower</v>
      </c>
      <c r="F687" s="2" t="s">
        <v>4</v>
      </c>
      <c r="G687" s="3">
        <f>IF(ISBLANK('Raw sheet'!F687),AVERAGE('Raw sheet'!$F$2:'Raw sheet'!$F$1500),'Raw sheet'!F687)</f>
        <v>2.96</v>
      </c>
      <c r="H687" s="18">
        <v>61.5</v>
      </c>
      <c r="I687" s="9" t="str">
        <f t="shared" si="20"/>
        <v>Low</v>
      </c>
      <c r="J687" s="2">
        <v>3</v>
      </c>
      <c r="K687" s="2">
        <v>21.6</v>
      </c>
      <c r="L687" s="2" t="s">
        <v>3</v>
      </c>
      <c r="M687" s="2" t="s">
        <v>4</v>
      </c>
      <c r="N687" s="5">
        <f>IF(ISBLANK('Raw sheet'!L687),AVERAGE('Raw sheet'!$L$2:'Raw sheet'!$L$1500),'Raw sheet'!L687)</f>
        <v>5.3</v>
      </c>
      <c r="O687" s="5" t="str">
        <f>IF(Table1[[#This Row],[Stress_Index]]&gt;=8,"High",IF(N687&gt;=5,"Medium","Low"))</f>
        <v>Medium</v>
      </c>
      <c r="P687" s="3">
        <v>1.3</v>
      </c>
      <c r="Q687" s="2">
        <v>1.64</v>
      </c>
      <c r="R687" s="3">
        <v>1.64</v>
      </c>
      <c r="S687" s="3" t="str">
        <f>IF(Table1[[#This Row],[CGPA]]&gt;=3,"High",IF(R686&gt;=2,"Medium","Low"))</f>
        <v>Medium</v>
      </c>
      <c r="T687" s="2" t="s">
        <v>2</v>
      </c>
      <c r="U687" s="2" t="s">
        <v>13</v>
      </c>
      <c r="V687" s="2" t="s">
        <v>15</v>
      </c>
      <c r="W687" s="7">
        <v>1</v>
      </c>
      <c r="X687" t="str">
        <f t="shared" si="21"/>
        <v>Dropped Out</v>
      </c>
    </row>
    <row r="688" spans="1:24" x14ac:dyDescent="0.3">
      <c r="A688" s="2">
        <v>687</v>
      </c>
      <c r="B688" s="7">
        <v>20.5</v>
      </c>
      <c r="C688" s="2" t="s">
        <v>5</v>
      </c>
      <c r="D688" s="7">
        <f>IF(ISBLANK('Raw sheet'!D688),AVERAGE('Raw sheet'!$D$2:'Raw sheet'!$D$1500),'Raw sheet'!D688)</f>
        <v>25000</v>
      </c>
      <c r="E688" s="7" t="str">
        <f>IF(Table1[[#This Row],[Family_Income]]&gt;=100000,"Upper",IF(D688&gt;=50000,"Middle","Lower"))</f>
        <v>Lower</v>
      </c>
      <c r="F688" s="2" t="s">
        <v>3</v>
      </c>
      <c r="G688" s="3">
        <f>IF(ISBLANK('Raw sheet'!F688),AVERAGE('Raw sheet'!$F$2:'Raw sheet'!$F$1500),'Raw sheet'!F688)</f>
        <v>4.87</v>
      </c>
      <c r="H688" s="18">
        <v>82.8</v>
      </c>
      <c r="I688" s="9" t="str">
        <f t="shared" si="20"/>
        <v>Good</v>
      </c>
      <c r="J688" s="2">
        <v>3</v>
      </c>
      <c r="K688" s="2">
        <v>16.2</v>
      </c>
      <c r="L688" s="2" t="s">
        <v>3</v>
      </c>
      <c r="M688" s="2" t="s">
        <v>3</v>
      </c>
      <c r="N688" s="5">
        <f>IF(ISBLANK('Raw sheet'!L688),AVERAGE('Raw sheet'!$L$2:'Raw sheet'!$L$1500),'Raw sheet'!L688)</f>
        <v>6.9</v>
      </c>
      <c r="O688" s="5" t="str">
        <f>IF(Table1[[#This Row],[Stress_Index]]&gt;=8,"High",IF(N688&gt;=5,"Medium","Low"))</f>
        <v>Medium</v>
      </c>
      <c r="P688" s="3">
        <v>2.0699999999999998</v>
      </c>
      <c r="Q688" s="2">
        <v>1.84</v>
      </c>
      <c r="R688" s="3">
        <v>1.79</v>
      </c>
      <c r="S688" s="3" t="str">
        <f>IF(Table1[[#This Row],[CGPA]]&gt;=3,"High",IF(R687&gt;=2,"Medium","Low"))</f>
        <v>Low</v>
      </c>
      <c r="T688" s="2" t="s">
        <v>12</v>
      </c>
      <c r="U688" s="2" t="s">
        <v>8</v>
      </c>
      <c r="V688" s="2" t="s">
        <v>0</v>
      </c>
      <c r="W688" s="7">
        <v>0</v>
      </c>
      <c r="X688" t="str">
        <f t="shared" si="21"/>
        <v>Active</v>
      </c>
    </row>
    <row r="689" spans="1:24" x14ac:dyDescent="0.3">
      <c r="A689" s="2">
        <v>688</v>
      </c>
      <c r="B689" s="7">
        <v>20.2</v>
      </c>
      <c r="C689" s="2" t="s">
        <v>11</v>
      </c>
      <c r="D689" s="7">
        <f>IF(ISBLANK('Raw sheet'!D689),AVERAGE('Raw sheet'!$D$2:'Raw sheet'!$D$1500),'Raw sheet'!D689)</f>
        <v>90472</v>
      </c>
      <c r="E689" s="7" t="str">
        <f>IF(Table1[[#This Row],[Family_Income]]&gt;=100000,"Upper",IF(D689&gt;=50000,"Middle","Lower"))</f>
        <v>Middle</v>
      </c>
      <c r="F689" s="2" t="s">
        <v>4</v>
      </c>
      <c r="G689" s="3">
        <f>IF(ISBLANK('Raw sheet'!F689),AVERAGE('Raw sheet'!$F$2:'Raw sheet'!$F$1500),'Raw sheet'!F689)</f>
        <v>4.1900000000000004</v>
      </c>
      <c r="H689" s="18">
        <v>80</v>
      </c>
      <c r="I689" s="9" t="str">
        <f t="shared" si="20"/>
        <v>Good</v>
      </c>
      <c r="J689" s="2">
        <v>1</v>
      </c>
      <c r="K689" s="2">
        <v>26.2</v>
      </c>
      <c r="L689" s="2" t="s">
        <v>4</v>
      </c>
      <c r="M689" s="2" t="s">
        <v>4</v>
      </c>
      <c r="N689" s="5">
        <f>IF(ISBLANK('Raw sheet'!L689),AVERAGE('Raw sheet'!$L$2:'Raw sheet'!$L$1500),'Raw sheet'!L689)</f>
        <v>1.2</v>
      </c>
      <c r="O689" s="5" t="str">
        <f>IF(Table1[[#This Row],[Stress_Index]]&gt;=8,"High",IF(N689&gt;=5,"Medium","Low"))</f>
        <v>Low</v>
      </c>
      <c r="P689" s="3">
        <v>3.16</v>
      </c>
      <c r="Q689" s="2">
        <v>3.2</v>
      </c>
      <c r="R689" s="3">
        <v>3.2</v>
      </c>
      <c r="S689" s="3" t="str">
        <f>IF(Table1[[#This Row],[CGPA]]&gt;=3,"High",IF(R688&gt;=2,"Medium","Low"))</f>
        <v>High</v>
      </c>
      <c r="T689" s="2" t="s">
        <v>2</v>
      </c>
      <c r="U689" s="2" t="s">
        <v>13</v>
      </c>
      <c r="V689" s="2" t="s">
        <v>15</v>
      </c>
      <c r="W689" s="7">
        <v>0</v>
      </c>
      <c r="X689" t="str">
        <f t="shared" si="21"/>
        <v>Active</v>
      </c>
    </row>
    <row r="690" spans="1:24" x14ac:dyDescent="0.3">
      <c r="A690" s="2">
        <v>689</v>
      </c>
      <c r="B690" s="7">
        <v>22.6</v>
      </c>
      <c r="C690" s="2" t="s">
        <v>5</v>
      </c>
      <c r="D690" s="7">
        <f>IF(ISBLANK('Raw sheet'!D690),AVERAGE('Raw sheet'!$D$2:'Raw sheet'!$D$1500),'Raw sheet'!D690)</f>
        <v>58617</v>
      </c>
      <c r="E690" s="7" t="str">
        <f>IF(Table1[[#This Row],[Family_Income]]&gt;=100000,"Upper",IF(D690&gt;=50000,"Middle","Lower"))</f>
        <v>Middle</v>
      </c>
      <c r="F690" s="2" t="s">
        <v>4</v>
      </c>
      <c r="G690" s="3">
        <f>IF(ISBLANK('Raw sheet'!F690),AVERAGE('Raw sheet'!$F$2:'Raw sheet'!$F$1500),'Raw sheet'!F690)</f>
        <v>3.13</v>
      </c>
      <c r="H690" s="18">
        <v>83.8</v>
      </c>
      <c r="I690" s="9" t="str">
        <f t="shared" si="20"/>
        <v>Good</v>
      </c>
      <c r="J690" s="2">
        <v>4</v>
      </c>
      <c r="K690" s="2">
        <v>19.5</v>
      </c>
      <c r="L690" s="2" t="s">
        <v>4</v>
      </c>
      <c r="M690" s="2" t="s">
        <v>3</v>
      </c>
      <c r="N690" s="5">
        <f>IF(ISBLANK('Raw sheet'!L690),AVERAGE('Raw sheet'!$L$2:'Raw sheet'!$L$1500),'Raw sheet'!L690)</f>
        <v>6</v>
      </c>
      <c r="O690" s="5" t="str">
        <f>IF(Table1[[#This Row],[Stress_Index]]&gt;=8,"High",IF(N690&gt;=5,"Medium","Low"))</f>
        <v>Medium</v>
      </c>
      <c r="P690" s="3">
        <v>2.76</v>
      </c>
      <c r="Q690" s="2">
        <v>2.15</v>
      </c>
      <c r="R690" s="3">
        <v>2.02</v>
      </c>
      <c r="S690" s="3" t="str">
        <f>IF(Table1[[#This Row],[CGPA]]&gt;=3,"High",IF(R689&gt;=2,"Medium","Low"))</f>
        <v>Medium</v>
      </c>
      <c r="T690" s="2" t="s">
        <v>12</v>
      </c>
      <c r="U690" s="2" t="s">
        <v>6</v>
      </c>
      <c r="V690" s="2" t="s">
        <v>9</v>
      </c>
      <c r="W690" s="7">
        <v>0</v>
      </c>
      <c r="X690" t="str">
        <f t="shared" si="21"/>
        <v>Active</v>
      </c>
    </row>
    <row r="691" spans="1:24" x14ac:dyDescent="0.3">
      <c r="A691" s="2">
        <v>690</v>
      </c>
      <c r="B691" s="7">
        <v>22</v>
      </c>
      <c r="C691" s="2" t="s">
        <v>11</v>
      </c>
      <c r="D691" s="7">
        <f>IF(ISBLANK('Raw sheet'!D691),AVERAGE('Raw sheet'!$D$2:'Raw sheet'!$D$1500),'Raw sheet'!D691)</f>
        <v>25000</v>
      </c>
      <c r="E691" s="7" t="str">
        <f>IF(Table1[[#This Row],[Family_Income]]&gt;=100000,"Upper",IF(D691&gt;=50000,"Middle","Lower"))</f>
        <v>Lower</v>
      </c>
      <c r="F691" s="2" t="s">
        <v>4</v>
      </c>
      <c r="G691" s="3">
        <f>IF(ISBLANK('Raw sheet'!F691),AVERAGE('Raw sheet'!$F$2:'Raw sheet'!$F$1500),'Raw sheet'!F691)</f>
        <v>4.75</v>
      </c>
      <c r="H691" s="18">
        <v>76.900000000000006</v>
      </c>
      <c r="I691" s="9" t="str">
        <f t="shared" si="20"/>
        <v>Good</v>
      </c>
      <c r="J691" s="2">
        <v>2</v>
      </c>
      <c r="K691" s="2">
        <v>30.3</v>
      </c>
      <c r="L691" s="2" t="s">
        <v>3</v>
      </c>
      <c r="M691" s="2" t="s">
        <v>3</v>
      </c>
      <c r="N691" s="5">
        <f>IF(ISBLANK('Raw sheet'!L691),AVERAGE('Raw sheet'!$L$2:'Raw sheet'!$L$1500),'Raw sheet'!L691)</f>
        <v>6.9</v>
      </c>
      <c r="O691" s="5" t="str">
        <f>IF(Table1[[#This Row],[Stress_Index]]&gt;=8,"High",IF(N691&gt;=5,"Medium","Low"))</f>
        <v>Medium</v>
      </c>
      <c r="P691" s="3">
        <v>3.36</v>
      </c>
      <c r="Q691" s="2">
        <v>3.43</v>
      </c>
      <c r="R691" s="3">
        <v>3.48</v>
      </c>
      <c r="S691" s="3" t="str">
        <f>IF(Table1[[#This Row],[CGPA]]&gt;=3,"High",IF(R690&gt;=2,"Medium","Low"))</f>
        <v>High</v>
      </c>
      <c r="T691" s="2" t="s">
        <v>10</v>
      </c>
      <c r="U691" s="2" t="s">
        <v>13</v>
      </c>
      <c r="V691" s="2" t="s">
        <v>9</v>
      </c>
      <c r="W691" s="7">
        <v>0</v>
      </c>
      <c r="X691" t="str">
        <f t="shared" si="21"/>
        <v>Active</v>
      </c>
    </row>
    <row r="692" spans="1:24" x14ac:dyDescent="0.3">
      <c r="A692" s="2">
        <v>691</v>
      </c>
      <c r="B692" s="7">
        <v>20.2</v>
      </c>
      <c r="C692" s="2" t="s">
        <v>11</v>
      </c>
      <c r="D692" s="7">
        <f>IF(ISBLANK('Raw sheet'!D692),AVERAGE('Raw sheet'!$D$2:'Raw sheet'!$D$1500),'Raw sheet'!D692)</f>
        <v>32645</v>
      </c>
      <c r="E692" s="7" t="str">
        <f>IF(Table1[[#This Row],[Family_Income]]&gt;=100000,"Upper",IF(D692&gt;=50000,"Middle","Lower"))</f>
        <v>Lower</v>
      </c>
      <c r="F692" s="2" t="s">
        <v>4</v>
      </c>
      <c r="G692" s="3">
        <f>IF(ISBLANK('Raw sheet'!F692),AVERAGE('Raw sheet'!$F$2:'Raw sheet'!$F$1500),'Raw sheet'!F692)</f>
        <v>5.35</v>
      </c>
      <c r="H692" s="18">
        <v>76.900000000000006</v>
      </c>
      <c r="I692" s="9" t="str">
        <f t="shared" si="20"/>
        <v>Good</v>
      </c>
      <c r="J692" s="2">
        <v>4</v>
      </c>
      <c r="K692" s="2">
        <v>41.9</v>
      </c>
      <c r="L692" s="2" t="s">
        <v>3</v>
      </c>
      <c r="M692" s="2" t="s">
        <v>3</v>
      </c>
      <c r="N692" s="5">
        <f>IF(ISBLANK('Raw sheet'!L692),AVERAGE('Raw sheet'!$L$2:'Raw sheet'!$L$1500),'Raw sheet'!L692)</f>
        <v>3.8</v>
      </c>
      <c r="O692" s="5" t="str">
        <f>IF(Table1[[#This Row],[Stress_Index]]&gt;=8,"High",IF(N692&gt;=5,"Medium","Low"))</f>
        <v>Low</v>
      </c>
      <c r="P692" s="3">
        <v>3.47</v>
      </c>
      <c r="Q692" s="2">
        <v>3.6</v>
      </c>
      <c r="R692" s="3">
        <v>3.62</v>
      </c>
      <c r="S692" s="3" t="str">
        <f>IF(Table1[[#This Row],[CGPA]]&gt;=3,"High",IF(R691&gt;=2,"Medium","Low"))</f>
        <v>High</v>
      </c>
      <c r="T692" s="2" t="s">
        <v>10</v>
      </c>
      <c r="U692" s="2" t="s">
        <v>13</v>
      </c>
      <c r="V692" s="2" t="s">
        <v>15</v>
      </c>
      <c r="W692" s="7">
        <v>0</v>
      </c>
      <c r="X692" t="str">
        <f t="shared" si="21"/>
        <v>Active</v>
      </c>
    </row>
    <row r="693" spans="1:24" x14ac:dyDescent="0.3">
      <c r="A693" s="2">
        <v>692</v>
      </c>
      <c r="B693" s="7">
        <v>23.6</v>
      </c>
      <c r="C693" s="2" t="s">
        <v>5</v>
      </c>
      <c r="D693" s="7">
        <f>IF(ISBLANK('Raw sheet'!D693),AVERAGE('Raw sheet'!$D$2:'Raw sheet'!$D$1500),'Raw sheet'!D693)</f>
        <v>28000</v>
      </c>
      <c r="E693" s="7" t="str">
        <f>IF(Table1[[#This Row],[Family_Income]]&gt;=100000,"Upper",IF(D693&gt;=50000,"Middle","Lower"))</f>
        <v>Lower</v>
      </c>
      <c r="F693" s="2" t="s">
        <v>3</v>
      </c>
      <c r="G693" s="3">
        <f>IF(ISBLANK('Raw sheet'!F693),AVERAGE('Raw sheet'!$F$2:'Raw sheet'!$F$1500),'Raw sheet'!F693)</f>
        <v>4.8499999999999996</v>
      </c>
      <c r="H693" s="18">
        <v>78.900000000000006</v>
      </c>
      <c r="I693" s="9" t="str">
        <f t="shared" si="20"/>
        <v>Good</v>
      </c>
      <c r="J693" s="2">
        <v>2</v>
      </c>
      <c r="K693" s="2">
        <v>26.4</v>
      </c>
      <c r="L693" s="2" t="s">
        <v>4</v>
      </c>
      <c r="M693" s="2" t="s">
        <v>4</v>
      </c>
      <c r="N693" s="5">
        <f>IF(ISBLANK('Raw sheet'!L693),AVERAGE('Raw sheet'!$L$2:'Raw sheet'!$L$1500),'Raw sheet'!L693)</f>
        <v>6.7</v>
      </c>
      <c r="O693" s="5" t="str">
        <f>IF(Table1[[#This Row],[Stress_Index]]&gt;=8,"High",IF(N693&gt;=5,"Medium","Low"))</f>
        <v>Medium</v>
      </c>
      <c r="P693" s="3">
        <v>1.52</v>
      </c>
      <c r="Q693" s="2">
        <v>2.3199999999999998</v>
      </c>
      <c r="R693" s="3">
        <v>2.34</v>
      </c>
      <c r="S693" s="3" t="str">
        <f>IF(Table1[[#This Row],[CGPA]]&gt;=3,"High",IF(R692&gt;=2,"Medium","Low"))</f>
        <v>Medium</v>
      </c>
      <c r="T693" s="2" t="s">
        <v>10</v>
      </c>
      <c r="U693" s="2" t="s">
        <v>8</v>
      </c>
      <c r="V693" s="2" t="s">
        <v>9</v>
      </c>
      <c r="W693" s="7">
        <v>1</v>
      </c>
      <c r="X693" t="str">
        <f t="shared" si="21"/>
        <v>Dropped Out</v>
      </c>
    </row>
    <row r="694" spans="1:24" x14ac:dyDescent="0.3">
      <c r="A694" s="2">
        <v>693</v>
      </c>
      <c r="B694" s="7">
        <v>18.600000000000001</v>
      </c>
      <c r="C694" s="2" t="s">
        <v>5</v>
      </c>
      <c r="D694" s="7">
        <f>IF(ISBLANK('Raw sheet'!D694),AVERAGE('Raw sheet'!$D$2:'Raw sheet'!$D$1500),'Raw sheet'!D694)</f>
        <v>25225</v>
      </c>
      <c r="E694" s="7" t="str">
        <f>IF(Table1[[#This Row],[Family_Income]]&gt;=100000,"Upper",IF(D694&gt;=50000,"Middle","Lower"))</f>
        <v>Lower</v>
      </c>
      <c r="F694" s="2" t="s">
        <v>4</v>
      </c>
      <c r="G694" s="3">
        <f>IF(ISBLANK('Raw sheet'!F694),AVERAGE('Raw sheet'!$F$2:'Raw sheet'!$F$1500),'Raw sheet'!F694)</f>
        <v>4.2699999999999996</v>
      </c>
      <c r="H694" s="18">
        <v>90.5</v>
      </c>
      <c r="I694" s="9" t="str">
        <f t="shared" si="20"/>
        <v>Good</v>
      </c>
      <c r="J694" s="2">
        <v>4</v>
      </c>
      <c r="K694" s="2">
        <v>24.9</v>
      </c>
      <c r="L694" s="2" t="s">
        <v>4</v>
      </c>
      <c r="M694" s="2" t="s">
        <v>3</v>
      </c>
      <c r="N694" s="5">
        <f>IF(ISBLANK('Raw sheet'!L694),AVERAGE('Raw sheet'!$L$2:'Raw sheet'!$L$1500),'Raw sheet'!L694)</f>
        <v>5.5</v>
      </c>
      <c r="O694" s="5" t="str">
        <f>IF(Table1[[#This Row],[Stress_Index]]&gt;=8,"High",IF(N694&gt;=5,"Medium","Low"))</f>
        <v>Medium</v>
      </c>
      <c r="P694" s="3">
        <v>2.48</v>
      </c>
      <c r="Q694" s="2">
        <v>2.42</v>
      </c>
      <c r="R694" s="3">
        <v>2.42</v>
      </c>
      <c r="S694" s="3" t="str">
        <f>IF(Table1[[#This Row],[CGPA]]&gt;=3,"High",IF(R693&gt;=2,"Medium","Low"))</f>
        <v>Medium</v>
      </c>
      <c r="T694" s="2" t="s">
        <v>2</v>
      </c>
      <c r="U694" s="2" t="s">
        <v>8</v>
      </c>
      <c r="V694" s="2" t="s">
        <v>15</v>
      </c>
      <c r="W694" s="7">
        <v>0</v>
      </c>
      <c r="X694" t="str">
        <f t="shared" si="21"/>
        <v>Active</v>
      </c>
    </row>
    <row r="695" spans="1:24" x14ac:dyDescent="0.3">
      <c r="A695" s="2">
        <v>694</v>
      </c>
      <c r="B695" s="7">
        <v>22.4</v>
      </c>
      <c r="C695" s="2" t="s">
        <v>5</v>
      </c>
      <c r="D695" s="7">
        <f>IF(ISBLANK('Raw sheet'!D695),AVERAGE('Raw sheet'!$D$2:'Raw sheet'!$D$1500),'Raw sheet'!D695)</f>
        <v>25000</v>
      </c>
      <c r="E695" s="7" t="str">
        <f>IF(Table1[[#This Row],[Family_Income]]&gt;=100000,"Upper",IF(D695&gt;=50000,"Middle","Lower"))</f>
        <v>Lower</v>
      </c>
      <c r="F695" s="2" t="s">
        <v>3</v>
      </c>
      <c r="G695" s="3">
        <f>IF(ISBLANK('Raw sheet'!F695),AVERAGE('Raw sheet'!$F$2:'Raw sheet'!$F$1500),'Raw sheet'!F695)</f>
        <v>6.18</v>
      </c>
      <c r="H695" s="18">
        <v>78.7</v>
      </c>
      <c r="I695" s="9" t="str">
        <f t="shared" si="20"/>
        <v>Good</v>
      </c>
      <c r="J695" s="2">
        <v>2</v>
      </c>
      <c r="K695" s="2">
        <v>42.9</v>
      </c>
      <c r="L695" s="2" t="s">
        <v>4</v>
      </c>
      <c r="M695" s="2" t="s">
        <v>4</v>
      </c>
      <c r="N695" s="5">
        <f>IF(ISBLANK('Raw sheet'!L695),AVERAGE('Raw sheet'!$L$2:'Raw sheet'!$L$1500),'Raw sheet'!L695)</f>
        <v>8.8000000000000007</v>
      </c>
      <c r="O695" s="5" t="str">
        <f>IF(Table1[[#This Row],[Stress_Index]]&gt;=8,"High",IF(N695&gt;=5,"Medium","Low"))</f>
        <v>High</v>
      </c>
      <c r="P695" s="3">
        <v>0.63</v>
      </c>
      <c r="Q695" s="2">
        <v>0.74</v>
      </c>
      <c r="R695" s="3">
        <v>0.64</v>
      </c>
      <c r="S695" s="3" t="str">
        <f>IF(Table1[[#This Row],[CGPA]]&gt;=3,"High",IF(R694&gt;=2,"Medium","Low"))</f>
        <v>Medium</v>
      </c>
      <c r="T695" s="2" t="s">
        <v>10</v>
      </c>
      <c r="U695" s="2" t="s">
        <v>13</v>
      </c>
      <c r="V695" s="2" t="s">
        <v>9</v>
      </c>
      <c r="W695" s="7">
        <v>0</v>
      </c>
      <c r="X695" t="str">
        <f t="shared" si="21"/>
        <v>Active</v>
      </c>
    </row>
    <row r="696" spans="1:24" x14ac:dyDescent="0.3">
      <c r="A696" s="2">
        <v>695</v>
      </c>
      <c r="B696" s="7">
        <v>22.3</v>
      </c>
      <c r="C696" s="2" t="s">
        <v>5</v>
      </c>
      <c r="D696" s="7">
        <f>IF(ISBLANK('Raw sheet'!D696),AVERAGE('Raw sheet'!$D$2:'Raw sheet'!$D$1500),'Raw sheet'!D696)</f>
        <v>37375</v>
      </c>
      <c r="E696" s="7" t="str">
        <f>IF(Table1[[#This Row],[Family_Income]]&gt;=100000,"Upper",IF(D696&gt;=50000,"Middle","Lower"))</f>
        <v>Lower</v>
      </c>
      <c r="F696" s="2" t="s">
        <v>4</v>
      </c>
      <c r="G696" s="3">
        <f>IF(ISBLANK('Raw sheet'!F696),AVERAGE('Raw sheet'!$F$2:'Raw sheet'!$F$1500),'Raw sheet'!F696)</f>
        <v>5.72</v>
      </c>
      <c r="H696" s="18">
        <v>90.9</v>
      </c>
      <c r="I696" s="9" t="str">
        <f t="shared" si="20"/>
        <v>Good</v>
      </c>
      <c r="J696" s="2">
        <v>1</v>
      </c>
      <c r="K696" s="2">
        <v>38.799999999999997</v>
      </c>
      <c r="L696" s="2" t="s">
        <v>4</v>
      </c>
      <c r="M696" s="2" t="s">
        <v>3</v>
      </c>
      <c r="N696" s="5">
        <f>IF(ISBLANK('Raw sheet'!L696),AVERAGE('Raw sheet'!$L$2:'Raw sheet'!$L$1500),'Raw sheet'!L696)</f>
        <v>4.5999999999999996</v>
      </c>
      <c r="O696" s="5" t="str">
        <f>IF(Table1[[#This Row],[Stress_Index]]&gt;=8,"High",IF(N696&gt;=5,"Medium","Low"))</f>
        <v>Low</v>
      </c>
      <c r="P696" s="3">
        <v>3.51</v>
      </c>
      <c r="Q696" s="2">
        <v>3.64</v>
      </c>
      <c r="R696" s="3">
        <v>3.64</v>
      </c>
      <c r="S696" s="3" t="str">
        <f>IF(Table1[[#This Row],[CGPA]]&gt;=3,"High",IF(R695&gt;=2,"Medium","Low"))</f>
        <v>High</v>
      </c>
      <c r="T696" s="2" t="s">
        <v>2</v>
      </c>
      <c r="U696" s="2" t="s">
        <v>1</v>
      </c>
      <c r="V696" s="2" t="s">
        <v>15</v>
      </c>
      <c r="W696" s="7">
        <v>0</v>
      </c>
      <c r="X696" t="str">
        <f t="shared" si="21"/>
        <v>Active</v>
      </c>
    </row>
    <row r="697" spans="1:24" x14ac:dyDescent="0.3">
      <c r="A697" s="2">
        <v>696</v>
      </c>
      <c r="B697" s="7">
        <v>20.3</v>
      </c>
      <c r="C697" s="2" t="s">
        <v>5</v>
      </c>
      <c r="D697" s="7">
        <f>IF(ISBLANK('Raw sheet'!D697),AVERAGE('Raw sheet'!$D$2:'Raw sheet'!$D$1500),'Raw sheet'!D697)</f>
        <v>48577</v>
      </c>
      <c r="E697" s="7" t="str">
        <f>IF(Table1[[#This Row],[Family_Income]]&gt;=100000,"Upper",IF(D697&gt;=50000,"Middle","Lower"))</f>
        <v>Lower</v>
      </c>
      <c r="F697" s="2" t="s">
        <v>4</v>
      </c>
      <c r="G697" s="3">
        <f>IF(ISBLANK('Raw sheet'!F697),AVERAGE('Raw sheet'!$F$2:'Raw sheet'!$F$1500),'Raw sheet'!F697)</f>
        <v>4.08</v>
      </c>
      <c r="H697" s="18">
        <v>89.8</v>
      </c>
      <c r="I697" s="9" t="str">
        <f t="shared" si="20"/>
        <v>Good</v>
      </c>
      <c r="J697" s="2">
        <v>3</v>
      </c>
      <c r="K697" s="2">
        <v>39.6</v>
      </c>
      <c r="L697" s="2" t="s">
        <v>4</v>
      </c>
      <c r="M697" s="2" t="s">
        <v>3</v>
      </c>
      <c r="N697" s="5">
        <f>IF(ISBLANK('Raw sheet'!L697),AVERAGE('Raw sheet'!$L$2:'Raw sheet'!$L$1500),'Raw sheet'!L697)</f>
        <v>6.6</v>
      </c>
      <c r="O697" s="5" t="str">
        <f>IF(Table1[[#This Row],[Stress_Index]]&gt;=8,"High",IF(N697&gt;=5,"Medium","Low"))</f>
        <v>Medium</v>
      </c>
      <c r="P697" s="3">
        <v>2.08</v>
      </c>
      <c r="Q697" s="2">
        <v>2.19</v>
      </c>
      <c r="R697" s="3">
        <v>2.14</v>
      </c>
      <c r="S697" s="3" t="str">
        <f>IF(Table1[[#This Row],[CGPA]]&gt;=3,"High",IF(R696&gt;=2,"Medium","Low"))</f>
        <v>Medium</v>
      </c>
      <c r="T697" s="2" t="s">
        <v>7</v>
      </c>
      <c r="U697" s="2" t="s">
        <v>13</v>
      </c>
      <c r="V697" s="2" t="s">
        <v>15</v>
      </c>
      <c r="W697" s="7">
        <v>0</v>
      </c>
      <c r="X697" t="str">
        <f t="shared" si="21"/>
        <v>Active</v>
      </c>
    </row>
    <row r="698" spans="1:24" x14ac:dyDescent="0.3">
      <c r="A698" s="2">
        <v>697</v>
      </c>
      <c r="B698" s="7">
        <v>21.7</v>
      </c>
      <c r="C698" s="2" t="s">
        <v>5</v>
      </c>
      <c r="D698" s="7">
        <f>IF(ISBLANK('Raw sheet'!D698),AVERAGE('Raw sheet'!$D$2:'Raw sheet'!$D$1500),'Raw sheet'!D698)</f>
        <v>37852</v>
      </c>
      <c r="E698" s="7" t="str">
        <f>IF(Table1[[#This Row],[Family_Income]]&gt;=100000,"Upper",IF(D698&gt;=50000,"Middle","Lower"))</f>
        <v>Lower</v>
      </c>
      <c r="F698" s="2" t="s">
        <v>4</v>
      </c>
      <c r="G698" s="3">
        <f>IF(ISBLANK('Raw sheet'!F698),AVERAGE('Raw sheet'!$F$2:'Raw sheet'!$F$1500),'Raw sheet'!F698)</f>
        <v>5.31</v>
      </c>
      <c r="H698" s="18">
        <v>79.3</v>
      </c>
      <c r="I698" s="9" t="str">
        <f t="shared" si="20"/>
        <v>Good</v>
      </c>
      <c r="J698" s="2">
        <v>2</v>
      </c>
      <c r="K698" s="2">
        <v>5</v>
      </c>
      <c r="L698" s="2" t="s">
        <v>3</v>
      </c>
      <c r="M698" s="2" t="s">
        <v>4</v>
      </c>
      <c r="N698" s="5">
        <f>IF(ISBLANK('Raw sheet'!L698),AVERAGE('Raw sheet'!$L$2:'Raw sheet'!$L$1500),'Raw sheet'!L698)</f>
        <v>2.9</v>
      </c>
      <c r="O698" s="5" t="str">
        <f>IF(Table1[[#This Row],[Stress_Index]]&gt;=8,"High",IF(N698&gt;=5,"Medium","Low"))</f>
        <v>Low</v>
      </c>
      <c r="P698" s="3">
        <v>3.77</v>
      </c>
      <c r="Q698" s="2">
        <v>3.69</v>
      </c>
      <c r="R698" s="3">
        <v>3.67</v>
      </c>
      <c r="S698" s="3" t="str">
        <f>IF(Table1[[#This Row],[CGPA]]&gt;=3,"High",IF(R697&gt;=2,"Medium","Low"))</f>
        <v>High</v>
      </c>
      <c r="T698" s="2" t="s">
        <v>7</v>
      </c>
      <c r="U698" s="2" t="s">
        <v>1</v>
      </c>
      <c r="V698" s="2" t="s">
        <v>15</v>
      </c>
      <c r="W698" s="7">
        <v>0</v>
      </c>
      <c r="X698" t="str">
        <f t="shared" si="21"/>
        <v>Active</v>
      </c>
    </row>
    <row r="699" spans="1:24" x14ac:dyDescent="0.3">
      <c r="A699" s="2">
        <v>698</v>
      </c>
      <c r="B699" s="7">
        <v>18.2</v>
      </c>
      <c r="C699" s="2" t="s">
        <v>11</v>
      </c>
      <c r="D699" s="7">
        <f>IF(ISBLANK('Raw sheet'!D699),AVERAGE('Raw sheet'!$D$2:'Raw sheet'!$D$1500),'Raw sheet'!D699)</f>
        <v>27659</v>
      </c>
      <c r="E699" s="7" t="str">
        <f>IF(Table1[[#This Row],[Family_Income]]&gt;=100000,"Upper",IF(D699&gt;=50000,"Middle","Lower"))</f>
        <v>Lower</v>
      </c>
      <c r="F699" s="2" t="s">
        <v>4</v>
      </c>
      <c r="G699" s="3">
        <f>IF(ISBLANK('Raw sheet'!F699),AVERAGE('Raw sheet'!$F$2:'Raw sheet'!$F$1500),'Raw sheet'!F699)</f>
        <v>4.8499999999999996</v>
      </c>
      <c r="H699" s="18">
        <v>77.900000000000006</v>
      </c>
      <c r="I699" s="9" t="str">
        <f t="shared" si="20"/>
        <v>Good</v>
      </c>
      <c r="J699" s="2">
        <v>0</v>
      </c>
      <c r="K699" s="2">
        <v>24.6</v>
      </c>
      <c r="L699" s="2" t="s">
        <v>4</v>
      </c>
      <c r="M699" s="2" t="s">
        <v>3</v>
      </c>
      <c r="N699" s="5">
        <f>IF(ISBLANK('Raw sheet'!L699),AVERAGE('Raw sheet'!$L$2:'Raw sheet'!$L$1500),'Raw sheet'!L699)</f>
        <v>5.6</v>
      </c>
      <c r="O699" s="5" t="str">
        <f>IF(Table1[[#This Row],[Stress_Index]]&gt;=8,"High",IF(N699&gt;=5,"Medium","Low"))</f>
        <v>Medium</v>
      </c>
      <c r="P699" s="3">
        <v>3.76</v>
      </c>
      <c r="Q699" s="2">
        <v>3.73</v>
      </c>
      <c r="R699" s="3">
        <v>3.73</v>
      </c>
      <c r="S699" s="3" t="str">
        <f>IF(Table1[[#This Row],[CGPA]]&gt;=3,"High",IF(R698&gt;=2,"Medium","Low"))</f>
        <v>High</v>
      </c>
      <c r="T699" s="2" t="s">
        <v>12</v>
      </c>
      <c r="U699" s="2" t="s">
        <v>13</v>
      </c>
      <c r="V699" s="2" t="s">
        <v>15</v>
      </c>
      <c r="W699" s="7">
        <v>0</v>
      </c>
      <c r="X699" t="str">
        <f t="shared" si="21"/>
        <v>Active</v>
      </c>
    </row>
    <row r="700" spans="1:24" x14ac:dyDescent="0.3">
      <c r="A700" s="2">
        <v>699</v>
      </c>
      <c r="B700" s="7">
        <v>23</v>
      </c>
      <c r="C700" s="2" t="s">
        <v>5</v>
      </c>
      <c r="D700" s="7">
        <f>IF(ISBLANK('Raw sheet'!D700),AVERAGE('Raw sheet'!$D$2:'Raw sheet'!$D$1500),'Raw sheet'!D700)</f>
        <v>27056</v>
      </c>
      <c r="E700" s="7" t="str">
        <f>IF(Table1[[#This Row],[Family_Income]]&gt;=100000,"Upper",IF(D700&gt;=50000,"Middle","Lower"))</f>
        <v>Lower</v>
      </c>
      <c r="F700" s="2" t="s">
        <v>3</v>
      </c>
      <c r="G700" s="3">
        <f>IF(ISBLANK('Raw sheet'!F700),AVERAGE('Raw sheet'!$F$2:'Raw sheet'!$F$1500),'Raw sheet'!F700)</f>
        <v>3.31</v>
      </c>
      <c r="H700" s="18">
        <v>78.2</v>
      </c>
      <c r="I700" s="9" t="str">
        <f t="shared" si="20"/>
        <v>Good</v>
      </c>
      <c r="J700" s="2">
        <v>2</v>
      </c>
      <c r="K700" s="2">
        <v>23.1</v>
      </c>
      <c r="L700" s="2" t="s">
        <v>4</v>
      </c>
      <c r="M700" s="2" t="s">
        <v>3</v>
      </c>
      <c r="N700" s="5">
        <f>IF(ISBLANK('Raw sheet'!L700),AVERAGE('Raw sheet'!$L$2:'Raw sheet'!$L$1500),'Raw sheet'!L700)</f>
        <v>7</v>
      </c>
      <c r="O700" s="5" t="str">
        <f>IF(Table1[[#This Row],[Stress_Index]]&gt;=8,"High",IF(N700&gt;=5,"Medium","Low"))</f>
        <v>Medium</v>
      </c>
      <c r="P700" s="3">
        <v>0.98</v>
      </c>
      <c r="Q700" s="2">
        <v>0.68</v>
      </c>
      <c r="R700" s="3">
        <v>0.62</v>
      </c>
      <c r="S700" s="3" t="str">
        <f>IF(Table1[[#This Row],[CGPA]]&gt;=3,"High",IF(R699&gt;=2,"Medium","Low"))</f>
        <v>Medium</v>
      </c>
      <c r="T700" s="2" t="s">
        <v>10</v>
      </c>
      <c r="U700" s="2" t="s">
        <v>13</v>
      </c>
      <c r="V700" s="2" t="s">
        <v>15</v>
      </c>
      <c r="W700" s="7">
        <v>1</v>
      </c>
      <c r="X700" t="str">
        <f t="shared" si="21"/>
        <v>Dropped Out</v>
      </c>
    </row>
    <row r="701" spans="1:24" x14ac:dyDescent="0.3">
      <c r="A701" s="2">
        <v>700</v>
      </c>
      <c r="B701" s="7">
        <v>20.6</v>
      </c>
      <c r="C701" s="2" t="s">
        <v>11</v>
      </c>
      <c r="D701" s="7">
        <f>IF(ISBLANK('Raw sheet'!D701),AVERAGE('Raw sheet'!$D$2:'Raw sheet'!$D$1500),'Raw sheet'!D701)</f>
        <v>52161</v>
      </c>
      <c r="E701" s="7" t="str">
        <f>IF(Table1[[#This Row],[Family_Income]]&gt;=100000,"Upper",IF(D701&gt;=50000,"Middle","Lower"))</f>
        <v>Middle</v>
      </c>
      <c r="F701" s="2" t="s">
        <v>4</v>
      </c>
      <c r="G701" s="3">
        <f>IF(ISBLANK('Raw sheet'!F701),AVERAGE('Raw sheet'!$F$2:'Raw sheet'!$F$1500),'Raw sheet'!F701)</f>
        <v>6.08</v>
      </c>
      <c r="H701" s="18">
        <v>80.8</v>
      </c>
      <c r="I701" s="9" t="str">
        <f t="shared" si="20"/>
        <v>Good</v>
      </c>
      <c r="J701" s="2">
        <v>1</v>
      </c>
      <c r="K701" s="2">
        <v>20.100000000000001</v>
      </c>
      <c r="L701" s="2" t="s">
        <v>3</v>
      </c>
      <c r="M701" s="2" t="s">
        <v>3</v>
      </c>
      <c r="N701" s="5">
        <f>IF(ISBLANK('Raw sheet'!L701),AVERAGE('Raw sheet'!$L$2:'Raw sheet'!$L$1500),'Raw sheet'!L701)</f>
        <v>4.5999999999999996</v>
      </c>
      <c r="O701" s="5" t="str">
        <f>IF(Table1[[#This Row],[Stress_Index]]&gt;=8,"High",IF(N701&gt;=5,"Medium","Low"))</f>
        <v>Low</v>
      </c>
      <c r="P701" s="3">
        <v>3.75</v>
      </c>
      <c r="Q701" s="2">
        <v>3.28</v>
      </c>
      <c r="R701" s="3">
        <v>3.28</v>
      </c>
      <c r="S701" s="3" t="str">
        <f>IF(Table1[[#This Row],[CGPA]]&gt;=3,"High",IF(R700&gt;=2,"Medium","Low"))</f>
        <v>High</v>
      </c>
      <c r="T701" s="2" t="s">
        <v>2</v>
      </c>
      <c r="U701" s="2" t="s">
        <v>13</v>
      </c>
      <c r="V701" s="2" t="s">
        <v>9</v>
      </c>
      <c r="W701" s="7">
        <v>0</v>
      </c>
      <c r="X701" t="str">
        <f t="shared" si="21"/>
        <v>Active</v>
      </c>
    </row>
    <row r="702" spans="1:24" x14ac:dyDescent="0.3">
      <c r="A702" s="2">
        <v>701</v>
      </c>
      <c r="B702" s="7">
        <v>19.899999999999999</v>
      </c>
      <c r="C702" s="2" t="s">
        <v>11</v>
      </c>
      <c r="D702" s="7">
        <f>IF(ISBLANK('Raw sheet'!D702),AVERAGE('Raw sheet'!$D$2:'Raw sheet'!$D$1500),'Raw sheet'!D702)</f>
        <v>39264</v>
      </c>
      <c r="E702" s="7" t="str">
        <f>IF(Table1[[#This Row],[Family_Income]]&gt;=100000,"Upper",IF(D702&gt;=50000,"Middle","Lower"))</f>
        <v>Lower</v>
      </c>
      <c r="F702" s="2" t="s">
        <v>4</v>
      </c>
      <c r="G702" s="3">
        <f>IF(ISBLANK('Raw sheet'!F702),AVERAGE('Raw sheet'!$F$2:'Raw sheet'!$F$1500),'Raw sheet'!F702)</f>
        <v>6.19</v>
      </c>
      <c r="H702" s="18">
        <v>77.5</v>
      </c>
      <c r="I702" s="9" t="str">
        <f t="shared" si="20"/>
        <v>Good</v>
      </c>
      <c r="J702" s="2">
        <v>1</v>
      </c>
      <c r="K702" s="2">
        <v>42.6</v>
      </c>
      <c r="L702" s="2" t="s">
        <v>3</v>
      </c>
      <c r="M702" s="2" t="s">
        <v>4</v>
      </c>
      <c r="N702" s="5">
        <f>IF(ISBLANK('Raw sheet'!L702),AVERAGE('Raw sheet'!$L$2:'Raw sheet'!$L$1500),'Raw sheet'!L702)</f>
        <v>7.5</v>
      </c>
      <c r="O702" s="5" t="str">
        <f>IF(Table1[[#This Row],[Stress_Index]]&gt;=8,"High",IF(N702&gt;=5,"Medium","Low"))</f>
        <v>Medium</v>
      </c>
      <c r="P702" s="3">
        <v>3.01</v>
      </c>
      <c r="Q702" s="2">
        <v>3</v>
      </c>
      <c r="R702" s="3">
        <v>3.01</v>
      </c>
      <c r="S702" s="3" t="str">
        <f>IF(Table1[[#This Row],[CGPA]]&gt;=3,"High",IF(R701&gt;=2,"Medium","Low"))</f>
        <v>High</v>
      </c>
      <c r="T702" s="2" t="s">
        <v>10</v>
      </c>
      <c r="U702" s="2" t="s">
        <v>14</v>
      </c>
      <c r="V702" s="2" t="s">
        <v>9</v>
      </c>
      <c r="W702" s="7">
        <v>0</v>
      </c>
      <c r="X702" t="str">
        <f t="shared" si="21"/>
        <v>Active</v>
      </c>
    </row>
    <row r="703" spans="1:24" x14ac:dyDescent="0.3">
      <c r="A703" s="2">
        <v>702</v>
      </c>
      <c r="B703" s="7">
        <v>23.3</v>
      </c>
      <c r="C703" s="2" t="s">
        <v>5</v>
      </c>
      <c r="D703" s="7">
        <f>IF(ISBLANK('Raw sheet'!D703),AVERAGE('Raw sheet'!$D$2:'Raw sheet'!$D$1500),'Raw sheet'!D703)</f>
        <v>31058</v>
      </c>
      <c r="E703" s="7" t="str">
        <f>IF(Table1[[#This Row],[Family_Income]]&gt;=100000,"Upper",IF(D703&gt;=50000,"Middle","Lower"))</f>
        <v>Lower</v>
      </c>
      <c r="F703" s="2" t="s">
        <v>4</v>
      </c>
      <c r="G703" s="3">
        <f>IF(ISBLANK('Raw sheet'!F703),AVERAGE('Raw sheet'!$F$2:'Raw sheet'!$F$1500),'Raw sheet'!F703)</f>
        <v>5.56</v>
      </c>
      <c r="H703" s="18">
        <v>87.9</v>
      </c>
      <c r="I703" s="9" t="str">
        <f t="shared" si="20"/>
        <v>Good</v>
      </c>
      <c r="J703" s="2">
        <v>1</v>
      </c>
      <c r="K703" s="2">
        <v>23.5</v>
      </c>
      <c r="L703" s="2" t="s">
        <v>3</v>
      </c>
      <c r="M703" s="2" t="s">
        <v>3</v>
      </c>
      <c r="N703" s="5">
        <f>IF(ISBLANK('Raw sheet'!L703),AVERAGE('Raw sheet'!$L$2:'Raw sheet'!$L$1500),'Raw sheet'!L703)</f>
        <v>7.2</v>
      </c>
      <c r="O703" s="5" t="str">
        <f>IF(Table1[[#This Row],[Stress_Index]]&gt;=8,"High",IF(N703&gt;=5,"Medium","Low"))</f>
        <v>Medium</v>
      </c>
      <c r="P703" s="3">
        <v>2.02</v>
      </c>
      <c r="Q703" s="2">
        <v>1.89</v>
      </c>
      <c r="R703" s="3">
        <v>1.89</v>
      </c>
      <c r="S703" s="3" t="str">
        <f>IF(Table1[[#This Row],[CGPA]]&gt;=3,"High",IF(R702&gt;=2,"Medium","Low"))</f>
        <v>Medium</v>
      </c>
      <c r="T703" s="2" t="s">
        <v>2</v>
      </c>
      <c r="U703" s="2" t="s">
        <v>13</v>
      </c>
      <c r="V703" s="2" t="s">
        <v>0</v>
      </c>
      <c r="W703" s="7">
        <v>0</v>
      </c>
      <c r="X703" t="str">
        <f t="shared" si="21"/>
        <v>Active</v>
      </c>
    </row>
    <row r="704" spans="1:24" x14ac:dyDescent="0.3">
      <c r="A704" s="2">
        <v>703</v>
      </c>
      <c r="B704" s="7">
        <v>19.5</v>
      </c>
      <c r="C704" s="2" t="s">
        <v>11</v>
      </c>
      <c r="D704" s="7">
        <f>IF(ISBLANK('Raw sheet'!D704),AVERAGE('Raw sheet'!$D$2:'Raw sheet'!$D$1500),'Raw sheet'!D704)</f>
        <v>29099</v>
      </c>
      <c r="E704" s="7" t="str">
        <f>IF(Table1[[#This Row],[Family_Income]]&gt;=100000,"Upper",IF(D704&gt;=50000,"Middle","Lower"))</f>
        <v>Lower</v>
      </c>
      <c r="F704" s="2" t="s">
        <v>4</v>
      </c>
      <c r="G704" s="3">
        <f>IF(ISBLANK('Raw sheet'!F704),AVERAGE('Raw sheet'!$F$2:'Raw sheet'!$F$1500),'Raw sheet'!F704)</f>
        <v>4.82</v>
      </c>
      <c r="H704" s="18">
        <v>76.8</v>
      </c>
      <c r="I704" s="9" t="str">
        <f t="shared" si="20"/>
        <v>Good</v>
      </c>
      <c r="J704" s="2">
        <v>0</v>
      </c>
      <c r="K704" s="2">
        <v>13.3</v>
      </c>
      <c r="L704" s="2" t="s">
        <v>4</v>
      </c>
      <c r="M704" s="2" t="s">
        <v>3</v>
      </c>
      <c r="N704" s="5">
        <f>IF(ISBLANK('Raw sheet'!L704),AVERAGE('Raw sheet'!$L$2:'Raw sheet'!$L$1500),'Raw sheet'!L704)</f>
        <v>5.8</v>
      </c>
      <c r="O704" s="5" t="str">
        <f>IF(Table1[[#This Row],[Stress_Index]]&gt;=8,"High",IF(N704&gt;=5,"Medium","Low"))</f>
        <v>Medium</v>
      </c>
      <c r="P704" s="3">
        <v>3.1</v>
      </c>
      <c r="Q704" s="2">
        <v>3.14</v>
      </c>
      <c r="R704" s="3">
        <v>3.11</v>
      </c>
      <c r="S704" s="3" t="str">
        <f>IF(Table1[[#This Row],[CGPA]]&gt;=3,"High",IF(R703&gt;=2,"Medium","Low"))</f>
        <v>High</v>
      </c>
      <c r="T704" s="2" t="s">
        <v>10</v>
      </c>
      <c r="U704" s="2" t="s">
        <v>1</v>
      </c>
      <c r="V704" s="2" t="s">
        <v>15</v>
      </c>
      <c r="W704" s="7">
        <v>0</v>
      </c>
      <c r="X704" t="str">
        <f t="shared" si="21"/>
        <v>Active</v>
      </c>
    </row>
    <row r="705" spans="1:24" x14ac:dyDescent="0.3">
      <c r="A705" s="2">
        <v>704</v>
      </c>
      <c r="B705" s="7">
        <v>17.899999999999999</v>
      </c>
      <c r="C705" s="2" t="s">
        <v>5</v>
      </c>
      <c r="D705" s="7">
        <f>IF(ISBLANK('Raw sheet'!D705),AVERAGE('Raw sheet'!$D$2:'Raw sheet'!$D$1500),'Raw sheet'!D705)</f>
        <v>36577</v>
      </c>
      <c r="E705" s="7" t="str">
        <f>IF(Table1[[#This Row],[Family_Income]]&gt;=100000,"Upper",IF(D705&gt;=50000,"Middle","Lower"))</f>
        <v>Lower</v>
      </c>
      <c r="F705" s="2" t="s">
        <v>4</v>
      </c>
      <c r="G705" s="3">
        <f>IF(ISBLANK('Raw sheet'!F705),AVERAGE('Raw sheet'!$F$2:'Raw sheet'!$F$1500),'Raw sheet'!F705)</f>
        <v>5.23</v>
      </c>
      <c r="H705" s="18">
        <v>88.9</v>
      </c>
      <c r="I705" s="9" t="str">
        <f t="shared" si="20"/>
        <v>Good</v>
      </c>
      <c r="J705" s="2">
        <v>2</v>
      </c>
      <c r="K705" s="2">
        <v>33</v>
      </c>
      <c r="L705" s="2" t="s">
        <v>3</v>
      </c>
      <c r="M705" s="2" t="s">
        <v>3</v>
      </c>
      <c r="N705" s="5">
        <f>IF(ISBLANK('Raw sheet'!L705),AVERAGE('Raw sheet'!$L$2:'Raw sheet'!$L$1500),'Raw sheet'!L705)</f>
        <v>5</v>
      </c>
      <c r="O705" s="5" t="str">
        <f>IF(Table1[[#This Row],[Stress_Index]]&gt;=8,"High",IF(N705&gt;=5,"Medium","Low"))</f>
        <v>Medium</v>
      </c>
      <c r="P705" s="3">
        <v>2.19</v>
      </c>
      <c r="Q705" s="2">
        <v>2.56</v>
      </c>
      <c r="R705" s="3">
        <v>2.64</v>
      </c>
      <c r="S705" s="3" t="str">
        <f>IF(Table1[[#This Row],[CGPA]]&gt;=3,"High",IF(R704&gt;=2,"Medium","Low"))</f>
        <v>Medium</v>
      </c>
      <c r="T705" s="2" t="s">
        <v>7</v>
      </c>
      <c r="U705" s="2" t="s">
        <v>13</v>
      </c>
      <c r="V705" s="2" t="s">
        <v>9</v>
      </c>
      <c r="W705" s="7">
        <v>1</v>
      </c>
      <c r="X705" t="str">
        <f t="shared" si="21"/>
        <v>Dropped Out</v>
      </c>
    </row>
    <row r="706" spans="1:24" x14ac:dyDescent="0.3">
      <c r="A706" s="2">
        <v>705</v>
      </c>
      <c r="B706" s="7">
        <v>17.600000000000001</v>
      </c>
      <c r="C706" s="2" t="s">
        <v>5</v>
      </c>
      <c r="D706" s="7">
        <f>IF(ISBLANK('Raw sheet'!D706),AVERAGE('Raw sheet'!$D$2:'Raw sheet'!$D$1500),'Raw sheet'!D706)</f>
        <v>25000</v>
      </c>
      <c r="E706" s="7" t="str">
        <f>IF(Table1[[#This Row],[Family_Income]]&gt;=100000,"Upper",IF(D706&gt;=50000,"Middle","Lower"))</f>
        <v>Lower</v>
      </c>
      <c r="F706" s="2" t="s">
        <v>4</v>
      </c>
      <c r="G706" s="3">
        <f>IF(ISBLANK('Raw sheet'!F706),AVERAGE('Raw sheet'!$F$2:'Raw sheet'!$F$1500),'Raw sheet'!F706)</f>
        <v>3.56</v>
      </c>
      <c r="H706" s="18">
        <v>74.5</v>
      </c>
      <c r="I706" s="9" t="str">
        <f t="shared" ref="I706:I769" si="22">IF(H706&gt;=75,"Good","Low")</f>
        <v>Low</v>
      </c>
      <c r="J706" s="2">
        <v>0</v>
      </c>
      <c r="K706" s="2">
        <v>29.9</v>
      </c>
      <c r="L706" s="2" t="s">
        <v>3</v>
      </c>
      <c r="M706" s="2" t="s">
        <v>3</v>
      </c>
      <c r="N706" s="5">
        <f>IF(ISBLANK('Raw sheet'!L706),AVERAGE('Raw sheet'!$L$2:'Raw sheet'!$L$1500),'Raw sheet'!L706)</f>
        <v>1</v>
      </c>
      <c r="O706" s="5" t="str">
        <f>IF(Table1[[#This Row],[Stress_Index]]&gt;=8,"High",IF(N706&gt;=5,"Medium","Low"))</f>
        <v>Low</v>
      </c>
      <c r="P706" s="3">
        <v>3.09</v>
      </c>
      <c r="Q706" s="2">
        <v>2.87</v>
      </c>
      <c r="R706" s="3">
        <v>2.83</v>
      </c>
      <c r="S706" s="3" t="str">
        <f>IF(Table1[[#This Row],[CGPA]]&gt;=3,"High",IF(R705&gt;=2,"Medium","Low"))</f>
        <v>Medium</v>
      </c>
      <c r="T706" s="2" t="s">
        <v>12</v>
      </c>
      <c r="U706" s="2" t="s">
        <v>14</v>
      </c>
      <c r="V706" s="2" t="s">
        <v>0</v>
      </c>
      <c r="W706" s="7">
        <v>0</v>
      </c>
      <c r="X706" t="str">
        <f t="shared" ref="X706:X769" si="23">IF(W706=1,"Dropped Out","Active")</f>
        <v>Active</v>
      </c>
    </row>
    <row r="707" spans="1:24" x14ac:dyDescent="0.3">
      <c r="A707" s="2">
        <v>706</v>
      </c>
      <c r="B707" s="7">
        <v>22.3</v>
      </c>
      <c r="C707" s="2" t="s">
        <v>11</v>
      </c>
      <c r="D707" s="7">
        <f>IF(ISBLANK('Raw sheet'!D707),AVERAGE('Raw sheet'!$D$2:'Raw sheet'!$D$1500),'Raw sheet'!D707)</f>
        <v>48675</v>
      </c>
      <c r="E707" s="7" t="str">
        <f>IF(Table1[[#This Row],[Family_Income]]&gt;=100000,"Upper",IF(D707&gt;=50000,"Middle","Lower"))</f>
        <v>Lower</v>
      </c>
      <c r="F707" s="2" t="s">
        <v>4</v>
      </c>
      <c r="G707" s="3">
        <f>IF(ISBLANK('Raw sheet'!F707),AVERAGE('Raw sheet'!$F$2:'Raw sheet'!$F$1500),'Raw sheet'!F707)</f>
        <v>5.42</v>
      </c>
      <c r="H707" s="18">
        <v>68.7</v>
      </c>
      <c r="I707" s="9" t="str">
        <f t="shared" si="22"/>
        <v>Low</v>
      </c>
      <c r="J707" s="2">
        <v>0</v>
      </c>
      <c r="K707" s="2">
        <v>18.899999999999999</v>
      </c>
      <c r="L707" s="2" t="s">
        <v>4</v>
      </c>
      <c r="M707" s="2" t="s">
        <v>3</v>
      </c>
      <c r="N707" s="5">
        <f>IF(ISBLANK('Raw sheet'!L707),AVERAGE('Raw sheet'!$L$2:'Raw sheet'!$L$1500),'Raw sheet'!L707)</f>
        <v>4.3</v>
      </c>
      <c r="O707" s="5" t="str">
        <f>IF(Table1[[#This Row],[Stress_Index]]&gt;=8,"High",IF(N707&gt;=5,"Medium","Low"))</f>
        <v>Low</v>
      </c>
      <c r="P707" s="3">
        <v>1.87</v>
      </c>
      <c r="Q707" s="2">
        <v>1.7</v>
      </c>
      <c r="R707" s="3">
        <v>1.62</v>
      </c>
      <c r="S707" s="3" t="str">
        <f>IF(Table1[[#This Row],[CGPA]]&gt;=3,"High",IF(R706&gt;=2,"Medium","Low"))</f>
        <v>Medium</v>
      </c>
      <c r="T707" s="2" t="s">
        <v>12</v>
      </c>
      <c r="U707" s="2" t="s">
        <v>8</v>
      </c>
      <c r="V707" s="2" t="s">
        <v>9</v>
      </c>
      <c r="W707" s="7">
        <v>0</v>
      </c>
      <c r="X707" t="str">
        <f t="shared" si="23"/>
        <v>Active</v>
      </c>
    </row>
    <row r="708" spans="1:24" x14ac:dyDescent="0.3">
      <c r="A708" s="2">
        <v>707</v>
      </c>
      <c r="B708" s="7">
        <v>18.2</v>
      </c>
      <c r="C708" s="2" t="s">
        <v>5</v>
      </c>
      <c r="D708" s="7">
        <f>IF(ISBLANK('Raw sheet'!D708),AVERAGE('Raw sheet'!$D$2:'Raw sheet'!$D$1500),'Raw sheet'!D708)</f>
        <v>25000</v>
      </c>
      <c r="E708" s="7" t="str">
        <f>IF(Table1[[#This Row],[Family_Income]]&gt;=100000,"Upper",IF(D708&gt;=50000,"Middle","Lower"))</f>
        <v>Lower</v>
      </c>
      <c r="F708" s="2" t="s">
        <v>3</v>
      </c>
      <c r="G708" s="3">
        <f>IF(ISBLANK('Raw sheet'!F708),AVERAGE('Raw sheet'!$F$2:'Raw sheet'!$F$1500),'Raw sheet'!F708)</f>
        <v>2.3199999999999998</v>
      </c>
      <c r="H708" s="18">
        <v>67.599999999999994</v>
      </c>
      <c r="I708" s="9" t="str">
        <f t="shared" si="22"/>
        <v>Low</v>
      </c>
      <c r="J708" s="2">
        <v>2</v>
      </c>
      <c r="K708" s="2">
        <v>42.2</v>
      </c>
      <c r="L708" s="2" t="s">
        <v>4</v>
      </c>
      <c r="M708" s="2" t="s">
        <v>4</v>
      </c>
      <c r="N708" s="5">
        <f>IF(ISBLANK('Raw sheet'!L708),AVERAGE('Raw sheet'!$L$2:'Raw sheet'!$L$1500),'Raw sheet'!L708)</f>
        <v>7.5</v>
      </c>
      <c r="O708" s="5" t="str">
        <f>IF(Table1[[#This Row],[Stress_Index]]&gt;=8,"High",IF(N708&gt;=5,"Medium","Low"))</f>
        <v>Medium</v>
      </c>
      <c r="P708" s="3">
        <v>0.52</v>
      </c>
      <c r="Q708" s="2">
        <v>0.18</v>
      </c>
      <c r="R708" s="3">
        <v>0.13</v>
      </c>
      <c r="S708" s="3" t="str">
        <f>IF(Table1[[#This Row],[CGPA]]&gt;=3,"High",IF(R707&gt;=2,"Medium","Low"))</f>
        <v>Low</v>
      </c>
      <c r="T708" s="2" t="s">
        <v>12</v>
      </c>
      <c r="U708" s="2" t="s">
        <v>13</v>
      </c>
      <c r="V708" s="2" t="s">
        <v>9</v>
      </c>
      <c r="W708" s="7">
        <v>1</v>
      </c>
      <c r="X708" t="str">
        <f t="shared" si="23"/>
        <v>Dropped Out</v>
      </c>
    </row>
    <row r="709" spans="1:24" x14ac:dyDescent="0.3">
      <c r="A709" s="2">
        <v>708</v>
      </c>
      <c r="B709" s="7">
        <v>24.9</v>
      </c>
      <c r="C709" s="2" t="s">
        <v>11</v>
      </c>
      <c r="D709" s="7">
        <f>IF(ISBLANK('Raw sheet'!D709),AVERAGE('Raw sheet'!$D$2:'Raw sheet'!$D$1500),'Raw sheet'!D709)</f>
        <v>25000</v>
      </c>
      <c r="E709" s="7" t="str">
        <f>IF(Table1[[#This Row],[Family_Income]]&gt;=100000,"Upper",IF(D709&gt;=50000,"Middle","Lower"))</f>
        <v>Lower</v>
      </c>
      <c r="F709" s="2" t="s">
        <v>4</v>
      </c>
      <c r="G709" s="3">
        <f>IF(ISBLANK('Raw sheet'!F709),AVERAGE('Raw sheet'!$F$2:'Raw sheet'!$F$1500),'Raw sheet'!F709)</f>
        <v>3.58</v>
      </c>
      <c r="H709" s="18">
        <v>77.7</v>
      </c>
      <c r="I709" s="9" t="str">
        <f t="shared" si="22"/>
        <v>Good</v>
      </c>
      <c r="J709" s="2">
        <v>1</v>
      </c>
      <c r="K709" s="2">
        <v>36.4</v>
      </c>
      <c r="L709" s="2" t="s">
        <v>4</v>
      </c>
      <c r="M709" s="2" t="s">
        <v>3</v>
      </c>
      <c r="N709" s="5">
        <f>IF(ISBLANK('Raw sheet'!L709),AVERAGE('Raw sheet'!$L$2:'Raw sheet'!$L$1500),'Raw sheet'!L709)</f>
        <v>5</v>
      </c>
      <c r="O709" s="5" t="str">
        <f>IF(Table1[[#This Row],[Stress_Index]]&gt;=8,"High",IF(N709&gt;=5,"Medium","Low"))</f>
        <v>Medium</v>
      </c>
      <c r="P709" s="3">
        <v>2.8</v>
      </c>
      <c r="Q709" s="2">
        <v>2.85</v>
      </c>
      <c r="R709" s="3">
        <v>2.95</v>
      </c>
      <c r="S709" s="3" t="str">
        <f>IF(Table1[[#This Row],[CGPA]]&gt;=3,"High",IF(R708&gt;=2,"Medium","Low"))</f>
        <v>Low</v>
      </c>
      <c r="T709" s="2" t="s">
        <v>7</v>
      </c>
      <c r="U709" s="2" t="s">
        <v>6</v>
      </c>
      <c r="V709" s="2" t="s">
        <v>17</v>
      </c>
      <c r="W709" s="7">
        <v>0</v>
      </c>
      <c r="X709" t="str">
        <f t="shared" si="23"/>
        <v>Active</v>
      </c>
    </row>
    <row r="710" spans="1:24" x14ac:dyDescent="0.3">
      <c r="A710" s="2">
        <v>709</v>
      </c>
      <c r="B710" s="7">
        <v>17</v>
      </c>
      <c r="C710" s="2" t="s">
        <v>11</v>
      </c>
      <c r="D710" s="7">
        <f>IF(ISBLANK('Raw sheet'!D710),AVERAGE('Raw sheet'!$D$2:'Raw sheet'!$D$1500),'Raw sheet'!D710)</f>
        <v>42902</v>
      </c>
      <c r="E710" s="7" t="str">
        <f>IF(Table1[[#This Row],[Family_Income]]&gt;=100000,"Upper",IF(D710&gt;=50000,"Middle","Lower"))</f>
        <v>Lower</v>
      </c>
      <c r="F710" s="2" t="s">
        <v>4</v>
      </c>
      <c r="G710" s="3">
        <f>IF(ISBLANK('Raw sheet'!F710),AVERAGE('Raw sheet'!$F$2:'Raw sheet'!$F$1500),'Raw sheet'!F710)</f>
        <v>0.74</v>
      </c>
      <c r="H710" s="18">
        <v>75.5</v>
      </c>
      <c r="I710" s="9" t="str">
        <f t="shared" si="22"/>
        <v>Good</v>
      </c>
      <c r="J710" s="2">
        <v>0</v>
      </c>
      <c r="K710" s="2">
        <v>36.299999999999997</v>
      </c>
      <c r="L710" s="2" t="s">
        <v>3</v>
      </c>
      <c r="M710" s="2" t="s">
        <v>4</v>
      </c>
      <c r="N710" s="5">
        <f>IF(ISBLANK('Raw sheet'!L710),AVERAGE('Raw sheet'!$L$2:'Raw sheet'!$L$1500),'Raw sheet'!L710)</f>
        <v>6.3</v>
      </c>
      <c r="O710" s="5" t="str">
        <f>IF(Table1[[#This Row],[Stress_Index]]&gt;=8,"High",IF(N710&gt;=5,"Medium","Low"))</f>
        <v>Medium</v>
      </c>
      <c r="P710" s="3">
        <v>1.76</v>
      </c>
      <c r="Q710" s="2">
        <v>1.63</v>
      </c>
      <c r="R710" s="3">
        <v>1.63</v>
      </c>
      <c r="S710" s="3" t="str">
        <f>IF(Table1[[#This Row],[CGPA]]&gt;=3,"High",IF(R709&gt;=2,"Medium","Low"))</f>
        <v>Medium</v>
      </c>
      <c r="T710" s="2" t="s">
        <v>2</v>
      </c>
      <c r="U710" s="2" t="s">
        <v>14</v>
      </c>
      <c r="V710" s="2" t="s">
        <v>0</v>
      </c>
      <c r="W710" s="7">
        <v>1</v>
      </c>
      <c r="X710" t="str">
        <f t="shared" si="23"/>
        <v>Dropped Out</v>
      </c>
    </row>
    <row r="711" spans="1:24" x14ac:dyDescent="0.3">
      <c r="A711" s="2">
        <v>710</v>
      </c>
      <c r="B711" s="7">
        <v>24.7</v>
      </c>
      <c r="C711" s="2" t="s">
        <v>11</v>
      </c>
      <c r="D711" s="7">
        <f>IF(ISBLANK('Raw sheet'!D711),AVERAGE('Raw sheet'!$D$2:'Raw sheet'!$D$1500),'Raw sheet'!D711)</f>
        <v>25000</v>
      </c>
      <c r="E711" s="7" t="str">
        <f>IF(Table1[[#This Row],[Family_Income]]&gt;=100000,"Upper",IF(D711&gt;=50000,"Middle","Lower"))</f>
        <v>Lower</v>
      </c>
      <c r="F711" s="2" t="s">
        <v>4</v>
      </c>
      <c r="G711" s="3">
        <f>IF(ISBLANK('Raw sheet'!F711),AVERAGE('Raw sheet'!$F$2:'Raw sheet'!$F$1500),'Raw sheet'!F711)</f>
        <v>4.5199999999999996</v>
      </c>
      <c r="H711" s="18">
        <v>75.2</v>
      </c>
      <c r="I711" s="9" t="str">
        <f t="shared" si="22"/>
        <v>Good</v>
      </c>
      <c r="J711" s="2">
        <v>0</v>
      </c>
      <c r="K711" s="2">
        <v>35.799999999999997</v>
      </c>
      <c r="L711" s="2" t="s">
        <v>3</v>
      </c>
      <c r="M711" s="2" t="s">
        <v>3</v>
      </c>
      <c r="N711" s="5">
        <f>IF(ISBLANK('Raw sheet'!L711),AVERAGE('Raw sheet'!$L$2:'Raw sheet'!$L$1500),'Raw sheet'!L711)</f>
        <v>4.7</v>
      </c>
      <c r="O711" s="5" t="str">
        <f>IF(Table1[[#This Row],[Stress_Index]]&gt;=8,"High",IF(N711&gt;=5,"Medium","Low"))</f>
        <v>Low</v>
      </c>
      <c r="P711" s="3">
        <v>3.16</v>
      </c>
      <c r="Q711" s="2">
        <v>2.8</v>
      </c>
      <c r="R711" s="3">
        <v>2.84</v>
      </c>
      <c r="S711" s="3" t="str">
        <f>IF(Table1[[#This Row],[CGPA]]&gt;=3,"High",IF(R710&gt;=2,"Medium","Low"))</f>
        <v>Low</v>
      </c>
      <c r="T711" s="2" t="s">
        <v>12</v>
      </c>
      <c r="U711" s="2" t="s">
        <v>14</v>
      </c>
      <c r="V711" s="2" t="s">
        <v>9</v>
      </c>
      <c r="W711" s="7">
        <v>0</v>
      </c>
      <c r="X711" t="str">
        <f t="shared" si="23"/>
        <v>Active</v>
      </c>
    </row>
    <row r="712" spans="1:24" x14ac:dyDescent="0.3">
      <c r="A712" s="2">
        <v>711</v>
      </c>
      <c r="B712" s="7">
        <v>21.5</v>
      </c>
      <c r="C712" s="2" t="s">
        <v>11</v>
      </c>
      <c r="D712" s="7">
        <f>IF(ISBLANK('Raw sheet'!D712),AVERAGE('Raw sheet'!$D$2:'Raw sheet'!$D$1500),'Raw sheet'!D712)</f>
        <v>25000</v>
      </c>
      <c r="E712" s="7" t="str">
        <f>IF(Table1[[#This Row],[Family_Income]]&gt;=100000,"Upper",IF(D712&gt;=50000,"Middle","Lower"))</f>
        <v>Lower</v>
      </c>
      <c r="F712" s="2" t="s">
        <v>4</v>
      </c>
      <c r="G712" s="3">
        <f>IF(ISBLANK('Raw sheet'!F712),AVERAGE('Raw sheet'!$F$2:'Raw sheet'!$F$1500),'Raw sheet'!F712)</f>
        <v>5.34</v>
      </c>
      <c r="H712" s="18">
        <v>89.9</v>
      </c>
      <c r="I712" s="9" t="str">
        <f t="shared" si="22"/>
        <v>Good</v>
      </c>
      <c r="J712" s="2">
        <v>0</v>
      </c>
      <c r="K712" s="2">
        <v>43.1</v>
      </c>
      <c r="L712" s="2" t="s">
        <v>4</v>
      </c>
      <c r="M712" s="2" t="s">
        <v>3</v>
      </c>
      <c r="N712" s="5">
        <f>IF(ISBLANK('Raw sheet'!L712),AVERAGE('Raw sheet'!$L$2:'Raw sheet'!$L$1500),'Raw sheet'!L712)</f>
        <v>2.9</v>
      </c>
      <c r="O712" s="5" t="str">
        <f>IF(Table1[[#This Row],[Stress_Index]]&gt;=8,"High",IF(N712&gt;=5,"Medium","Low"))</f>
        <v>Low</v>
      </c>
      <c r="P712" s="3">
        <v>4</v>
      </c>
      <c r="Q712" s="2">
        <v>3.65</v>
      </c>
      <c r="R712" s="3">
        <v>3.65</v>
      </c>
      <c r="S712" s="3" t="str">
        <f>IF(Table1[[#This Row],[CGPA]]&gt;=3,"High",IF(R711&gt;=2,"Medium","Low"))</f>
        <v>High</v>
      </c>
      <c r="T712" s="2" t="s">
        <v>2</v>
      </c>
      <c r="U712" s="2" t="s">
        <v>6</v>
      </c>
      <c r="V712" s="2" t="s">
        <v>15</v>
      </c>
      <c r="W712" s="7">
        <v>0</v>
      </c>
      <c r="X712" t="str">
        <f t="shared" si="23"/>
        <v>Active</v>
      </c>
    </row>
    <row r="713" spans="1:24" x14ac:dyDescent="0.3">
      <c r="A713" s="2">
        <v>712</v>
      </c>
      <c r="B713" s="7">
        <v>20.8</v>
      </c>
      <c r="C713" s="2" t="s">
        <v>11</v>
      </c>
      <c r="D713" s="7">
        <f>IF(ISBLANK('Raw sheet'!D713),AVERAGE('Raw sheet'!$D$2:'Raw sheet'!$D$1500),'Raw sheet'!D713)</f>
        <v>30879</v>
      </c>
      <c r="E713" s="7" t="str">
        <f>IF(Table1[[#This Row],[Family_Income]]&gt;=100000,"Upper",IF(D713&gt;=50000,"Middle","Lower"))</f>
        <v>Lower</v>
      </c>
      <c r="F713" s="2" t="s">
        <v>4</v>
      </c>
      <c r="G713" s="3">
        <f>IF(ISBLANK('Raw sheet'!F713),AVERAGE('Raw sheet'!$F$2:'Raw sheet'!$F$1500),'Raw sheet'!F713)</f>
        <v>6.14</v>
      </c>
      <c r="H713" s="18">
        <v>76.099999999999994</v>
      </c>
      <c r="I713" s="9" t="str">
        <f t="shared" si="22"/>
        <v>Good</v>
      </c>
      <c r="J713" s="2">
        <v>1</v>
      </c>
      <c r="K713" s="2">
        <v>28.1</v>
      </c>
      <c r="L713" s="2" t="s">
        <v>4</v>
      </c>
      <c r="M713" s="2" t="s">
        <v>3</v>
      </c>
      <c r="N713" s="5">
        <f>IF(ISBLANK('Raw sheet'!L713),AVERAGE('Raw sheet'!$L$2:'Raw sheet'!$L$1500),'Raw sheet'!L713)</f>
        <v>6.8</v>
      </c>
      <c r="O713" s="5" t="str">
        <f>IF(Table1[[#This Row],[Stress_Index]]&gt;=8,"High",IF(N713&gt;=5,"Medium","Low"))</f>
        <v>Medium</v>
      </c>
      <c r="P713" s="3">
        <v>2.58</v>
      </c>
      <c r="Q713" s="2">
        <v>2.66</v>
      </c>
      <c r="R713" s="3">
        <v>2.61</v>
      </c>
      <c r="S713" s="3" t="str">
        <f>IF(Table1[[#This Row],[CGPA]]&gt;=3,"High",IF(R712&gt;=2,"Medium","Low"))</f>
        <v>Medium</v>
      </c>
      <c r="T713" s="2" t="s">
        <v>12</v>
      </c>
      <c r="U713" s="2" t="s">
        <v>1</v>
      </c>
      <c r="V713" s="2" t="s">
        <v>9</v>
      </c>
      <c r="W713" s="7">
        <v>0</v>
      </c>
      <c r="X713" t="str">
        <f t="shared" si="23"/>
        <v>Active</v>
      </c>
    </row>
    <row r="714" spans="1:24" x14ac:dyDescent="0.3">
      <c r="A714" s="2">
        <v>713</v>
      </c>
      <c r="B714" s="7">
        <v>19.8</v>
      </c>
      <c r="C714" s="2" t="s">
        <v>5</v>
      </c>
      <c r="D714" s="7">
        <f>IF(ISBLANK('Raw sheet'!D714),AVERAGE('Raw sheet'!$D$2:'Raw sheet'!$D$1500),'Raw sheet'!D714)</f>
        <v>25000</v>
      </c>
      <c r="E714" s="7" t="str">
        <f>IF(Table1[[#This Row],[Family_Income]]&gt;=100000,"Upper",IF(D714&gt;=50000,"Middle","Lower"))</f>
        <v>Lower</v>
      </c>
      <c r="F714" s="2" t="s">
        <v>4</v>
      </c>
      <c r="G714" s="3">
        <f>IF(ISBLANK('Raw sheet'!F714),AVERAGE('Raw sheet'!$F$2:'Raw sheet'!$F$1500),'Raw sheet'!F714)</f>
        <v>3.72</v>
      </c>
      <c r="H714" s="18">
        <v>66.3</v>
      </c>
      <c r="I714" s="9" t="str">
        <f t="shared" si="22"/>
        <v>Low</v>
      </c>
      <c r="J714" s="2">
        <v>4</v>
      </c>
      <c r="K714" s="2">
        <v>15.1</v>
      </c>
      <c r="L714" s="2" t="s">
        <v>3</v>
      </c>
      <c r="M714" s="2" t="s">
        <v>3</v>
      </c>
      <c r="N714" s="5">
        <f>IF(ISBLANK('Raw sheet'!L714),AVERAGE('Raw sheet'!$L$2:'Raw sheet'!$L$1500),'Raw sheet'!L714)</f>
        <v>3.3</v>
      </c>
      <c r="O714" s="5" t="str">
        <f>IF(Table1[[#This Row],[Stress_Index]]&gt;=8,"High",IF(N714&gt;=5,"Medium","Low"))</f>
        <v>Low</v>
      </c>
      <c r="P714" s="3">
        <v>2.63</v>
      </c>
      <c r="Q714" s="2">
        <v>2.78</v>
      </c>
      <c r="R714" s="3">
        <v>2.83</v>
      </c>
      <c r="S714" s="3" t="str">
        <f>IF(Table1[[#This Row],[CGPA]]&gt;=3,"High",IF(R713&gt;=2,"Medium","Low"))</f>
        <v>Medium</v>
      </c>
      <c r="T714" s="2" t="s">
        <v>12</v>
      </c>
      <c r="U714" s="2" t="s">
        <v>1</v>
      </c>
      <c r="V714" s="2" t="s">
        <v>0</v>
      </c>
      <c r="W714" s="7">
        <v>0</v>
      </c>
      <c r="X714" t="str">
        <f t="shared" si="23"/>
        <v>Active</v>
      </c>
    </row>
    <row r="715" spans="1:24" x14ac:dyDescent="0.3">
      <c r="A715" s="2">
        <v>714</v>
      </c>
      <c r="B715" s="7">
        <v>21.9</v>
      </c>
      <c r="C715" s="2" t="s">
        <v>5</v>
      </c>
      <c r="D715" s="7">
        <f>IF(ISBLANK('Raw sheet'!D715),AVERAGE('Raw sheet'!$D$2:'Raw sheet'!$D$1500),'Raw sheet'!D715)</f>
        <v>38587.00282087447</v>
      </c>
      <c r="E715" s="7" t="str">
        <f>IF(Table1[[#This Row],[Family_Income]]&gt;=100000,"Upper",IF(D715&gt;=50000,"Middle","Lower"))</f>
        <v>Lower</v>
      </c>
      <c r="F715" s="2" t="s">
        <v>4</v>
      </c>
      <c r="G715" s="3">
        <f>IF(ISBLANK('Raw sheet'!F715),AVERAGE('Raw sheet'!$F$2:'Raw sheet'!$F$1500),'Raw sheet'!F715)</f>
        <v>4.0178702397743278</v>
      </c>
      <c r="H715" s="18">
        <v>86.5</v>
      </c>
      <c r="I715" s="9" t="str">
        <f t="shared" si="22"/>
        <v>Good</v>
      </c>
      <c r="J715" s="2">
        <v>1</v>
      </c>
      <c r="K715" s="2">
        <v>27.5</v>
      </c>
      <c r="L715" s="2" t="s">
        <v>3</v>
      </c>
      <c r="M715" s="2" t="s">
        <v>3</v>
      </c>
      <c r="N715" s="5">
        <f>IF(ISBLANK('Raw sheet'!L715),AVERAGE('Raw sheet'!$L$2:'Raw sheet'!$L$1500),'Raw sheet'!L715)</f>
        <v>5.5242595204513369</v>
      </c>
      <c r="O715" s="5" t="str">
        <f>IF(Table1[[#This Row],[Stress_Index]]&gt;=8,"High",IF(N715&gt;=5,"Medium","Low"))</f>
        <v>Medium</v>
      </c>
      <c r="P715" s="3">
        <v>3.73</v>
      </c>
      <c r="Q715" s="2">
        <v>3.43</v>
      </c>
      <c r="R715" s="3">
        <v>3.43</v>
      </c>
      <c r="S715" s="3" t="str">
        <f>IF(Table1[[#This Row],[CGPA]]&gt;=3,"High",IF(R714&gt;=2,"Medium","Low"))</f>
        <v>High</v>
      </c>
      <c r="T715" s="2" t="s">
        <v>2</v>
      </c>
      <c r="U715" s="2" t="s">
        <v>14</v>
      </c>
      <c r="V715" s="2" t="s">
        <v>9</v>
      </c>
      <c r="W715" s="7">
        <v>0</v>
      </c>
      <c r="X715" t="str">
        <f t="shared" si="23"/>
        <v>Active</v>
      </c>
    </row>
    <row r="716" spans="1:24" x14ac:dyDescent="0.3">
      <c r="A716" s="2">
        <v>715</v>
      </c>
      <c r="B716" s="7">
        <v>20.9</v>
      </c>
      <c r="C716" s="2" t="s">
        <v>11</v>
      </c>
      <c r="D716" s="7">
        <f>IF(ISBLANK('Raw sheet'!D716),AVERAGE('Raw sheet'!$D$2:'Raw sheet'!$D$1500),'Raw sheet'!D716)</f>
        <v>46815</v>
      </c>
      <c r="E716" s="7" t="str">
        <f>IF(Table1[[#This Row],[Family_Income]]&gt;=100000,"Upper",IF(D716&gt;=50000,"Middle","Lower"))</f>
        <v>Lower</v>
      </c>
      <c r="F716" s="2" t="s">
        <v>4</v>
      </c>
      <c r="G716" s="3">
        <f>IF(ISBLANK('Raw sheet'!F716),AVERAGE('Raw sheet'!$F$2:'Raw sheet'!$F$1500),'Raw sheet'!F716)</f>
        <v>3.98</v>
      </c>
      <c r="H716" s="18">
        <v>92.7</v>
      </c>
      <c r="I716" s="9" t="str">
        <f t="shared" si="22"/>
        <v>Good</v>
      </c>
      <c r="J716" s="2">
        <v>1</v>
      </c>
      <c r="K716" s="2">
        <v>10.1</v>
      </c>
      <c r="L716" s="2" t="s">
        <v>4</v>
      </c>
      <c r="M716" s="2" t="s">
        <v>3</v>
      </c>
      <c r="N716" s="5">
        <f>IF(ISBLANK('Raw sheet'!L716),AVERAGE('Raw sheet'!$L$2:'Raw sheet'!$L$1500),'Raw sheet'!L716)</f>
        <v>6.2</v>
      </c>
      <c r="O716" s="5" t="str">
        <f>IF(Table1[[#This Row],[Stress_Index]]&gt;=8,"High",IF(N716&gt;=5,"Medium","Low"))</f>
        <v>Medium</v>
      </c>
      <c r="P716" s="3">
        <v>1.5</v>
      </c>
      <c r="Q716" s="2">
        <v>1.82</v>
      </c>
      <c r="R716" s="3">
        <v>1.86</v>
      </c>
      <c r="S716" s="3" t="str">
        <f>IF(Table1[[#This Row],[CGPA]]&gt;=3,"High",IF(R715&gt;=2,"Medium","Low"))</f>
        <v>Medium</v>
      </c>
      <c r="T716" s="2" t="s">
        <v>7</v>
      </c>
      <c r="U716" s="2" t="s">
        <v>6</v>
      </c>
      <c r="V716" s="2" t="s">
        <v>9</v>
      </c>
      <c r="W716" s="7">
        <v>0</v>
      </c>
      <c r="X716" t="str">
        <f t="shared" si="23"/>
        <v>Active</v>
      </c>
    </row>
    <row r="717" spans="1:24" x14ac:dyDescent="0.3">
      <c r="A717" s="2">
        <v>716</v>
      </c>
      <c r="B717" s="7">
        <v>23.4</v>
      </c>
      <c r="C717" s="2" t="s">
        <v>5</v>
      </c>
      <c r="D717" s="7">
        <f>IF(ISBLANK('Raw sheet'!D717),AVERAGE('Raw sheet'!$D$2:'Raw sheet'!$D$1500),'Raw sheet'!D717)</f>
        <v>26295</v>
      </c>
      <c r="E717" s="7" t="str">
        <f>IF(Table1[[#This Row],[Family_Income]]&gt;=100000,"Upper",IF(D717&gt;=50000,"Middle","Lower"))</f>
        <v>Lower</v>
      </c>
      <c r="F717" s="2" t="s">
        <v>4</v>
      </c>
      <c r="G717" s="3">
        <f>IF(ISBLANK('Raw sheet'!F717),AVERAGE('Raw sheet'!$F$2:'Raw sheet'!$F$1500),'Raw sheet'!F717)</f>
        <v>6.35</v>
      </c>
      <c r="H717" s="18">
        <v>85.6</v>
      </c>
      <c r="I717" s="9" t="str">
        <f t="shared" si="22"/>
        <v>Good</v>
      </c>
      <c r="J717" s="2">
        <v>2</v>
      </c>
      <c r="K717" s="2">
        <v>17.3</v>
      </c>
      <c r="L717" s="2" t="s">
        <v>3</v>
      </c>
      <c r="M717" s="2" t="s">
        <v>3</v>
      </c>
      <c r="N717" s="5">
        <f>IF(ISBLANK('Raw sheet'!L717),AVERAGE('Raw sheet'!$L$2:'Raw sheet'!$L$1500),'Raw sheet'!L717)</f>
        <v>4.3</v>
      </c>
      <c r="O717" s="5" t="str">
        <f>IF(Table1[[#This Row],[Stress_Index]]&gt;=8,"High",IF(N717&gt;=5,"Medium","Low"))</f>
        <v>Low</v>
      </c>
      <c r="P717" s="3">
        <v>3.98</v>
      </c>
      <c r="Q717" s="2">
        <v>3.63</v>
      </c>
      <c r="R717" s="3">
        <v>3.76</v>
      </c>
      <c r="S717" s="3" t="str">
        <f>IF(Table1[[#This Row],[CGPA]]&gt;=3,"High",IF(R716&gt;=2,"Medium","Low"))</f>
        <v>High</v>
      </c>
      <c r="T717" s="2" t="s">
        <v>12</v>
      </c>
      <c r="U717" s="2" t="s">
        <v>6</v>
      </c>
      <c r="V717" s="2" t="s">
        <v>9</v>
      </c>
      <c r="W717" s="7">
        <v>0</v>
      </c>
      <c r="X717" t="str">
        <f t="shared" si="23"/>
        <v>Active</v>
      </c>
    </row>
    <row r="718" spans="1:24" x14ac:dyDescent="0.3">
      <c r="A718" s="2">
        <v>717</v>
      </c>
      <c r="B718" s="7">
        <v>21.3</v>
      </c>
      <c r="C718" s="2" t="s">
        <v>5</v>
      </c>
      <c r="D718" s="7">
        <f>IF(ISBLANK('Raw sheet'!D718),AVERAGE('Raw sheet'!$D$2:'Raw sheet'!$D$1500),'Raw sheet'!D718)</f>
        <v>64299</v>
      </c>
      <c r="E718" s="7" t="str">
        <f>IF(Table1[[#This Row],[Family_Income]]&gt;=100000,"Upper",IF(D718&gt;=50000,"Middle","Lower"))</f>
        <v>Middle</v>
      </c>
      <c r="F718" s="2" t="s">
        <v>4</v>
      </c>
      <c r="G718" s="3">
        <f>IF(ISBLANK('Raw sheet'!F718),AVERAGE('Raw sheet'!$F$2:'Raw sheet'!$F$1500),'Raw sheet'!F718)</f>
        <v>4.43</v>
      </c>
      <c r="H718" s="18">
        <v>76.599999999999994</v>
      </c>
      <c r="I718" s="9" t="str">
        <f t="shared" si="22"/>
        <v>Good</v>
      </c>
      <c r="J718" s="2">
        <v>1</v>
      </c>
      <c r="K718" s="2">
        <v>49.4</v>
      </c>
      <c r="L718" s="2" t="s">
        <v>4</v>
      </c>
      <c r="M718" s="2" t="s">
        <v>4</v>
      </c>
      <c r="N718" s="5">
        <f>IF(ISBLANK('Raw sheet'!L718),AVERAGE('Raw sheet'!$L$2:'Raw sheet'!$L$1500),'Raw sheet'!L718)</f>
        <v>8.3000000000000007</v>
      </c>
      <c r="O718" s="5" t="str">
        <f>IF(Table1[[#This Row],[Stress_Index]]&gt;=8,"High",IF(N718&gt;=5,"Medium","Low"))</f>
        <v>High</v>
      </c>
      <c r="P718" s="3">
        <v>1.4</v>
      </c>
      <c r="Q718" s="2">
        <v>1.47</v>
      </c>
      <c r="R718" s="3">
        <v>1.47</v>
      </c>
      <c r="S718" s="3" t="str">
        <f>IF(Table1[[#This Row],[CGPA]]&gt;=3,"High",IF(R717&gt;=2,"Medium","Low"))</f>
        <v>Medium</v>
      </c>
      <c r="T718" s="2" t="s">
        <v>2</v>
      </c>
      <c r="U718" s="2" t="s">
        <v>8</v>
      </c>
      <c r="V718" s="2" t="s">
        <v>0</v>
      </c>
      <c r="W718" s="7">
        <v>1</v>
      </c>
      <c r="X718" t="str">
        <f t="shared" si="23"/>
        <v>Dropped Out</v>
      </c>
    </row>
    <row r="719" spans="1:24" x14ac:dyDescent="0.3">
      <c r="A719" s="2">
        <v>718</v>
      </c>
      <c r="B719" s="7">
        <v>21.3</v>
      </c>
      <c r="C719" s="2" t="s">
        <v>5</v>
      </c>
      <c r="D719" s="7">
        <f>IF(ISBLANK('Raw sheet'!D719),AVERAGE('Raw sheet'!$D$2:'Raw sheet'!$D$1500),'Raw sheet'!D719)</f>
        <v>25000</v>
      </c>
      <c r="E719" s="7" t="str">
        <f>IF(Table1[[#This Row],[Family_Income]]&gt;=100000,"Upper",IF(D719&gt;=50000,"Middle","Lower"))</f>
        <v>Lower</v>
      </c>
      <c r="F719" s="2" t="s">
        <v>4</v>
      </c>
      <c r="G719" s="3">
        <f>IF(ISBLANK('Raw sheet'!F719),AVERAGE('Raw sheet'!$F$2:'Raw sheet'!$F$1500),'Raw sheet'!F719)</f>
        <v>6.41</v>
      </c>
      <c r="H719" s="18">
        <v>83.4</v>
      </c>
      <c r="I719" s="9" t="str">
        <f t="shared" si="22"/>
        <v>Good</v>
      </c>
      <c r="J719" s="2">
        <v>3</v>
      </c>
      <c r="K719" s="2">
        <v>16.8</v>
      </c>
      <c r="L719" s="2" t="s">
        <v>3</v>
      </c>
      <c r="M719" s="2" t="s">
        <v>3</v>
      </c>
      <c r="N719" s="5">
        <f>IF(ISBLANK('Raw sheet'!L719),AVERAGE('Raw sheet'!$L$2:'Raw sheet'!$L$1500),'Raw sheet'!L719)</f>
        <v>9.1</v>
      </c>
      <c r="O719" s="5" t="str">
        <f>IF(Table1[[#This Row],[Stress_Index]]&gt;=8,"High",IF(N719&gt;=5,"Medium","Low"))</f>
        <v>High</v>
      </c>
      <c r="P719" s="3">
        <v>0</v>
      </c>
      <c r="Q719" s="2">
        <v>0.55000000000000004</v>
      </c>
      <c r="R719" s="3">
        <v>0.52</v>
      </c>
      <c r="S719" s="3" t="str">
        <f>IF(Table1[[#This Row],[CGPA]]&gt;=3,"High",IF(R718&gt;=2,"Medium","Low"))</f>
        <v>Low</v>
      </c>
      <c r="T719" s="2" t="s">
        <v>7</v>
      </c>
      <c r="U719" s="2" t="s">
        <v>8</v>
      </c>
      <c r="V719" s="2" t="s">
        <v>9</v>
      </c>
      <c r="W719" s="7">
        <v>1</v>
      </c>
      <c r="X719" t="str">
        <f t="shared" si="23"/>
        <v>Dropped Out</v>
      </c>
    </row>
    <row r="720" spans="1:24" x14ac:dyDescent="0.3">
      <c r="A720" s="2">
        <v>719</v>
      </c>
      <c r="B720" s="7">
        <v>20.2</v>
      </c>
      <c r="C720" s="2" t="s">
        <v>11</v>
      </c>
      <c r="D720" s="7">
        <f>IF(ISBLANK('Raw sheet'!D720),AVERAGE('Raw sheet'!$D$2:'Raw sheet'!$D$1500),'Raw sheet'!D720)</f>
        <v>28103</v>
      </c>
      <c r="E720" s="7" t="str">
        <f>IF(Table1[[#This Row],[Family_Income]]&gt;=100000,"Upper",IF(D720&gt;=50000,"Middle","Lower"))</f>
        <v>Lower</v>
      </c>
      <c r="F720" s="2" t="s">
        <v>4</v>
      </c>
      <c r="G720" s="3">
        <f>IF(ISBLANK('Raw sheet'!F720),AVERAGE('Raw sheet'!$F$2:'Raw sheet'!$F$1500),'Raw sheet'!F720)</f>
        <v>5.62</v>
      </c>
      <c r="H720" s="18">
        <v>75.599999999999994</v>
      </c>
      <c r="I720" s="9" t="str">
        <f t="shared" si="22"/>
        <v>Good</v>
      </c>
      <c r="J720" s="2">
        <v>2</v>
      </c>
      <c r="K720" s="2">
        <v>15.9</v>
      </c>
      <c r="L720" s="2" t="s">
        <v>3</v>
      </c>
      <c r="M720" s="2" t="s">
        <v>4</v>
      </c>
      <c r="N720" s="5">
        <f>IF(ISBLANK('Raw sheet'!L720),AVERAGE('Raw sheet'!$L$2:'Raw sheet'!$L$1500),'Raw sheet'!L720)</f>
        <v>4</v>
      </c>
      <c r="O720" s="5" t="str">
        <f>IF(Table1[[#This Row],[Stress_Index]]&gt;=8,"High",IF(N720&gt;=5,"Medium","Low"))</f>
        <v>Low</v>
      </c>
      <c r="P720" s="3">
        <v>3.95</v>
      </c>
      <c r="Q720" s="2">
        <v>4</v>
      </c>
      <c r="R720" s="3">
        <v>4</v>
      </c>
      <c r="S720" s="3" t="str">
        <f>IF(Table1[[#This Row],[CGPA]]&gt;=3,"High",IF(R719&gt;=2,"Medium","Low"))</f>
        <v>High</v>
      </c>
      <c r="T720" s="2" t="s">
        <v>2</v>
      </c>
      <c r="U720" s="2" t="s">
        <v>1</v>
      </c>
      <c r="V720" s="2" t="s">
        <v>16</v>
      </c>
      <c r="W720" s="7">
        <v>0</v>
      </c>
      <c r="X720" t="str">
        <f t="shared" si="23"/>
        <v>Active</v>
      </c>
    </row>
    <row r="721" spans="1:24" x14ac:dyDescent="0.3">
      <c r="A721" s="2">
        <v>720</v>
      </c>
      <c r="B721" s="7">
        <v>20.9</v>
      </c>
      <c r="C721" s="2" t="s">
        <v>5</v>
      </c>
      <c r="D721" s="7">
        <f>IF(ISBLANK('Raw sheet'!D721),AVERAGE('Raw sheet'!$D$2:'Raw sheet'!$D$1500),'Raw sheet'!D721)</f>
        <v>37788</v>
      </c>
      <c r="E721" s="7" t="str">
        <f>IF(Table1[[#This Row],[Family_Income]]&gt;=100000,"Upper",IF(D721&gt;=50000,"Middle","Lower"))</f>
        <v>Lower</v>
      </c>
      <c r="F721" s="2" t="s">
        <v>4</v>
      </c>
      <c r="G721" s="3">
        <f>IF(ISBLANK('Raw sheet'!F721),AVERAGE('Raw sheet'!$F$2:'Raw sheet'!$F$1500),'Raw sheet'!F721)</f>
        <v>4.9800000000000004</v>
      </c>
      <c r="H721" s="18">
        <v>74.2</v>
      </c>
      <c r="I721" s="9" t="str">
        <f t="shared" si="22"/>
        <v>Low</v>
      </c>
      <c r="J721" s="2">
        <v>1</v>
      </c>
      <c r="K721" s="2">
        <v>38</v>
      </c>
      <c r="L721" s="2" t="s">
        <v>3</v>
      </c>
      <c r="M721" s="2" t="s">
        <v>3</v>
      </c>
      <c r="N721" s="5">
        <f>IF(ISBLANK('Raw sheet'!L721),AVERAGE('Raw sheet'!$L$2:'Raw sheet'!$L$1500),'Raw sheet'!L721)</f>
        <v>4.0999999999999996</v>
      </c>
      <c r="O721" s="5" t="str">
        <f>IF(Table1[[#This Row],[Stress_Index]]&gt;=8,"High",IF(N721&gt;=5,"Medium","Low"))</f>
        <v>Low</v>
      </c>
      <c r="P721" s="3">
        <v>4</v>
      </c>
      <c r="Q721" s="2">
        <v>3.9</v>
      </c>
      <c r="R721" s="3">
        <v>3.87</v>
      </c>
      <c r="S721" s="3" t="str">
        <f>IF(Table1[[#This Row],[CGPA]]&gt;=3,"High",IF(R720&gt;=2,"Medium","Low"))</f>
        <v>High</v>
      </c>
      <c r="T721" s="2" t="s">
        <v>7</v>
      </c>
      <c r="U721" s="2" t="s">
        <v>8</v>
      </c>
      <c r="V721" s="2" t="s">
        <v>9</v>
      </c>
      <c r="W721" s="7">
        <v>0</v>
      </c>
      <c r="X721" t="str">
        <f t="shared" si="23"/>
        <v>Active</v>
      </c>
    </row>
    <row r="722" spans="1:24" x14ac:dyDescent="0.3">
      <c r="A722" s="2">
        <v>721</v>
      </c>
      <c r="B722" s="7">
        <v>21.7</v>
      </c>
      <c r="C722" s="2" t="s">
        <v>11</v>
      </c>
      <c r="D722" s="7">
        <f>IF(ISBLANK('Raw sheet'!D722),AVERAGE('Raw sheet'!$D$2:'Raw sheet'!$D$1500),'Raw sheet'!D722)</f>
        <v>25000</v>
      </c>
      <c r="E722" s="7" t="str">
        <f>IF(Table1[[#This Row],[Family_Income]]&gt;=100000,"Upper",IF(D722&gt;=50000,"Middle","Lower"))</f>
        <v>Lower</v>
      </c>
      <c r="F722" s="2" t="s">
        <v>4</v>
      </c>
      <c r="G722" s="3">
        <f>IF(ISBLANK('Raw sheet'!F722),AVERAGE('Raw sheet'!$F$2:'Raw sheet'!$F$1500),'Raw sheet'!F722)</f>
        <v>3.28</v>
      </c>
      <c r="H722" s="18">
        <v>80.400000000000006</v>
      </c>
      <c r="I722" s="9" t="str">
        <f t="shared" si="22"/>
        <v>Good</v>
      </c>
      <c r="J722" s="2">
        <v>1</v>
      </c>
      <c r="K722" s="2">
        <v>40.4</v>
      </c>
      <c r="L722" s="2" t="s">
        <v>3</v>
      </c>
      <c r="M722" s="2" t="s">
        <v>4</v>
      </c>
      <c r="N722" s="5">
        <f>IF(ISBLANK('Raw sheet'!L722),AVERAGE('Raw sheet'!$L$2:'Raw sheet'!$L$1500),'Raw sheet'!L722)</f>
        <v>4.7</v>
      </c>
      <c r="O722" s="5" t="str">
        <f>IF(Table1[[#This Row],[Stress_Index]]&gt;=8,"High",IF(N722&gt;=5,"Medium","Low"))</f>
        <v>Low</v>
      </c>
      <c r="P722" s="3">
        <v>4</v>
      </c>
      <c r="Q722" s="2">
        <v>4</v>
      </c>
      <c r="R722" s="3">
        <v>4</v>
      </c>
      <c r="S722" s="3" t="str">
        <f>IF(Table1[[#This Row],[CGPA]]&gt;=3,"High",IF(R721&gt;=2,"Medium","Low"))</f>
        <v>High</v>
      </c>
      <c r="T722" s="2" t="s">
        <v>12</v>
      </c>
      <c r="U722" s="2" t="s">
        <v>14</v>
      </c>
      <c r="V722" s="2" t="s">
        <v>0</v>
      </c>
      <c r="W722" s="7">
        <v>0</v>
      </c>
      <c r="X722" t="str">
        <f t="shared" si="23"/>
        <v>Active</v>
      </c>
    </row>
    <row r="723" spans="1:24" x14ac:dyDescent="0.3">
      <c r="A723" s="2">
        <v>722</v>
      </c>
      <c r="B723" s="7">
        <v>17.2</v>
      </c>
      <c r="C723" s="2" t="s">
        <v>5</v>
      </c>
      <c r="D723" s="7">
        <f>IF(ISBLANK('Raw sheet'!D723),AVERAGE('Raw sheet'!$D$2:'Raw sheet'!$D$1500),'Raw sheet'!D723)</f>
        <v>55219</v>
      </c>
      <c r="E723" s="7" t="str">
        <f>IF(Table1[[#This Row],[Family_Income]]&gt;=100000,"Upper",IF(D723&gt;=50000,"Middle","Lower"))</f>
        <v>Middle</v>
      </c>
      <c r="F723" s="2" t="s">
        <v>4</v>
      </c>
      <c r="G723" s="3">
        <f>IF(ISBLANK('Raw sheet'!F723),AVERAGE('Raw sheet'!$F$2:'Raw sheet'!$F$1500),'Raw sheet'!F723)</f>
        <v>2.59</v>
      </c>
      <c r="H723" s="18">
        <v>81.5</v>
      </c>
      <c r="I723" s="9" t="str">
        <f t="shared" si="22"/>
        <v>Good</v>
      </c>
      <c r="J723" s="2">
        <v>0</v>
      </c>
      <c r="K723" s="2">
        <v>10</v>
      </c>
      <c r="L723" s="2" t="s">
        <v>4</v>
      </c>
      <c r="M723" s="2" t="s">
        <v>4</v>
      </c>
      <c r="N723" s="5">
        <f>IF(ISBLANK('Raw sheet'!L723),AVERAGE('Raw sheet'!$L$2:'Raw sheet'!$L$1500),'Raw sheet'!L723)</f>
        <v>7.6</v>
      </c>
      <c r="O723" s="5" t="str">
        <f>IF(Table1[[#This Row],[Stress_Index]]&gt;=8,"High",IF(N723&gt;=5,"Medium","Low"))</f>
        <v>Medium</v>
      </c>
      <c r="P723" s="3">
        <v>1.86</v>
      </c>
      <c r="Q723" s="2">
        <v>1.66</v>
      </c>
      <c r="R723" s="3">
        <v>1.63</v>
      </c>
      <c r="S723" s="3" t="str">
        <f>IF(Table1[[#This Row],[CGPA]]&gt;=3,"High",IF(R722&gt;=2,"Medium","Low"))</f>
        <v>Medium</v>
      </c>
      <c r="T723" s="2" t="s">
        <v>10</v>
      </c>
      <c r="U723" s="2" t="s">
        <v>14</v>
      </c>
      <c r="V723" s="2" t="s">
        <v>15</v>
      </c>
      <c r="W723" s="7">
        <v>0</v>
      </c>
      <c r="X723" t="str">
        <f t="shared" si="23"/>
        <v>Active</v>
      </c>
    </row>
    <row r="724" spans="1:24" x14ac:dyDescent="0.3">
      <c r="A724" s="2">
        <v>723</v>
      </c>
      <c r="B724" s="7">
        <v>18</v>
      </c>
      <c r="C724" s="2" t="s">
        <v>5</v>
      </c>
      <c r="D724" s="7">
        <f>IF(ISBLANK('Raw sheet'!D724),AVERAGE('Raw sheet'!$D$2:'Raw sheet'!$D$1500),'Raw sheet'!D724)</f>
        <v>40393</v>
      </c>
      <c r="E724" s="7" t="str">
        <f>IF(Table1[[#This Row],[Family_Income]]&gt;=100000,"Upper",IF(D724&gt;=50000,"Middle","Lower"))</f>
        <v>Lower</v>
      </c>
      <c r="F724" s="2" t="s">
        <v>3</v>
      </c>
      <c r="G724" s="3">
        <f>IF(ISBLANK('Raw sheet'!F724),AVERAGE('Raw sheet'!$F$2:'Raw sheet'!$F$1500),'Raw sheet'!F724)</f>
        <v>4.12</v>
      </c>
      <c r="H724" s="18">
        <v>80.400000000000006</v>
      </c>
      <c r="I724" s="9" t="str">
        <f t="shared" si="22"/>
        <v>Good</v>
      </c>
      <c r="J724" s="2">
        <v>3</v>
      </c>
      <c r="K724" s="2">
        <v>33</v>
      </c>
      <c r="L724" s="2" t="s">
        <v>3</v>
      </c>
      <c r="M724" s="2" t="s">
        <v>3</v>
      </c>
      <c r="N724" s="5">
        <f>IF(ISBLANK('Raw sheet'!L724),AVERAGE('Raw sheet'!$L$2:'Raw sheet'!$L$1500),'Raw sheet'!L724)</f>
        <v>6.4</v>
      </c>
      <c r="O724" s="5" t="str">
        <f>IF(Table1[[#This Row],[Stress_Index]]&gt;=8,"High",IF(N724&gt;=5,"Medium","Low"))</f>
        <v>Medium</v>
      </c>
      <c r="P724" s="3">
        <v>3.12</v>
      </c>
      <c r="Q724" s="2">
        <v>3.31</v>
      </c>
      <c r="R724" s="3">
        <v>3.29</v>
      </c>
      <c r="S724" s="3" t="str">
        <f>IF(Table1[[#This Row],[CGPA]]&gt;=3,"High",IF(R723&gt;=2,"Medium","Low"))</f>
        <v>High</v>
      </c>
      <c r="T724" s="2" t="s">
        <v>7</v>
      </c>
      <c r="U724" s="2" t="s">
        <v>13</v>
      </c>
      <c r="V724" s="2" t="s">
        <v>9</v>
      </c>
      <c r="W724" s="7">
        <v>0</v>
      </c>
      <c r="X724" t="str">
        <f t="shared" si="23"/>
        <v>Active</v>
      </c>
    </row>
    <row r="725" spans="1:24" x14ac:dyDescent="0.3">
      <c r="A725" s="2">
        <v>724</v>
      </c>
      <c r="B725" s="7">
        <v>22.6</v>
      </c>
      <c r="C725" s="2" t="s">
        <v>5</v>
      </c>
      <c r="D725" s="7">
        <f>IF(ISBLANK('Raw sheet'!D725),AVERAGE('Raw sheet'!$D$2:'Raw sheet'!$D$1500),'Raw sheet'!D725)</f>
        <v>25000</v>
      </c>
      <c r="E725" s="7" t="str">
        <f>IF(Table1[[#This Row],[Family_Income]]&gt;=100000,"Upper",IF(D725&gt;=50000,"Middle","Lower"))</f>
        <v>Lower</v>
      </c>
      <c r="F725" s="2" t="s">
        <v>4</v>
      </c>
      <c r="G725" s="3">
        <f>IF(ISBLANK('Raw sheet'!F725),AVERAGE('Raw sheet'!$F$2:'Raw sheet'!$F$1500),'Raw sheet'!F725)</f>
        <v>4.13</v>
      </c>
      <c r="H725" s="18">
        <v>95.4</v>
      </c>
      <c r="I725" s="9" t="str">
        <f t="shared" si="22"/>
        <v>Good</v>
      </c>
      <c r="J725" s="2">
        <v>4</v>
      </c>
      <c r="K725" s="2">
        <v>23.4</v>
      </c>
      <c r="L725" s="2" t="s">
        <v>3</v>
      </c>
      <c r="M725" s="2" t="s">
        <v>4</v>
      </c>
      <c r="N725" s="5">
        <f>IF(ISBLANK('Raw sheet'!L725),AVERAGE('Raw sheet'!$L$2:'Raw sheet'!$L$1500),'Raw sheet'!L725)</f>
        <v>6.9</v>
      </c>
      <c r="O725" s="5" t="str">
        <f>IF(Table1[[#This Row],[Stress_Index]]&gt;=8,"High",IF(N725&gt;=5,"Medium","Low"))</f>
        <v>Medium</v>
      </c>
      <c r="P725" s="3">
        <v>4</v>
      </c>
      <c r="Q725" s="2">
        <v>3.79</v>
      </c>
      <c r="R725" s="3">
        <v>3.67</v>
      </c>
      <c r="S725" s="3" t="str">
        <f>IF(Table1[[#This Row],[CGPA]]&gt;=3,"High",IF(R724&gt;=2,"Medium","Low"))</f>
        <v>High</v>
      </c>
      <c r="T725" s="2" t="s">
        <v>12</v>
      </c>
      <c r="U725" s="2" t="s">
        <v>14</v>
      </c>
      <c r="V725" s="2" t="s">
        <v>9</v>
      </c>
      <c r="W725" s="7">
        <v>0</v>
      </c>
      <c r="X725" t="str">
        <f t="shared" si="23"/>
        <v>Active</v>
      </c>
    </row>
    <row r="726" spans="1:24" x14ac:dyDescent="0.3">
      <c r="A726" s="2">
        <v>725</v>
      </c>
      <c r="B726" s="7">
        <v>21.4</v>
      </c>
      <c r="C726" s="2" t="s">
        <v>5</v>
      </c>
      <c r="D726" s="7">
        <f>IF(ISBLANK('Raw sheet'!D726),AVERAGE('Raw sheet'!$D$2:'Raw sheet'!$D$1500),'Raw sheet'!D726)</f>
        <v>29067</v>
      </c>
      <c r="E726" s="7" t="str">
        <f>IF(Table1[[#This Row],[Family_Income]]&gt;=100000,"Upper",IF(D726&gt;=50000,"Middle","Lower"))</f>
        <v>Lower</v>
      </c>
      <c r="F726" s="2" t="s">
        <v>4</v>
      </c>
      <c r="G726" s="3">
        <f>IF(ISBLANK('Raw sheet'!F726),AVERAGE('Raw sheet'!$F$2:'Raw sheet'!$F$1500),'Raw sheet'!F726)</f>
        <v>2.4900000000000002</v>
      </c>
      <c r="H726" s="18">
        <v>82.3</v>
      </c>
      <c r="I726" s="9" t="str">
        <f t="shared" si="22"/>
        <v>Good</v>
      </c>
      <c r="J726" s="2">
        <v>2</v>
      </c>
      <c r="K726" s="2">
        <v>34</v>
      </c>
      <c r="L726" s="2" t="s">
        <v>3</v>
      </c>
      <c r="M726" s="2" t="s">
        <v>3</v>
      </c>
      <c r="N726" s="5">
        <f>IF(ISBLANK('Raw sheet'!L726),AVERAGE('Raw sheet'!$L$2:'Raw sheet'!$L$1500),'Raw sheet'!L726)</f>
        <v>7.9</v>
      </c>
      <c r="O726" s="5" t="str">
        <f>IF(Table1[[#This Row],[Stress_Index]]&gt;=8,"High",IF(N726&gt;=5,"Medium","Low"))</f>
        <v>Medium</v>
      </c>
      <c r="P726" s="3">
        <v>0</v>
      </c>
      <c r="Q726" s="2">
        <v>0</v>
      </c>
      <c r="R726" s="3">
        <v>0.06</v>
      </c>
      <c r="S726" s="3" t="str">
        <f>IF(Table1[[#This Row],[CGPA]]&gt;=3,"High",IF(R725&gt;=2,"Medium","Low"))</f>
        <v>Medium</v>
      </c>
      <c r="T726" s="2" t="s">
        <v>12</v>
      </c>
      <c r="U726" s="2" t="s">
        <v>8</v>
      </c>
      <c r="V726" s="2" t="s">
        <v>15</v>
      </c>
      <c r="W726" s="7">
        <v>1</v>
      </c>
      <c r="X726" t="str">
        <f t="shared" si="23"/>
        <v>Dropped Out</v>
      </c>
    </row>
    <row r="727" spans="1:24" x14ac:dyDescent="0.3">
      <c r="A727" s="2">
        <v>726</v>
      </c>
      <c r="B727" s="7">
        <v>20.6</v>
      </c>
      <c r="C727" s="2" t="s">
        <v>11</v>
      </c>
      <c r="D727" s="7">
        <f>IF(ISBLANK('Raw sheet'!D727),AVERAGE('Raw sheet'!$D$2:'Raw sheet'!$D$1500),'Raw sheet'!D727)</f>
        <v>37480</v>
      </c>
      <c r="E727" s="7" t="str">
        <f>IF(Table1[[#This Row],[Family_Income]]&gt;=100000,"Upper",IF(D727&gt;=50000,"Middle","Lower"))</f>
        <v>Lower</v>
      </c>
      <c r="F727" s="2" t="s">
        <v>4</v>
      </c>
      <c r="G727" s="3">
        <f>IF(ISBLANK('Raw sheet'!F727),AVERAGE('Raw sheet'!$F$2:'Raw sheet'!$F$1500),'Raw sheet'!F727)</f>
        <v>5.41</v>
      </c>
      <c r="H727" s="18">
        <v>89.7</v>
      </c>
      <c r="I727" s="9" t="str">
        <f t="shared" si="22"/>
        <v>Good</v>
      </c>
      <c r="J727" s="2">
        <v>0</v>
      </c>
      <c r="K727" s="2">
        <v>26.4</v>
      </c>
      <c r="L727" s="2" t="s">
        <v>4</v>
      </c>
      <c r="M727" s="2" t="s">
        <v>4</v>
      </c>
      <c r="N727" s="5">
        <f>IF(ISBLANK('Raw sheet'!L727),AVERAGE('Raw sheet'!$L$2:'Raw sheet'!$L$1500),'Raw sheet'!L727)</f>
        <v>3.9</v>
      </c>
      <c r="O727" s="5" t="str">
        <f>IF(Table1[[#This Row],[Stress_Index]]&gt;=8,"High",IF(N727&gt;=5,"Medium","Low"))</f>
        <v>Low</v>
      </c>
      <c r="P727" s="3">
        <v>3.62</v>
      </c>
      <c r="Q727" s="2">
        <v>3.39</v>
      </c>
      <c r="R727" s="3">
        <v>3.39</v>
      </c>
      <c r="S727" s="3" t="str">
        <f>IF(Table1[[#This Row],[CGPA]]&gt;=3,"High",IF(R726&gt;=2,"Medium","Low"))</f>
        <v>High</v>
      </c>
      <c r="T727" s="2" t="s">
        <v>2</v>
      </c>
      <c r="U727" s="2" t="s">
        <v>6</v>
      </c>
      <c r="V727" s="2" t="s">
        <v>15</v>
      </c>
      <c r="W727" s="7">
        <v>0</v>
      </c>
      <c r="X727" t="str">
        <f t="shared" si="23"/>
        <v>Active</v>
      </c>
    </row>
    <row r="728" spans="1:24" x14ac:dyDescent="0.3">
      <c r="A728" s="2">
        <v>727</v>
      </c>
      <c r="B728" s="7">
        <v>21</v>
      </c>
      <c r="C728" s="2" t="s">
        <v>5</v>
      </c>
      <c r="D728" s="7">
        <f>IF(ISBLANK('Raw sheet'!D728),AVERAGE('Raw sheet'!$D$2:'Raw sheet'!$D$1500),'Raw sheet'!D728)</f>
        <v>25000</v>
      </c>
      <c r="E728" s="7" t="str">
        <f>IF(Table1[[#This Row],[Family_Income]]&gt;=100000,"Upper",IF(D728&gt;=50000,"Middle","Lower"))</f>
        <v>Lower</v>
      </c>
      <c r="F728" s="2" t="s">
        <v>4</v>
      </c>
      <c r="G728" s="3">
        <f>IF(ISBLANK('Raw sheet'!F728),AVERAGE('Raw sheet'!$F$2:'Raw sheet'!$F$1500),'Raw sheet'!F728)</f>
        <v>4.24</v>
      </c>
      <c r="H728" s="18">
        <v>99.9</v>
      </c>
      <c r="I728" s="9" t="str">
        <f t="shared" si="22"/>
        <v>Good</v>
      </c>
      <c r="J728" s="2">
        <v>1</v>
      </c>
      <c r="K728" s="2">
        <v>13.6</v>
      </c>
      <c r="L728" s="2" t="s">
        <v>3</v>
      </c>
      <c r="M728" s="2" t="s">
        <v>4</v>
      </c>
      <c r="N728" s="5">
        <f>IF(ISBLANK('Raw sheet'!L728),AVERAGE('Raw sheet'!$L$2:'Raw sheet'!$L$1500),'Raw sheet'!L728)</f>
        <v>6.4</v>
      </c>
      <c r="O728" s="5" t="str">
        <f>IF(Table1[[#This Row],[Stress_Index]]&gt;=8,"High",IF(N728&gt;=5,"Medium","Low"))</f>
        <v>Medium</v>
      </c>
      <c r="P728" s="3">
        <v>2.69</v>
      </c>
      <c r="Q728" s="2">
        <v>2.88</v>
      </c>
      <c r="R728" s="3">
        <v>2.88</v>
      </c>
      <c r="S728" s="3" t="str">
        <f>IF(Table1[[#This Row],[CGPA]]&gt;=3,"High",IF(R727&gt;=2,"Medium","Low"))</f>
        <v>Medium</v>
      </c>
      <c r="T728" s="2" t="s">
        <v>2</v>
      </c>
      <c r="U728" s="2" t="s">
        <v>8</v>
      </c>
      <c r="V728" s="2" t="s">
        <v>0</v>
      </c>
      <c r="W728" s="7">
        <v>0</v>
      </c>
      <c r="X728" t="str">
        <f t="shared" si="23"/>
        <v>Active</v>
      </c>
    </row>
    <row r="729" spans="1:24" x14ac:dyDescent="0.3">
      <c r="A729" s="2">
        <v>728</v>
      </c>
      <c r="B729" s="7">
        <v>21.8</v>
      </c>
      <c r="C729" s="2" t="s">
        <v>5</v>
      </c>
      <c r="D729" s="7">
        <f>IF(ISBLANK('Raw sheet'!D729),AVERAGE('Raw sheet'!$D$2:'Raw sheet'!$D$1500),'Raw sheet'!D729)</f>
        <v>25000</v>
      </c>
      <c r="E729" s="7" t="str">
        <f>IF(Table1[[#This Row],[Family_Income]]&gt;=100000,"Upper",IF(D729&gt;=50000,"Middle","Lower"))</f>
        <v>Lower</v>
      </c>
      <c r="F729" s="2" t="s">
        <v>4</v>
      </c>
      <c r="G729" s="3">
        <f>IF(ISBLANK('Raw sheet'!F729),AVERAGE('Raw sheet'!$F$2:'Raw sheet'!$F$1500),'Raw sheet'!F729)</f>
        <v>4.76</v>
      </c>
      <c r="H729" s="18">
        <v>78.2</v>
      </c>
      <c r="I729" s="9" t="str">
        <f t="shared" si="22"/>
        <v>Good</v>
      </c>
      <c r="J729" s="2">
        <v>0</v>
      </c>
      <c r="K729" s="2">
        <v>24.2</v>
      </c>
      <c r="L729" s="2" t="s">
        <v>4</v>
      </c>
      <c r="M729" s="2" t="s">
        <v>3</v>
      </c>
      <c r="N729" s="5">
        <f>IF(ISBLANK('Raw sheet'!L729),AVERAGE('Raw sheet'!$L$2:'Raw sheet'!$L$1500),'Raw sheet'!L729)</f>
        <v>5.6</v>
      </c>
      <c r="O729" s="5" t="str">
        <f>IF(Table1[[#This Row],[Stress_Index]]&gt;=8,"High",IF(N729&gt;=5,"Medium","Low"))</f>
        <v>Medium</v>
      </c>
      <c r="P729" s="3">
        <v>3.05</v>
      </c>
      <c r="Q729" s="2">
        <v>3.06</v>
      </c>
      <c r="R729" s="3">
        <v>3.03</v>
      </c>
      <c r="S729" s="3" t="str">
        <f>IF(Table1[[#This Row],[CGPA]]&gt;=3,"High",IF(R728&gt;=2,"Medium","Low"))</f>
        <v>High</v>
      </c>
      <c r="T729" s="2" t="s">
        <v>10</v>
      </c>
      <c r="U729" s="2" t="s">
        <v>14</v>
      </c>
      <c r="V729" s="2" t="s">
        <v>17</v>
      </c>
      <c r="W729" s="7">
        <v>0</v>
      </c>
      <c r="X729" t="str">
        <f t="shared" si="23"/>
        <v>Active</v>
      </c>
    </row>
    <row r="730" spans="1:24" x14ac:dyDescent="0.3">
      <c r="A730" s="2">
        <v>729</v>
      </c>
      <c r="B730" s="7">
        <v>19.8</v>
      </c>
      <c r="C730" s="2" t="s">
        <v>11</v>
      </c>
      <c r="D730" s="7">
        <f>IF(ISBLANK('Raw sheet'!D730),AVERAGE('Raw sheet'!$D$2:'Raw sheet'!$D$1500),'Raw sheet'!D730)</f>
        <v>35139</v>
      </c>
      <c r="E730" s="7" t="str">
        <f>IF(Table1[[#This Row],[Family_Income]]&gt;=100000,"Upper",IF(D730&gt;=50000,"Middle","Lower"))</f>
        <v>Lower</v>
      </c>
      <c r="F730" s="2" t="s">
        <v>4</v>
      </c>
      <c r="G730" s="3">
        <f>IF(ISBLANK('Raw sheet'!F730),AVERAGE('Raw sheet'!$F$2:'Raw sheet'!$F$1500),'Raw sheet'!F730)</f>
        <v>6.21</v>
      </c>
      <c r="H730" s="18">
        <v>83.2</v>
      </c>
      <c r="I730" s="9" t="str">
        <f t="shared" si="22"/>
        <v>Good</v>
      </c>
      <c r="J730" s="2">
        <v>3</v>
      </c>
      <c r="K730" s="2">
        <v>37.5</v>
      </c>
      <c r="L730" s="2" t="s">
        <v>4</v>
      </c>
      <c r="M730" s="2" t="s">
        <v>3</v>
      </c>
      <c r="N730" s="5">
        <f>IF(ISBLANK('Raw sheet'!L730),AVERAGE('Raw sheet'!$L$2:'Raw sheet'!$L$1500),'Raw sheet'!L730)</f>
        <v>6.3</v>
      </c>
      <c r="O730" s="5" t="str">
        <f>IF(Table1[[#This Row],[Stress_Index]]&gt;=8,"High",IF(N730&gt;=5,"Medium","Low"))</f>
        <v>Medium</v>
      </c>
      <c r="P730" s="3">
        <v>3.53</v>
      </c>
      <c r="Q730" s="2">
        <v>3.55</v>
      </c>
      <c r="R730" s="3">
        <v>3.55</v>
      </c>
      <c r="S730" s="3" t="str">
        <f>IF(Table1[[#This Row],[CGPA]]&gt;=3,"High",IF(R729&gt;=2,"Medium","Low"))</f>
        <v>High</v>
      </c>
      <c r="T730" s="2" t="s">
        <v>2</v>
      </c>
      <c r="U730" s="2" t="s">
        <v>1</v>
      </c>
      <c r="V730" s="2" t="s">
        <v>15</v>
      </c>
      <c r="W730" s="7">
        <v>0</v>
      </c>
      <c r="X730" t="str">
        <f t="shared" si="23"/>
        <v>Active</v>
      </c>
    </row>
    <row r="731" spans="1:24" x14ac:dyDescent="0.3">
      <c r="A731" s="2">
        <v>730</v>
      </c>
      <c r="B731" s="7">
        <v>19.3</v>
      </c>
      <c r="C731" s="2" t="s">
        <v>5</v>
      </c>
      <c r="D731" s="7">
        <f>IF(ISBLANK('Raw sheet'!D731),AVERAGE('Raw sheet'!$D$2:'Raw sheet'!$D$1500),'Raw sheet'!D731)</f>
        <v>112055</v>
      </c>
      <c r="E731" s="7" t="str">
        <f>IF(Table1[[#This Row],[Family_Income]]&gt;=100000,"Upper",IF(D731&gt;=50000,"Middle","Lower"))</f>
        <v>Upper</v>
      </c>
      <c r="F731" s="2" t="s">
        <v>4</v>
      </c>
      <c r="G731" s="3">
        <f>IF(ISBLANK('Raw sheet'!F731),AVERAGE('Raw sheet'!$F$2:'Raw sheet'!$F$1500),'Raw sheet'!F731)</f>
        <v>2.99</v>
      </c>
      <c r="H731" s="18">
        <v>88.5</v>
      </c>
      <c r="I731" s="9" t="str">
        <f t="shared" si="22"/>
        <v>Good</v>
      </c>
      <c r="J731" s="2">
        <v>2</v>
      </c>
      <c r="K731" s="2">
        <v>53.3</v>
      </c>
      <c r="L731" s="2" t="s">
        <v>4</v>
      </c>
      <c r="M731" s="2" t="s">
        <v>3</v>
      </c>
      <c r="N731" s="5">
        <f>IF(ISBLANK('Raw sheet'!L731),AVERAGE('Raw sheet'!$L$2:'Raw sheet'!$L$1500),'Raw sheet'!L731)</f>
        <v>7.6</v>
      </c>
      <c r="O731" s="5" t="str">
        <f>IF(Table1[[#This Row],[Stress_Index]]&gt;=8,"High",IF(N731&gt;=5,"Medium","Low"))</f>
        <v>Medium</v>
      </c>
      <c r="P731" s="3">
        <v>0.81</v>
      </c>
      <c r="Q731" s="2">
        <v>0.72</v>
      </c>
      <c r="R731" s="3">
        <v>0.72</v>
      </c>
      <c r="S731" s="3" t="str">
        <f>IF(Table1[[#This Row],[CGPA]]&gt;=3,"High",IF(R730&gt;=2,"Medium","Low"))</f>
        <v>Medium</v>
      </c>
      <c r="T731" s="2" t="s">
        <v>2</v>
      </c>
      <c r="U731" s="2" t="s">
        <v>13</v>
      </c>
      <c r="V731" s="2" t="s">
        <v>0</v>
      </c>
      <c r="W731" s="7">
        <v>1</v>
      </c>
      <c r="X731" t="str">
        <f t="shared" si="23"/>
        <v>Dropped Out</v>
      </c>
    </row>
    <row r="732" spans="1:24" x14ac:dyDescent="0.3">
      <c r="A732" s="2">
        <v>731</v>
      </c>
      <c r="B732" s="7">
        <v>21.4</v>
      </c>
      <c r="C732" s="2" t="s">
        <v>5</v>
      </c>
      <c r="D732" s="7">
        <f>IF(ISBLANK('Raw sheet'!D732),AVERAGE('Raw sheet'!$D$2:'Raw sheet'!$D$1500),'Raw sheet'!D732)</f>
        <v>25000</v>
      </c>
      <c r="E732" s="7" t="str">
        <f>IF(Table1[[#This Row],[Family_Income]]&gt;=100000,"Upper",IF(D732&gt;=50000,"Middle","Lower"))</f>
        <v>Lower</v>
      </c>
      <c r="F732" s="2" t="s">
        <v>4</v>
      </c>
      <c r="G732" s="3">
        <f>IF(ISBLANK('Raw sheet'!F732),AVERAGE('Raw sheet'!$F$2:'Raw sheet'!$F$1500),'Raw sheet'!F732)</f>
        <v>1.29</v>
      </c>
      <c r="H732" s="18">
        <v>83</v>
      </c>
      <c r="I732" s="9" t="str">
        <f t="shared" si="22"/>
        <v>Good</v>
      </c>
      <c r="J732" s="2">
        <v>6</v>
      </c>
      <c r="K732" s="2">
        <v>34.700000000000003</v>
      </c>
      <c r="L732" s="2" t="s">
        <v>4</v>
      </c>
      <c r="M732" s="2" t="s">
        <v>4</v>
      </c>
      <c r="N732" s="5">
        <f>IF(ISBLANK('Raw sheet'!L732),AVERAGE('Raw sheet'!$L$2:'Raw sheet'!$L$1500),'Raw sheet'!L732)</f>
        <v>5.2</v>
      </c>
      <c r="O732" s="5" t="str">
        <f>IF(Table1[[#This Row],[Stress_Index]]&gt;=8,"High",IF(N732&gt;=5,"Medium","Low"))</f>
        <v>Medium</v>
      </c>
      <c r="P732" s="3">
        <v>2.99</v>
      </c>
      <c r="Q732" s="2">
        <v>2.9</v>
      </c>
      <c r="R732" s="3">
        <v>2.91</v>
      </c>
      <c r="S732" s="3" t="str">
        <f>IF(Table1[[#This Row],[CGPA]]&gt;=3,"High",IF(R731&gt;=2,"Medium","Low"))</f>
        <v>Low</v>
      </c>
      <c r="T732" s="2" t="s">
        <v>7</v>
      </c>
      <c r="U732" s="2" t="s">
        <v>13</v>
      </c>
      <c r="V732" s="2" t="s">
        <v>17</v>
      </c>
      <c r="W732" s="7">
        <v>0</v>
      </c>
      <c r="X732" t="str">
        <f t="shared" si="23"/>
        <v>Active</v>
      </c>
    </row>
    <row r="733" spans="1:24" x14ac:dyDescent="0.3">
      <c r="A733" s="2">
        <v>732</v>
      </c>
      <c r="B733" s="7">
        <v>18.8</v>
      </c>
      <c r="C733" s="2" t="s">
        <v>5</v>
      </c>
      <c r="D733" s="7">
        <f>IF(ISBLANK('Raw sheet'!D733),AVERAGE('Raw sheet'!$D$2:'Raw sheet'!$D$1500),'Raw sheet'!D733)</f>
        <v>76233</v>
      </c>
      <c r="E733" s="7" t="str">
        <f>IF(Table1[[#This Row],[Family_Income]]&gt;=100000,"Upper",IF(D733&gt;=50000,"Middle","Lower"))</f>
        <v>Middle</v>
      </c>
      <c r="F733" s="2" t="s">
        <v>4</v>
      </c>
      <c r="G733" s="3">
        <f>IF(ISBLANK('Raw sheet'!F733),AVERAGE('Raw sheet'!$F$2:'Raw sheet'!$F$1500),'Raw sheet'!F733)</f>
        <v>3.24</v>
      </c>
      <c r="H733" s="18">
        <v>79.8</v>
      </c>
      <c r="I733" s="9" t="str">
        <f t="shared" si="22"/>
        <v>Good</v>
      </c>
      <c r="J733" s="2">
        <v>0</v>
      </c>
      <c r="K733" s="2">
        <v>25.3</v>
      </c>
      <c r="L733" s="2" t="s">
        <v>3</v>
      </c>
      <c r="M733" s="2" t="s">
        <v>3</v>
      </c>
      <c r="N733" s="5">
        <f>IF(ISBLANK('Raw sheet'!L733),AVERAGE('Raw sheet'!$L$2:'Raw sheet'!$L$1500),'Raw sheet'!L733)</f>
        <v>4.2</v>
      </c>
      <c r="O733" s="5" t="str">
        <f>IF(Table1[[#This Row],[Stress_Index]]&gt;=8,"High",IF(N733&gt;=5,"Medium","Low"))</f>
        <v>Low</v>
      </c>
      <c r="P733" s="3">
        <v>3.57</v>
      </c>
      <c r="Q733" s="2">
        <v>3.76</v>
      </c>
      <c r="R733" s="3">
        <v>3.77</v>
      </c>
      <c r="S733" s="3" t="str">
        <f>IF(Table1[[#This Row],[CGPA]]&gt;=3,"High",IF(R732&gt;=2,"Medium","Low"))</f>
        <v>High</v>
      </c>
      <c r="T733" s="2" t="s">
        <v>12</v>
      </c>
      <c r="U733" s="2" t="s">
        <v>14</v>
      </c>
      <c r="V733" s="2" t="s">
        <v>9</v>
      </c>
      <c r="W733" s="7">
        <v>0</v>
      </c>
      <c r="X733" t="str">
        <f t="shared" si="23"/>
        <v>Active</v>
      </c>
    </row>
    <row r="734" spans="1:24" x14ac:dyDescent="0.3">
      <c r="A734" s="2">
        <v>733</v>
      </c>
      <c r="B734" s="7">
        <v>21.9</v>
      </c>
      <c r="C734" s="2" t="s">
        <v>11</v>
      </c>
      <c r="D734" s="7">
        <f>IF(ISBLANK('Raw sheet'!D734),AVERAGE('Raw sheet'!$D$2:'Raw sheet'!$D$1500),'Raw sheet'!D734)</f>
        <v>25000</v>
      </c>
      <c r="E734" s="7" t="str">
        <f>IF(Table1[[#This Row],[Family_Income]]&gt;=100000,"Upper",IF(D734&gt;=50000,"Middle","Lower"))</f>
        <v>Lower</v>
      </c>
      <c r="F734" s="2" t="s">
        <v>4</v>
      </c>
      <c r="G734" s="3">
        <f>IF(ISBLANK('Raw sheet'!F734),AVERAGE('Raw sheet'!$F$2:'Raw sheet'!$F$1500),'Raw sheet'!F734)</f>
        <v>6.25</v>
      </c>
      <c r="H734" s="18">
        <v>100</v>
      </c>
      <c r="I734" s="9" t="str">
        <f t="shared" si="22"/>
        <v>Good</v>
      </c>
      <c r="J734" s="2">
        <v>2</v>
      </c>
      <c r="K734" s="2">
        <v>15.8</v>
      </c>
      <c r="L734" s="2" t="s">
        <v>4</v>
      </c>
      <c r="M734" s="2" t="s">
        <v>3</v>
      </c>
      <c r="N734" s="5">
        <f>IF(ISBLANK('Raw sheet'!L734),AVERAGE('Raw sheet'!$L$2:'Raw sheet'!$L$1500),'Raw sheet'!L734)</f>
        <v>3.6</v>
      </c>
      <c r="O734" s="5" t="str">
        <f>IF(Table1[[#This Row],[Stress_Index]]&gt;=8,"High",IF(N734&gt;=5,"Medium","Low"))</f>
        <v>Low</v>
      </c>
      <c r="P734" s="3">
        <v>3.37</v>
      </c>
      <c r="Q734" s="2">
        <v>3.84</v>
      </c>
      <c r="R734" s="3">
        <v>3.84</v>
      </c>
      <c r="S734" s="3" t="str">
        <f>IF(Table1[[#This Row],[CGPA]]&gt;=3,"High",IF(R733&gt;=2,"Medium","Low"))</f>
        <v>High</v>
      </c>
      <c r="T734" s="2" t="s">
        <v>2</v>
      </c>
      <c r="U734" s="2" t="s">
        <v>8</v>
      </c>
      <c r="V734" s="2" t="s">
        <v>9</v>
      </c>
      <c r="W734" s="7">
        <v>0</v>
      </c>
      <c r="X734" t="str">
        <f t="shared" si="23"/>
        <v>Active</v>
      </c>
    </row>
    <row r="735" spans="1:24" x14ac:dyDescent="0.3">
      <c r="A735" s="2">
        <v>734</v>
      </c>
      <c r="B735" s="7">
        <v>17.3</v>
      </c>
      <c r="C735" s="2" t="s">
        <v>11</v>
      </c>
      <c r="D735" s="7">
        <f>IF(ISBLANK('Raw sheet'!D735),AVERAGE('Raw sheet'!$D$2:'Raw sheet'!$D$1500),'Raw sheet'!D735)</f>
        <v>38587.00282087447</v>
      </c>
      <c r="E735" s="7" t="str">
        <f>IF(Table1[[#This Row],[Family_Income]]&gt;=100000,"Upper",IF(D735&gt;=50000,"Middle","Lower"))</f>
        <v>Lower</v>
      </c>
      <c r="F735" s="2" t="s">
        <v>4</v>
      </c>
      <c r="G735" s="3">
        <f>IF(ISBLANK('Raw sheet'!F735),AVERAGE('Raw sheet'!$F$2:'Raw sheet'!$F$1500),'Raw sheet'!F735)</f>
        <v>4.0178702397743278</v>
      </c>
      <c r="H735" s="18">
        <v>91.6</v>
      </c>
      <c r="I735" s="9" t="str">
        <f t="shared" si="22"/>
        <v>Good</v>
      </c>
      <c r="J735" s="2">
        <v>2</v>
      </c>
      <c r="K735" s="2">
        <v>28.1</v>
      </c>
      <c r="L735" s="2" t="s">
        <v>4</v>
      </c>
      <c r="M735" s="2" t="s">
        <v>3</v>
      </c>
      <c r="N735" s="5">
        <f>IF(ISBLANK('Raw sheet'!L735),AVERAGE('Raw sheet'!$L$2:'Raw sheet'!$L$1500),'Raw sheet'!L735)</f>
        <v>5.5242595204513369</v>
      </c>
      <c r="O735" s="5" t="str">
        <f>IF(Table1[[#This Row],[Stress_Index]]&gt;=8,"High",IF(N735&gt;=5,"Medium","Low"))</f>
        <v>Medium</v>
      </c>
      <c r="P735" s="3">
        <v>0</v>
      </c>
      <c r="Q735" s="2">
        <v>0.37</v>
      </c>
      <c r="R735" s="3">
        <v>0.28999999999999998</v>
      </c>
      <c r="S735" s="3" t="str">
        <f>IF(Table1[[#This Row],[CGPA]]&gt;=3,"High",IF(R734&gt;=2,"Medium","Low"))</f>
        <v>Medium</v>
      </c>
      <c r="T735" s="2" t="s">
        <v>7</v>
      </c>
      <c r="U735" s="2" t="s">
        <v>1</v>
      </c>
      <c r="V735" s="2" t="s">
        <v>15</v>
      </c>
      <c r="W735" s="7">
        <v>1</v>
      </c>
      <c r="X735" t="str">
        <f t="shared" si="23"/>
        <v>Dropped Out</v>
      </c>
    </row>
    <row r="736" spans="1:24" x14ac:dyDescent="0.3">
      <c r="A736" s="2">
        <v>735</v>
      </c>
      <c r="B736" s="7">
        <v>23.3</v>
      </c>
      <c r="C736" s="2" t="s">
        <v>5</v>
      </c>
      <c r="D736" s="7">
        <f>IF(ISBLANK('Raw sheet'!D736),AVERAGE('Raw sheet'!$D$2:'Raw sheet'!$D$1500),'Raw sheet'!D736)</f>
        <v>47236</v>
      </c>
      <c r="E736" s="7" t="str">
        <f>IF(Table1[[#This Row],[Family_Income]]&gt;=100000,"Upper",IF(D736&gt;=50000,"Middle","Lower"))</f>
        <v>Lower</v>
      </c>
      <c r="F736" s="2" t="s">
        <v>4</v>
      </c>
      <c r="G736" s="3">
        <f>IF(ISBLANK('Raw sheet'!F736),AVERAGE('Raw sheet'!$F$2:'Raw sheet'!$F$1500),'Raw sheet'!F736)</f>
        <v>3.75</v>
      </c>
      <c r="H736" s="18">
        <v>65.2</v>
      </c>
      <c r="I736" s="9" t="str">
        <f t="shared" si="22"/>
        <v>Low</v>
      </c>
      <c r="J736" s="2">
        <v>4</v>
      </c>
      <c r="K736" s="2">
        <v>25.5</v>
      </c>
      <c r="L736" s="2" t="s">
        <v>3</v>
      </c>
      <c r="M736" s="2" t="s">
        <v>3</v>
      </c>
      <c r="N736" s="5">
        <f>IF(ISBLANK('Raw sheet'!L736),AVERAGE('Raw sheet'!$L$2:'Raw sheet'!$L$1500),'Raw sheet'!L736)</f>
        <v>5.4</v>
      </c>
      <c r="O736" s="5" t="str">
        <f>IF(Table1[[#This Row],[Stress_Index]]&gt;=8,"High",IF(N736&gt;=5,"Medium","Low"))</f>
        <v>Medium</v>
      </c>
      <c r="P736" s="3">
        <v>3.82</v>
      </c>
      <c r="Q736" s="2">
        <v>3.73</v>
      </c>
      <c r="R736" s="3">
        <v>3.73</v>
      </c>
      <c r="S736" s="3" t="str">
        <f>IF(Table1[[#This Row],[CGPA]]&gt;=3,"High",IF(R735&gt;=2,"Medium","Low"))</f>
        <v>High</v>
      </c>
      <c r="T736" s="2" t="s">
        <v>2</v>
      </c>
      <c r="U736" s="2" t="s">
        <v>8</v>
      </c>
      <c r="V736" s="2" t="s">
        <v>9</v>
      </c>
      <c r="W736" s="7">
        <v>0</v>
      </c>
      <c r="X736" t="str">
        <f t="shared" si="23"/>
        <v>Active</v>
      </c>
    </row>
    <row r="737" spans="1:24" x14ac:dyDescent="0.3">
      <c r="A737" s="2">
        <v>736</v>
      </c>
      <c r="B737" s="7">
        <v>22</v>
      </c>
      <c r="C737" s="2" t="s">
        <v>5</v>
      </c>
      <c r="D737" s="7">
        <f>IF(ISBLANK('Raw sheet'!D737),AVERAGE('Raw sheet'!$D$2:'Raw sheet'!$D$1500),'Raw sheet'!D737)</f>
        <v>38587.00282087447</v>
      </c>
      <c r="E737" s="7" t="str">
        <f>IF(Table1[[#This Row],[Family_Income]]&gt;=100000,"Upper",IF(D737&gt;=50000,"Middle","Lower"))</f>
        <v>Lower</v>
      </c>
      <c r="F737" s="2" t="s">
        <v>4</v>
      </c>
      <c r="G737" s="3">
        <f>IF(ISBLANK('Raw sheet'!F737),AVERAGE('Raw sheet'!$F$2:'Raw sheet'!$F$1500),'Raw sheet'!F737)</f>
        <v>4.0178702397743278</v>
      </c>
      <c r="H737" s="18">
        <v>92.9</v>
      </c>
      <c r="I737" s="9" t="str">
        <f t="shared" si="22"/>
        <v>Good</v>
      </c>
      <c r="J737" s="2">
        <v>3</v>
      </c>
      <c r="K737" s="2">
        <v>33.700000000000003</v>
      </c>
      <c r="L737" s="2" t="s">
        <v>3</v>
      </c>
      <c r="M737" s="2" t="s">
        <v>3</v>
      </c>
      <c r="N737" s="5">
        <f>IF(ISBLANK('Raw sheet'!L737),AVERAGE('Raw sheet'!$L$2:'Raw sheet'!$L$1500),'Raw sheet'!L737)</f>
        <v>5.5242595204513369</v>
      </c>
      <c r="O737" s="5" t="str">
        <f>IF(Table1[[#This Row],[Stress_Index]]&gt;=8,"High",IF(N737&gt;=5,"Medium","Low"))</f>
        <v>Medium</v>
      </c>
      <c r="P737" s="3">
        <v>1.69</v>
      </c>
      <c r="Q737" s="2">
        <v>1.94</v>
      </c>
      <c r="R737" s="3">
        <v>1.8</v>
      </c>
      <c r="S737" s="3" t="str">
        <f>IF(Table1[[#This Row],[CGPA]]&gt;=3,"High",IF(R736&gt;=2,"Medium","Low"))</f>
        <v>Medium</v>
      </c>
      <c r="T737" s="2" t="s">
        <v>12</v>
      </c>
      <c r="U737" s="2" t="s">
        <v>6</v>
      </c>
      <c r="V737" s="2" t="s">
        <v>17</v>
      </c>
      <c r="W737" s="7">
        <v>1</v>
      </c>
      <c r="X737" t="str">
        <f t="shared" si="23"/>
        <v>Dropped Out</v>
      </c>
    </row>
    <row r="738" spans="1:24" x14ac:dyDescent="0.3">
      <c r="A738" s="2">
        <v>737</v>
      </c>
      <c r="B738" s="7">
        <v>21.6</v>
      </c>
      <c r="C738" s="2" t="s">
        <v>5</v>
      </c>
      <c r="D738" s="7">
        <f>IF(ISBLANK('Raw sheet'!D738),AVERAGE('Raw sheet'!$D$2:'Raw sheet'!$D$1500),'Raw sheet'!D738)</f>
        <v>25000</v>
      </c>
      <c r="E738" s="7" t="str">
        <f>IF(Table1[[#This Row],[Family_Income]]&gt;=100000,"Upper",IF(D738&gt;=50000,"Middle","Lower"))</f>
        <v>Lower</v>
      </c>
      <c r="F738" s="2" t="s">
        <v>4</v>
      </c>
      <c r="G738" s="3">
        <f>IF(ISBLANK('Raw sheet'!F738),AVERAGE('Raw sheet'!$F$2:'Raw sheet'!$F$1500),'Raw sheet'!F738)</f>
        <v>3.99</v>
      </c>
      <c r="H738" s="18">
        <v>94.8</v>
      </c>
      <c r="I738" s="9" t="str">
        <f t="shared" si="22"/>
        <v>Good</v>
      </c>
      <c r="J738" s="2">
        <v>1</v>
      </c>
      <c r="K738" s="2">
        <v>29.3</v>
      </c>
      <c r="L738" s="2" t="s">
        <v>3</v>
      </c>
      <c r="M738" s="2" t="s">
        <v>3</v>
      </c>
      <c r="N738" s="5">
        <f>IF(ISBLANK('Raw sheet'!L738),AVERAGE('Raw sheet'!$L$2:'Raw sheet'!$L$1500),'Raw sheet'!L738)</f>
        <v>8</v>
      </c>
      <c r="O738" s="5" t="str">
        <f>IF(Table1[[#This Row],[Stress_Index]]&gt;=8,"High",IF(N738&gt;=5,"Medium","Low"))</f>
        <v>High</v>
      </c>
      <c r="P738" s="3">
        <v>1.46</v>
      </c>
      <c r="Q738" s="2">
        <v>1.25</v>
      </c>
      <c r="R738" s="3">
        <v>1.21</v>
      </c>
      <c r="S738" s="3" t="str">
        <f>IF(Table1[[#This Row],[CGPA]]&gt;=3,"High",IF(R737&gt;=2,"Medium","Low"))</f>
        <v>Low</v>
      </c>
      <c r="T738" s="2" t="s">
        <v>12</v>
      </c>
      <c r="U738" s="2" t="s">
        <v>8</v>
      </c>
      <c r="V738" s="2" t="s">
        <v>15</v>
      </c>
      <c r="W738" s="7">
        <v>0</v>
      </c>
      <c r="X738" t="str">
        <f t="shared" si="23"/>
        <v>Active</v>
      </c>
    </row>
    <row r="739" spans="1:24" x14ac:dyDescent="0.3">
      <c r="A739" s="2">
        <v>738</v>
      </c>
      <c r="B739" s="7">
        <v>23.2</v>
      </c>
      <c r="C739" s="2" t="s">
        <v>5</v>
      </c>
      <c r="D739" s="7">
        <f>IF(ISBLANK('Raw sheet'!D739),AVERAGE('Raw sheet'!$D$2:'Raw sheet'!$D$1500),'Raw sheet'!D739)</f>
        <v>45967</v>
      </c>
      <c r="E739" s="7" t="str">
        <f>IF(Table1[[#This Row],[Family_Income]]&gt;=100000,"Upper",IF(D739&gt;=50000,"Middle","Lower"))</f>
        <v>Lower</v>
      </c>
      <c r="F739" s="2" t="s">
        <v>4</v>
      </c>
      <c r="G739" s="3">
        <f>IF(ISBLANK('Raw sheet'!F739),AVERAGE('Raw sheet'!$F$2:'Raw sheet'!$F$1500),'Raw sheet'!F739)</f>
        <v>3.26</v>
      </c>
      <c r="H739" s="18">
        <v>91.6</v>
      </c>
      <c r="I739" s="9" t="str">
        <f t="shared" si="22"/>
        <v>Good</v>
      </c>
      <c r="J739" s="2">
        <v>3</v>
      </c>
      <c r="K739" s="2">
        <v>35.799999999999997</v>
      </c>
      <c r="L739" s="2" t="s">
        <v>4</v>
      </c>
      <c r="M739" s="2" t="s">
        <v>3</v>
      </c>
      <c r="N739" s="5">
        <f>IF(ISBLANK('Raw sheet'!L739),AVERAGE('Raw sheet'!$L$2:'Raw sheet'!$L$1500),'Raw sheet'!L739)</f>
        <v>2.4</v>
      </c>
      <c r="O739" s="5" t="str">
        <f>IF(Table1[[#This Row],[Stress_Index]]&gt;=8,"High",IF(N739&gt;=5,"Medium","Low"))</f>
        <v>Low</v>
      </c>
      <c r="P739" s="3">
        <v>1.1399999999999999</v>
      </c>
      <c r="Q739" s="2">
        <v>0.66</v>
      </c>
      <c r="R739" s="3">
        <v>0.56999999999999995</v>
      </c>
      <c r="S739" s="3" t="str">
        <f>IF(Table1[[#This Row],[CGPA]]&gt;=3,"High",IF(R738&gt;=2,"Medium","Low"))</f>
        <v>Low</v>
      </c>
      <c r="T739" s="2" t="s">
        <v>12</v>
      </c>
      <c r="U739" s="2" t="s">
        <v>1</v>
      </c>
      <c r="V739" s="2" t="s">
        <v>9</v>
      </c>
      <c r="W739" s="7">
        <v>0</v>
      </c>
      <c r="X739" t="str">
        <f t="shared" si="23"/>
        <v>Active</v>
      </c>
    </row>
    <row r="740" spans="1:24" x14ac:dyDescent="0.3">
      <c r="A740" s="2">
        <v>739</v>
      </c>
      <c r="B740" s="7">
        <v>24.7</v>
      </c>
      <c r="C740" s="2" t="s">
        <v>11</v>
      </c>
      <c r="D740" s="7">
        <f>IF(ISBLANK('Raw sheet'!D740),AVERAGE('Raw sheet'!$D$2:'Raw sheet'!$D$1500),'Raw sheet'!D740)</f>
        <v>92492</v>
      </c>
      <c r="E740" s="7" t="str">
        <f>IF(Table1[[#This Row],[Family_Income]]&gt;=100000,"Upper",IF(D740&gt;=50000,"Middle","Lower"))</f>
        <v>Middle</v>
      </c>
      <c r="F740" s="2" t="s">
        <v>4</v>
      </c>
      <c r="G740" s="3">
        <f>IF(ISBLANK('Raw sheet'!F740),AVERAGE('Raw sheet'!$F$2:'Raw sheet'!$F$1500),'Raw sheet'!F740)</f>
        <v>3.36</v>
      </c>
      <c r="H740" s="18">
        <v>88</v>
      </c>
      <c r="I740" s="9" t="str">
        <f t="shared" si="22"/>
        <v>Good</v>
      </c>
      <c r="J740" s="2">
        <v>3</v>
      </c>
      <c r="K740" s="2">
        <v>25.7</v>
      </c>
      <c r="L740" s="2" t="s">
        <v>4</v>
      </c>
      <c r="M740" s="2" t="s">
        <v>3</v>
      </c>
      <c r="N740" s="5">
        <f>IF(ISBLANK('Raw sheet'!L740),AVERAGE('Raw sheet'!$L$2:'Raw sheet'!$L$1500),'Raw sheet'!L740)</f>
        <v>2.7</v>
      </c>
      <c r="O740" s="5" t="str">
        <f>IF(Table1[[#This Row],[Stress_Index]]&gt;=8,"High",IF(N740&gt;=5,"Medium","Low"))</f>
        <v>Low</v>
      </c>
      <c r="P740" s="3">
        <v>4</v>
      </c>
      <c r="Q740" s="2">
        <v>4</v>
      </c>
      <c r="R740" s="3">
        <v>4</v>
      </c>
      <c r="S740" s="3" t="str">
        <f>IF(Table1[[#This Row],[CGPA]]&gt;=3,"High",IF(R739&gt;=2,"Medium","Low"))</f>
        <v>High</v>
      </c>
      <c r="T740" s="2" t="s">
        <v>7</v>
      </c>
      <c r="U740" s="2" t="s">
        <v>6</v>
      </c>
      <c r="V740" s="2" t="s">
        <v>9</v>
      </c>
      <c r="W740" s="7">
        <v>0</v>
      </c>
      <c r="X740" t="str">
        <f t="shared" si="23"/>
        <v>Active</v>
      </c>
    </row>
    <row r="741" spans="1:24" x14ac:dyDescent="0.3">
      <c r="A741" s="2">
        <v>740</v>
      </c>
      <c r="B741" s="7">
        <v>23.2</v>
      </c>
      <c r="C741" s="2" t="s">
        <v>11</v>
      </c>
      <c r="D741" s="7">
        <f>IF(ISBLANK('Raw sheet'!D741),AVERAGE('Raw sheet'!$D$2:'Raw sheet'!$D$1500),'Raw sheet'!D741)</f>
        <v>35609</v>
      </c>
      <c r="E741" s="7" t="str">
        <f>IF(Table1[[#This Row],[Family_Income]]&gt;=100000,"Upper",IF(D741&gt;=50000,"Middle","Lower"))</f>
        <v>Lower</v>
      </c>
      <c r="F741" s="2" t="s">
        <v>3</v>
      </c>
      <c r="G741" s="3">
        <f>IF(ISBLANK('Raw sheet'!F741),AVERAGE('Raw sheet'!$F$2:'Raw sheet'!$F$1500),'Raw sheet'!F741)</f>
        <v>5.36</v>
      </c>
      <c r="H741" s="18">
        <v>94.4</v>
      </c>
      <c r="I741" s="9" t="str">
        <f t="shared" si="22"/>
        <v>Good</v>
      </c>
      <c r="J741" s="2">
        <v>1</v>
      </c>
      <c r="K741" s="2">
        <v>50.5</v>
      </c>
      <c r="L741" s="2" t="s">
        <v>3</v>
      </c>
      <c r="M741" s="2" t="s">
        <v>3</v>
      </c>
      <c r="N741" s="5">
        <f>IF(ISBLANK('Raw sheet'!L741),AVERAGE('Raw sheet'!$L$2:'Raw sheet'!$L$1500),'Raw sheet'!L741)</f>
        <v>4.9000000000000004</v>
      </c>
      <c r="O741" s="5" t="str">
        <f>IF(Table1[[#This Row],[Stress_Index]]&gt;=8,"High",IF(N741&gt;=5,"Medium","Low"))</f>
        <v>Low</v>
      </c>
      <c r="P741" s="3">
        <v>2.64</v>
      </c>
      <c r="Q741" s="2">
        <v>2.58</v>
      </c>
      <c r="R741" s="3">
        <v>2.57</v>
      </c>
      <c r="S741" s="3" t="str">
        <f>IF(Table1[[#This Row],[CGPA]]&gt;=3,"High",IF(R740&gt;=2,"Medium","Low"))</f>
        <v>Medium</v>
      </c>
      <c r="T741" s="2" t="s">
        <v>7</v>
      </c>
      <c r="U741" s="2" t="s">
        <v>14</v>
      </c>
      <c r="V741" s="2" t="s">
        <v>9</v>
      </c>
      <c r="W741" s="7">
        <v>0</v>
      </c>
      <c r="X741" t="str">
        <f t="shared" si="23"/>
        <v>Active</v>
      </c>
    </row>
    <row r="742" spans="1:24" x14ac:dyDescent="0.3">
      <c r="A742" s="2">
        <v>741</v>
      </c>
      <c r="B742" s="7">
        <v>17</v>
      </c>
      <c r="C742" s="2" t="s">
        <v>5</v>
      </c>
      <c r="D742" s="7">
        <f>IF(ISBLANK('Raw sheet'!D742),AVERAGE('Raw sheet'!$D$2:'Raw sheet'!$D$1500),'Raw sheet'!D742)</f>
        <v>25000</v>
      </c>
      <c r="E742" s="7" t="str">
        <f>IF(Table1[[#This Row],[Family_Income]]&gt;=100000,"Upper",IF(D742&gt;=50000,"Middle","Lower"))</f>
        <v>Lower</v>
      </c>
      <c r="F742" s="2" t="s">
        <v>4</v>
      </c>
      <c r="G742" s="3">
        <f>IF(ISBLANK('Raw sheet'!F742),AVERAGE('Raw sheet'!$F$2:'Raw sheet'!$F$1500),'Raw sheet'!F742)</f>
        <v>7.37</v>
      </c>
      <c r="H742" s="18">
        <v>89.1</v>
      </c>
      <c r="I742" s="9" t="str">
        <f t="shared" si="22"/>
        <v>Good</v>
      </c>
      <c r="J742" s="2">
        <v>1</v>
      </c>
      <c r="K742" s="2">
        <v>37</v>
      </c>
      <c r="L742" s="2" t="s">
        <v>4</v>
      </c>
      <c r="M742" s="2" t="s">
        <v>4</v>
      </c>
      <c r="N742" s="5">
        <f>IF(ISBLANK('Raw sheet'!L742),AVERAGE('Raw sheet'!$L$2:'Raw sheet'!$L$1500),'Raw sheet'!L742)</f>
        <v>4.5</v>
      </c>
      <c r="O742" s="5" t="str">
        <f>IF(Table1[[#This Row],[Stress_Index]]&gt;=8,"High",IF(N742&gt;=5,"Medium","Low"))</f>
        <v>Low</v>
      </c>
      <c r="P742" s="3">
        <v>4</v>
      </c>
      <c r="Q742" s="2">
        <v>3.65</v>
      </c>
      <c r="R742" s="3">
        <v>3.68</v>
      </c>
      <c r="S742" s="3" t="str">
        <f>IF(Table1[[#This Row],[CGPA]]&gt;=3,"High",IF(R741&gt;=2,"Medium","Low"))</f>
        <v>High</v>
      </c>
      <c r="T742" s="2" t="s">
        <v>10</v>
      </c>
      <c r="U742" s="2" t="s">
        <v>6</v>
      </c>
      <c r="V742" s="2" t="s">
        <v>9</v>
      </c>
      <c r="W742" s="7">
        <v>0</v>
      </c>
      <c r="X742" t="str">
        <f t="shared" si="23"/>
        <v>Active</v>
      </c>
    </row>
    <row r="743" spans="1:24" x14ac:dyDescent="0.3">
      <c r="A743" s="2">
        <v>742</v>
      </c>
      <c r="B743" s="7">
        <v>18.2</v>
      </c>
      <c r="C743" s="2" t="s">
        <v>11</v>
      </c>
      <c r="D743" s="7">
        <f>IF(ISBLANK('Raw sheet'!D743),AVERAGE('Raw sheet'!$D$2:'Raw sheet'!$D$1500),'Raw sheet'!D743)</f>
        <v>26533</v>
      </c>
      <c r="E743" s="7" t="str">
        <f>IF(Table1[[#This Row],[Family_Income]]&gt;=100000,"Upper",IF(D743&gt;=50000,"Middle","Lower"))</f>
        <v>Lower</v>
      </c>
      <c r="F743" s="2" t="s">
        <v>4</v>
      </c>
      <c r="G743" s="3">
        <f>IF(ISBLANK('Raw sheet'!F743),AVERAGE('Raw sheet'!$F$2:'Raw sheet'!$F$1500),'Raw sheet'!F743)</f>
        <v>2.9</v>
      </c>
      <c r="H743" s="18">
        <v>86.6</v>
      </c>
      <c r="I743" s="9" t="str">
        <f t="shared" si="22"/>
        <v>Good</v>
      </c>
      <c r="J743" s="2">
        <v>3</v>
      </c>
      <c r="K743" s="2">
        <v>21.5</v>
      </c>
      <c r="L743" s="2" t="s">
        <v>4</v>
      </c>
      <c r="M743" s="2" t="s">
        <v>4</v>
      </c>
      <c r="N743" s="5">
        <f>IF(ISBLANK('Raw sheet'!L743),AVERAGE('Raw sheet'!$L$2:'Raw sheet'!$L$1500),'Raw sheet'!L743)</f>
        <v>6.1</v>
      </c>
      <c r="O743" s="5" t="str">
        <f>IF(Table1[[#This Row],[Stress_Index]]&gt;=8,"High",IF(N743&gt;=5,"Medium","Low"))</f>
        <v>Medium</v>
      </c>
      <c r="P743" s="3">
        <v>2.52</v>
      </c>
      <c r="Q743" s="2">
        <v>2.4700000000000002</v>
      </c>
      <c r="R743" s="3">
        <v>2.4700000000000002</v>
      </c>
      <c r="S743" s="3" t="str">
        <f>IF(Table1[[#This Row],[CGPA]]&gt;=3,"High",IF(R742&gt;=2,"Medium","Low"))</f>
        <v>Medium</v>
      </c>
      <c r="T743" s="2" t="s">
        <v>2</v>
      </c>
      <c r="U743" s="2" t="s">
        <v>14</v>
      </c>
      <c r="V743" s="2" t="s">
        <v>9</v>
      </c>
      <c r="W743" s="7">
        <v>0</v>
      </c>
      <c r="X743" t="str">
        <f t="shared" si="23"/>
        <v>Active</v>
      </c>
    </row>
    <row r="744" spans="1:24" x14ac:dyDescent="0.3">
      <c r="A744" s="2">
        <v>743</v>
      </c>
      <c r="B744" s="7">
        <v>19.600000000000001</v>
      </c>
      <c r="C744" s="2" t="s">
        <v>5</v>
      </c>
      <c r="D744" s="7">
        <f>IF(ISBLANK('Raw sheet'!D744),AVERAGE('Raw sheet'!$D$2:'Raw sheet'!$D$1500),'Raw sheet'!D744)</f>
        <v>134837</v>
      </c>
      <c r="E744" s="7" t="str">
        <f>IF(Table1[[#This Row],[Family_Income]]&gt;=100000,"Upper",IF(D744&gt;=50000,"Middle","Lower"))</f>
        <v>Upper</v>
      </c>
      <c r="F744" s="2" t="s">
        <v>4</v>
      </c>
      <c r="G744" s="3">
        <f>IF(ISBLANK('Raw sheet'!F744),AVERAGE('Raw sheet'!$F$2:'Raw sheet'!$F$1500),'Raw sheet'!F744)</f>
        <v>3.3</v>
      </c>
      <c r="H744" s="18">
        <v>83.1</v>
      </c>
      <c r="I744" s="9" t="str">
        <f t="shared" si="22"/>
        <v>Good</v>
      </c>
      <c r="J744" s="2">
        <v>1</v>
      </c>
      <c r="K744" s="2">
        <v>42</v>
      </c>
      <c r="L744" s="2" t="s">
        <v>3</v>
      </c>
      <c r="M744" s="2" t="s">
        <v>4</v>
      </c>
      <c r="N744" s="5">
        <f>IF(ISBLANK('Raw sheet'!L744),AVERAGE('Raw sheet'!$L$2:'Raw sheet'!$L$1500),'Raw sheet'!L744)</f>
        <v>2</v>
      </c>
      <c r="O744" s="5" t="str">
        <f>IF(Table1[[#This Row],[Stress_Index]]&gt;=8,"High",IF(N744&gt;=5,"Medium","Low"))</f>
        <v>Low</v>
      </c>
      <c r="P744" s="3">
        <v>4</v>
      </c>
      <c r="Q744" s="2">
        <v>3.77</v>
      </c>
      <c r="R744" s="3">
        <v>3.82</v>
      </c>
      <c r="S744" s="3" t="str">
        <f>IF(Table1[[#This Row],[CGPA]]&gt;=3,"High",IF(R743&gt;=2,"Medium","Low"))</f>
        <v>High</v>
      </c>
      <c r="T744" s="2" t="s">
        <v>12</v>
      </c>
      <c r="U744" s="2" t="s">
        <v>14</v>
      </c>
      <c r="V744" s="2" t="s">
        <v>9</v>
      </c>
      <c r="W744" s="7">
        <v>0</v>
      </c>
      <c r="X744" t="str">
        <f t="shared" si="23"/>
        <v>Active</v>
      </c>
    </row>
    <row r="745" spans="1:24" x14ac:dyDescent="0.3">
      <c r="A745" s="2">
        <v>744</v>
      </c>
      <c r="B745" s="7">
        <v>21.1</v>
      </c>
      <c r="C745" s="2" t="s">
        <v>5</v>
      </c>
      <c r="D745" s="7">
        <f>IF(ISBLANK('Raw sheet'!D745),AVERAGE('Raw sheet'!$D$2:'Raw sheet'!$D$1500),'Raw sheet'!D745)</f>
        <v>32239</v>
      </c>
      <c r="E745" s="7" t="str">
        <f>IF(Table1[[#This Row],[Family_Income]]&gt;=100000,"Upper",IF(D745&gt;=50000,"Middle","Lower"))</f>
        <v>Lower</v>
      </c>
      <c r="F745" s="2" t="s">
        <v>4</v>
      </c>
      <c r="G745" s="3">
        <f>IF(ISBLANK('Raw sheet'!F745),AVERAGE('Raw sheet'!$F$2:'Raw sheet'!$F$1500),'Raw sheet'!F745)</f>
        <v>3.27</v>
      </c>
      <c r="H745" s="18">
        <v>73.400000000000006</v>
      </c>
      <c r="I745" s="9" t="str">
        <f t="shared" si="22"/>
        <v>Low</v>
      </c>
      <c r="J745" s="2">
        <v>2</v>
      </c>
      <c r="K745" s="2">
        <v>16.100000000000001</v>
      </c>
      <c r="L745" s="2" t="s">
        <v>3</v>
      </c>
      <c r="M745" s="2" t="s">
        <v>3</v>
      </c>
      <c r="N745" s="5">
        <f>IF(ISBLANK('Raw sheet'!L745),AVERAGE('Raw sheet'!$L$2:'Raw sheet'!$L$1500),'Raw sheet'!L745)</f>
        <v>6.1</v>
      </c>
      <c r="O745" s="5" t="str">
        <f>IF(Table1[[#This Row],[Stress_Index]]&gt;=8,"High",IF(N745&gt;=5,"Medium","Low"))</f>
        <v>Medium</v>
      </c>
      <c r="P745" s="3">
        <v>1.27</v>
      </c>
      <c r="Q745" s="2">
        <v>1.73</v>
      </c>
      <c r="R745" s="3">
        <v>1.78</v>
      </c>
      <c r="S745" s="3" t="str">
        <f>IF(Table1[[#This Row],[CGPA]]&gt;=3,"High",IF(R744&gt;=2,"Medium","Low"))</f>
        <v>Medium</v>
      </c>
      <c r="T745" s="2" t="s">
        <v>10</v>
      </c>
      <c r="U745" s="2" t="s">
        <v>6</v>
      </c>
      <c r="V745" s="2" t="s">
        <v>15</v>
      </c>
      <c r="W745" s="7">
        <v>0</v>
      </c>
      <c r="X745" t="str">
        <f t="shared" si="23"/>
        <v>Active</v>
      </c>
    </row>
    <row r="746" spans="1:24" x14ac:dyDescent="0.3">
      <c r="A746" s="2">
        <v>745</v>
      </c>
      <c r="B746" s="7">
        <v>22.1</v>
      </c>
      <c r="C746" s="2" t="s">
        <v>5</v>
      </c>
      <c r="D746" s="7">
        <f>IF(ISBLANK('Raw sheet'!D746),AVERAGE('Raw sheet'!$D$2:'Raw sheet'!$D$1500),'Raw sheet'!D746)</f>
        <v>25000</v>
      </c>
      <c r="E746" s="7" t="str">
        <f>IF(Table1[[#This Row],[Family_Income]]&gt;=100000,"Upper",IF(D746&gt;=50000,"Middle","Lower"))</f>
        <v>Lower</v>
      </c>
      <c r="F746" s="2" t="s">
        <v>4</v>
      </c>
      <c r="G746" s="3">
        <f>IF(ISBLANK('Raw sheet'!F746),AVERAGE('Raw sheet'!$F$2:'Raw sheet'!$F$1500),'Raw sheet'!F746)</f>
        <v>6.07</v>
      </c>
      <c r="H746" s="18">
        <v>71</v>
      </c>
      <c r="I746" s="9" t="str">
        <f t="shared" si="22"/>
        <v>Low</v>
      </c>
      <c r="J746" s="2">
        <v>3</v>
      </c>
      <c r="K746" s="2">
        <v>19.7</v>
      </c>
      <c r="L746" s="2" t="s">
        <v>3</v>
      </c>
      <c r="M746" s="2" t="s">
        <v>3</v>
      </c>
      <c r="N746" s="5">
        <f>IF(ISBLANK('Raw sheet'!L746),AVERAGE('Raw sheet'!$L$2:'Raw sheet'!$L$1500),'Raw sheet'!L746)</f>
        <v>7.8</v>
      </c>
      <c r="O746" s="5" t="str">
        <f>IF(Table1[[#This Row],[Stress_Index]]&gt;=8,"High",IF(N746&gt;=5,"Medium","Low"))</f>
        <v>Medium</v>
      </c>
      <c r="P746" s="3">
        <v>1.05</v>
      </c>
      <c r="Q746" s="2">
        <v>0.83</v>
      </c>
      <c r="R746" s="3">
        <v>0.8</v>
      </c>
      <c r="S746" s="3" t="str">
        <f>IF(Table1[[#This Row],[CGPA]]&gt;=3,"High",IF(R745&gt;=2,"Medium","Low"))</f>
        <v>Low</v>
      </c>
      <c r="T746" s="2" t="s">
        <v>12</v>
      </c>
      <c r="U746" s="2" t="s">
        <v>8</v>
      </c>
      <c r="V746" s="2" t="s">
        <v>0</v>
      </c>
      <c r="W746" s="7">
        <v>1</v>
      </c>
      <c r="X746" t="str">
        <f t="shared" si="23"/>
        <v>Dropped Out</v>
      </c>
    </row>
    <row r="747" spans="1:24" x14ac:dyDescent="0.3">
      <c r="A747" s="2">
        <v>746</v>
      </c>
      <c r="B747" s="7">
        <v>19.399999999999999</v>
      </c>
      <c r="C747" s="2" t="s">
        <v>5</v>
      </c>
      <c r="D747" s="7">
        <f>IF(ISBLANK('Raw sheet'!D747),AVERAGE('Raw sheet'!$D$2:'Raw sheet'!$D$1500),'Raw sheet'!D747)</f>
        <v>25000</v>
      </c>
      <c r="E747" s="7" t="str">
        <f>IF(Table1[[#This Row],[Family_Income]]&gt;=100000,"Upper",IF(D747&gt;=50000,"Middle","Lower"))</f>
        <v>Lower</v>
      </c>
      <c r="F747" s="2" t="s">
        <v>4</v>
      </c>
      <c r="G747" s="3">
        <f>IF(ISBLANK('Raw sheet'!F747),AVERAGE('Raw sheet'!$F$2:'Raw sheet'!$F$1500),'Raw sheet'!F747)</f>
        <v>4.99</v>
      </c>
      <c r="H747" s="18">
        <v>88.2</v>
      </c>
      <c r="I747" s="9" t="str">
        <f t="shared" si="22"/>
        <v>Good</v>
      </c>
      <c r="J747" s="2">
        <v>1</v>
      </c>
      <c r="K747" s="2">
        <v>20.399999999999999</v>
      </c>
      <c r="L747" s="2" t="s">
        <v>3</v>
      </c>
      <c r="M747" s="2" t="s">
        <v>3</v>
      </c>
      <c r="N747" s="5">
        <f>IF(ISBLANK('Raw sheet'!L747),AVERAGE('Raw sheet'!$L$2:'Raw sheet'!$L$1500),'Raw sheet'!L747)</f>
        <v>3.7</v>
      </c>
      <c r="O747" s="5" t="str">
        <f>IF(Table1[[#This Row],[Stress_Index]]&gt;=8,"High",IF(N747&gt;=5,"Medium","Low"))</f>
        <v>Low</v>
      </c>
      <c r="P747" s="3">
        <v>2.37</v>
      </c>
      <c r="Q747" s="2">
        <v>1.57</v>
      </c>
      <c r="R747" s="3">
        <v>1.57</v>
      </c>
      <c r="S747" s="3" t="str">
        <f>IF(Table1[[#This Row],[CGPA]]&gt;=3,"High",IF(R746&gt;=2,"Medium","Low"))</f>
        <v>Low</v>
      </c>
      <c r="T747" s="2" t="s">
        <v>2</v>
      </c>
      <c r="U747" s="2" t="s">
        <v>13</v>
      </c>
      <c r="V747" s="2" t="s">
        <v>9</v>
      </c>
      <c r="W747" s="7">
        <v>0</v>
      </c>
      <c r="X747" t="str">
        <f t="shared" si="23"/>
        <v>Active</v>
      </c>
    </row>
    <row r="748" spans="1:24" x14ac:dyDescent="0.3">
      <c r="A748" s="2">
        <v>747</v>
      </c>
      <c r="B748" s="7">
        <v>21.4</v>
      </c>
      <c r="C748" s="2" t="s">
        <v>11</v>
      </c>
      <c r="D748" s="7">
        <f>IF(ISBLANK('Raw sheet'!D748),AVERAGE('Raw sheet'!$D$2:'Raw sheet'!$D$1500),'Raw sheet'!D748)</f>
        <v>25000</v>
      </c>
      <c r="E748" s="7" t="str">
        <f>IF(Table1[[#This Row],[Family_Income]]&gt;=100000,"Upper",IF(D748&gt;=50000,"Middle","Lower"))</f>
        <v>Lower</v>
      </c>
      <c r="F748" s="2" t="s">
        <v>4</v>
      </c>
      <c r="G748" s="3">
        <f>IF(ISBLANK('Raw sheet'!F748),AVERAGE('Raw sheet'!$F$2:'Raw sheet'!$F$1500),'Raw sheet'!F748)</f>
        <v>3.67</v>
      </c>
      <c r="H748" s="18">
        <v>88</v>
      </c>
      <c r="I748" s="9" t="str">
        <f t="shared" si="22"/>
        <v>Good</v>
      </c>
      <c r="J748" s="2">
        <v>1</v>
      </c>
      <c r="K748" s="2">
        <v>45.9</v>
      </c>
      <c r="L748" s="2" t="s">
        <v>3</v>
      </c>
      <c r="M748" s="2" t="s">
        <v>3</v>
      </c>
      <c r="N748" s="5">
        <f>IF(ISBLANK('Raw sheet'!L748),AVERAGE('Raw sheet'!$L$2:'Raw sheet'!$L$1500),'Raw sheet'!L748)</f>
        <v>4.8</v>
      </c>
      <c r="O748" s="5" t="str">
        <f>IF(Table1[[#This Row],[Stress_Index]]&gt;=8,"High",IF(N748&gt;=5,"Medium","Low"))</f>
        <v>Low</v>
      </c>
      <c r="P748" s="3">
        <v>2.4700000000000002</v>
      </c>
      <c r="Q748" s="2">
        <v>2.7</v>
      </c>
      <c r="R748" s="3">
        <v>2.69</v>
      </c>
      <c r="S748" s="3" t="str">
        <f>IF(Table1[[#This Row],[CGPA]]&gt;=3,"High",IF(R747&gt;=2,"Medium","Low"))</f>
        <v>Low</v>
      </c>
      <c r="T748" s="2" t="s">
        <v>7</v>
      </c>
      <c r="U748" s="2" t="s">
        <v>1</v>
      </c>
      <c r="V748" s="2" t="s">
        <v>15</v>
      </c>
      <c r="W748" s="7">
        <v>0</v>
      </c>
      <c r="X748" t="str">
        <f t="shared" si="23"/>
        <v>Active</v>
      </c>
    </row>
    <row r="749" spans="1:24" x14ac:dyDescent="0.3">
      <c r="A749" s="2">
        <v>748</v>
      </c>
      <c r="B749" s="7">
        <v>19.3</v>
      </c>
      <c r="C749" s="2" t="s">
        <v>5</v>
      </c>
      <c r="D749" s="7">
        <f>IF(ISBLANK('Raw sheet'!D749),AVERAGE('Raw sheet'!$D$2:'Raw sheet'!$D$1500),'Raw sheet'!D749)</f>
        <v>36981</v>
      </c>
      <c r="E749" s="7" t="str">
        <f>IF(Table1[[#This Row],[Family_Income]]&gt;=100000,"Upper",IF(D749&gt;=50000,"Middle","Lower"))</f>
        <v>Lower</v>
      </c>
      <c r="F749" s="2" t="s">
        <v>4</v>
      </c>
      <c r="G749" s="3">
        <f>IF(ISBLANK('Raw sheet'!F749),AVERAGE('Raw sheet'!$F$2:'Raw sheet'!$F$1500),'Raw sheet'!F749)</f>
        <v>3.35</v>
      </c>
      <c r="H749" s="18">
        <v>81.7</v>
      </c>
      <c r="I749" s="9" t="str">
        <f t="shared" si="22"/>
        <v>Good</v>
      </c>
      <c r="J749" s="2">
        <v>0</v>
      </c>
      <c r="K749" s="2">
        <v>27.9</v>
      </c>
      <c r="L749" s="2" t="s">
        <v>4</v>
      </c>
      <c r="M749" s="2" t="s">
        <v>3</v>
      </c>
      <c r="N749" s="5">
        <f>IF(ISBLANK('Raw sheet'!L749),AVERAGE('Raw sheet'!$L$2:'Raw sheet'!$L$1500),'Raw sheet'!L749)</f>
        <v>4.0999999999999996</v>
      </c>
      <c r="O749" s="5" t="str">
        <f>IF(Table1[[#This Row],[Stress_Index]]&gt;=8,"High",IF(N749&gt;=5,"Medium","Low"))</f>
        <v>Low</v>
      </c>
      <c r="P749" s="3">
        <v>1.71</v>
      </c>
      <c r="Q749" s="2">
        <v>2.1800000000000002</v>
      </c>
      <c r="R749" s="3">
        <v>2.12</v>
      </c>
      <c r="S749" s="3" t="str">
        <f>IF(Table1[[#This Row],[CGPA]]&gt;=3,"High",IF(R748&gt;=2,"Medium","Low"))</f>
        <v>Medium</v>
      </c>
      <c r="T749" s="2" t="s">
        <v>7</v>
      </c>
      <c r="U749" s="2" t="s">
        <v>13</v>
      </c>
      <c r="V749" s="2" t="s">
        <v>9</v>
      </c>
      <c r="W749" s="7">
        <v>0</v>
      </c>
      <c r="X749" t="str">
        <f t="shared" si="23"/>
        <v>Active</v>
      </c>
    </row>
    <row r="750" spans="1:24" x14ac:dyDescent="0.3">
      <c r="A750" s="2">
        <v>749</v>
      </c>
      <c r="B750" s="7">
        <v>19.7</v>
      </c>
      <c r="C750" s="2" t="s">
        <v>5</v>
      </c>
      <c r="D750" s="7">
        <f>IF(ISBLANK('Raw sheet'!D750),AVERAGE('Raw sheet'!$D$2:'Raw sheet'!$D$1500),'Raw sheet'!D750)</f>
        <v>44037</v>
      </c>
      <c r="E750" s="7" t="str">
        <f>IF(Table1[[#This Row],[Family_Income]]&gt;=100000,"Upper",IF(D750&gt;=50000,"Middle","Lower"))</f>
        <v>Lower</v>
      </c>
      <c r="F750" s="2" t="s">
        <v>4</v>
      </c>
      <c r="G750" s="3">
        <f>IF(ISBLANK('Raw sheet'!F750),AVERAGE('Raw sheet'!$F$2:'Raw sheet'!$F$1500),'Raw sheet'!F750)</f>
        <v>6.03</v>
      </c>
      <c r="H750" s="18">
        <v>75.099999999999994</v>
      </c>
      <c r="I750" s="9" t="str">
        <f t="shared" si="22"/>
        <v>Good</v>
      </c>
      <c r="J750" s="2">
        <v>2</v>
      </c>
      <c r="K750" s="2">
        <v>22.5</v>
      </c>
      <c r="L750" s="2" t="s">
        <v>4</v>
      </c>
      <c r="M750" s="2" t="s">
        <v>4</v>
      </c>
      <c r="N750" s="5">
        <f>IF(ISBLANK('Raw sheet'!L750),AVERAGE('Raw sheet'!$L$2:'Raw sheet'!$L$1500),'Raw sheet'!L750)</f>
        <v>6.1</v>
      </c>
      <c r="O750" s="5" t="str">
        <f>IF(Table1[[#This Row],[Stress_Index]]&gt;=8,"High",IF(N750&gt;=5,"Medium","Low"))</f>
        <v>Medium</v>
      </c>
      <c r="P750" s="3">
        <v>1.56</v>
      </c>
      <c r="Q750" s="2">
        <v>1.9</v>
      </c>
      <c r="R750" s="3">
        <v>1.9</v>
      </c>
      <c r="S750" s="3" t="str">
        <f>IF(Table1[[#This Row],[CGPA]]&gt;=3,"High",IF(R749&gt;=2,"Medium","Low"))</f>
        <v>Medium</v>
      </c>
      <c r="T750" s="2" t="s">
        <v>7</v>
      </c>
      <c r="U750" s="2" t="s">
        <v>1</v>
      </c>
      <c r="V750" s="2" t="s">
        <v>9</v>
      </c>
      <c r="W750" s="7">
        <v>0</v>
      </c>
      <c r="X750" t="str">
        <f t="shared" si="23"/>
        <v>Active</v>
      </c>
    </row>
    <row r="751" spans="1:24" x14ac:dyDescent="0.3">
      <c r="A751" s="2">
        <v>750</v>
      </c>
      <c r="B751" s="7">
        <v>17.899999999999999</v>
      </c>
      <c r="C751" s="2" t="s">
        <v>11</v>
      </c>
      <c r="D751" s="7">
        <f>IF(ISBLANK('Raw sheet'!D751),AVERAGE('Raw sheet'!$D$2:'Raw sheet'!$D$1500),'Raw sheet'!D751)</f>
        <v>25000</v>
      </c>
      <c r="E751" s="7" t="str">
        <f>IF(Table1[[#This Row],[Family_Income]]&gt;=100000,"Upper",IF(D751&gt;=50000,"Middle","Lower"))</f>
        <v>Lower</v>
      </c>
      <c r="F751" s="2" t="s">
        <v>4</v>
      </c>
      <c r="G751" s="3">
        <f>IF(ISBLANK('Raw sheet'!F751),AVERAGE('Raw sheet'!$F$2:'Raw sheet'!$F$1500),'Raw sheet'!F751)</f>
        <v>4.05</v>
      </c>
      <c r="H751" s="18">
        <v>73</v>
      </c>
      <c r="I751" s="9" t="str">
        <f t="shared" si="22"/>
        <v>Low</v>
      </c>
      <c r="J751" s="2">
        <v>1</v>
      </c>
      <c r="K751" s="2">
        <v>32</v>
      </c>
      <c r="L751" s="2" t="s">
        <v>4</v>
      </c>
      <c r="M751" s="2" t="s">
        <v>4</v>
      </c>
      <c r="N751" s="5">
        <f>IF(ISBLANK('Raw sheet'!L751),AVERAGE('Raw sheet'!$L$2:'Raw sheet'!$L$1500),'Raw sheet'!L751)</f>
        <v>3.6</v>
      </c>
      <c r="O751" s="5" t="str">
        <f>IF(Table1[[#This Row],[Stress_Index]]&gt;=8,"High",IF(N751&gt;=5,"Medium","Low"))</f>
        <v>Low</v>
      </c>
      <c r="P751" s="3">
        <v>3.91</v>
      </c>
      <c r="Q751" s="2">
        <v>4</v>
      </c>
      <c r="R751" s="3">
        <v>4</v>
      </c>
      <c r="S751" s="3" t="str">
        <f>IF(Table1[[#This Row],[CGPA]]&gt;=3,"High",IF(R750&gt;=2,"Medium","Low"))</f>
        <v>High</v>
      </c>
      <c r="T751" s="2" t="s">
        <v>7</v>
      </c>
      <c r="U751" s="2" t="s">
        <v>14</v>
      </c>
      <c r="V751" s="2" t="s">
        <v>15</v>
      </c>
      <c r="W751" s="7">
        <v>0</v>
      </c>
      <c r="X751" t="str">
        <f t="shared" si="23"/>
        <v>Active</v>
      </c>
    </row>
    <row r="752" spans="1:24" x14ac:dyDescent="0.3">
      <c r="A752" s="2">
        <v>751</v>
      </c>
      <c r="B752" s="7">
        <v>19</v>
      </c>
      <c r="C752" s="2" t="s">
        <v>11</v>
      </c>
      <c r="D752" s="7">
        <f>IF(ISBLANK('Raw sheet'!D752),AVERAGE('Raw sheet'!$D$2:'Raw sheet'!$D$1500),'Raw sheet'!D752)</f>
        <v>29467</v>
      </c>
      <c r="E752" s="7" t="str">
        <f>IF(Table1[[#This Row],[Family_Income]]&gt;=100000,"Upper",IF(D752&gt;=50000,"Middle","Lower"))</f>
        <v>Lower</v>
      </c>
      <c r="F752" s="2" t="s">
        <v>4</v>
      </c>
      <c r="G752" s="3">
        <f>IF(ISBLANK('Raw sheet'!F752),AVERAGE('Raw sheet'!$F$2:'Raw sheet'!$F$1500),'Raw sheet'!F752)</f>
        <v>3.95</v>
      </c>
      <c r="H752" s="18">
        <v>79.099999999999994</v>
      </c>
      <c r="I752" s="9" t="str">
        <f t="shared" si="22"/>
        <v>Good</v>
      </c>
      <c r="J752" s="2">
        <v>0</v>
      </c>
      <c r="K752" s="2">
        <v>36.5</v>
      </c>
      <c r="L752" s="2" t="s">
        <v>3</v>
      </c>
      <c r="M752" s="2" t="s">
        <v>4</v>
      </c>
      <c r="N752" s="5">
        <f>IF(ISBLANK('Raw sheet'!L752),AVERAGE('Raw sheet'!$L$2:'Raw sheet'!$L$1500),'Raw sheet'!L752)</f>
        <v>3.3</v>
      </c>
      <c r="O752" s="5" t="str">
        <f>IF(Table1[[#This Row],[Stress_Index]]&gt;=8,"High",IF(N752&gt;=5,"Medium","Low"))</f>
        <v>Low</v>
      </c>
      <c r="P752" s="3">
        <v>1.61</v>
      </c>
      <c r="Q752" s="2">
        <v>2.02</v>
      </c>
      <c r="R752" s="3">
        <v>2</v>
      </c>
      <c r="S752" s="3" t="str">
        <f>IF(Table1[[#This Row],[CGPA]]&gt;=3,"High",IF(R751&gt;=2,"Medium","Low"))</f>
        <v>Medium</v>
      </c>
      <c r="T752" s="2" t="s">
        <v>10</v>
      </c>
      <c r="U752" s="2" t="s">
        <v>1</v>
      </c>
      <c r="V752" s="2" t="s">
        <v>15</v>
      </c>
      <c r="W752" s="7">
        <v>0</v>
      </c>
      <c r="X752" t="str">
        <f t="shared" si="23"/>
        <v>Active</v>
      </c>
    </row>
    <row r="753" spans="1:24" x14ac:dyDescent="0.3">
      <c r="A753" s="2">
        <v>752</v>
      </c>
      <c r="B753" s="7">
        <v>18</v>
      </c>
      <c r="C753" s="2" t="s">
        <v>11</v>
      </c>
      <c r="D753" s="7">
        <f>IF(ISBLANK('Raw sheet'!D753),AVERAGE('Raw sheet'!$D$2:'Raw sheet'!$D$1500),'Raw sheet'!D753)</f>
        <v>25000</v>
      </c>
      <c r="E753" s="7" t="str">
        <f>IF(Table1[[#This Row],[Family_Income]]&gt;=100000,"Upper",IF(D753&gt;=50000,"Middle","Lower"))</f>
        <v>Lower</v>
      </c>
      <c r="F753" s="2" t="s">
        <v>4</v>
      </c>
      <c r="G753" s="3">
        <f>IF(ISBLANK('Raw sheet'!F753),AVERAGE('Raw sheet'!$F$2:'Raw sheet'!$F$1500),'Raw sheet'!F753)</f>
        <v>1.19</v>
      </c>
      <c r="H753" s="18">
        <v>87.6</v>
      </c>
      <c r="I753" s="9" t="str">
        <f t="shared" si="22"/>
        <v>Good</v>
      </c>
      <c r="J753" s="2">
        <v>3</v>
      </c>
      <c r="K753" s="2">
        <v>49.1</v>
      </c>
      <c r="L753" s="2" t="s">
        <v>3</v>
      </c>
      <c r="M753" s="2" t="s">
        <v>4</v>
      </c>
      <c r="N753" s="5">
        <f>IF(ISBLANK('Raw sheet'!L753),AVERAGE('Raw sheet'!$L$2:'Raw sheet'!$L$1500),'Raw sheet'!L753)</f>
        <v>5.2</v>
      </c>
      <c r="O753" s="5" t="str">
        <f>IF(Table1[[#This Row],[Stress_Index]]&gt;=8,"High",IF(N753&gt;=5,"Medium","Low"))</f>
        <v>Medium</v>
      </c>
      <c r="P753" s="3">
        <v>2.68</v>
      </c>
      <c r="Q753" s="2">
        <v>2.2799999999999998</v>
      </c>
      <c r="R753" s="3">
        <v>2.25</v>
      </c>
      <c r="S753" s="3" t="str">
        <f>IF(Table1[[#This Row],[CGPA]]&gt;=3,"High",IF(R752&gt;=2,"Medium","Low"))</f>
        <v>Medium</v>
      </c>
      <c r="T753" s="2" t="s">
        <v>10</v>
      </c>
      <c r="U753" s="2" t="s">
        <v>1</v>
      </c>
      <c r="V753" s="2" t="s">
        <v>9</v>
      </c>
      <c r="W753" s="7">
        <v>0</v>
      </c>
      <c r="X753" t="str">
        <f t="shared" si="23"/>
        <v>Active</v>
      </c>
    </row>
    <row r="754" spans="1:24" x14ac:dyDescent="0.3">
      <c r="A754" s="2">
        <v>753</v>
      </c>
      <c r="B754" s="7">
        <v>18.899999999999999</v>
      </c>
      <c r="C754" s="2" t="s">
        <v>11</v>
      </c>
      <c r="D754" s="7">
        <f>IF(ISBLANK('Raw sheet'!D754),AVERAGE('Raw sheet'!$D$2:'Raw sheet'!$D$1500),'Raw sheet'!D754)</f>
        <v>32201</v>
      </c>
      <c r="E754" s="7" t="str">
        <f>IF(Table1[[#This Row],[Family_Income]]&gt;=100000,"Upper",IF(D754&gt;=50000,"Middle","Lower"))</f>
        <v>Lower</v>
      </c>
      <c r="F754" s="2" t="s">
        <v>4</v>
      </c>
      <c r="G754" s="3">
        <f>IF(ISBLANK('Raw sheet'!F754),AVERAGE('Raw sheet'!$F$2:'Raw sheet'!$F$1500),'Raw sheet'!F754)</f>
        <v>5.03</v>
      </c>
      <c r="H754" s="18">
        <v>99.9</v>
      </c>
      <c r="I754" s="9" t="str">
        <f t="shared" si="22"/>
        <v>Good</v>
      </c>
      <c r="J754" s="2">
        <v>4</v>
      </c>
      <c r="K754" s="2">
        <v>12</v>
      </c>
      <c r="L754" s="2" t="s">
        <v>3</v>
      </c>
      <c r="M754" s="2" t="s">
        <v>4</v>
      </c>
      <c r="N754" s="5">
        <f>IF(ISBLANK('Raw sheet'!L754),AVERAGE('Raw sheet'!$L$2:'Raw sheet'!$L$1500),'Raw sheet'!L754)</f>
        <v>6.1</v>
      </c>
      <c r="O754" s="5" t="str">
        <f>IF(Table1[[#This Row],[Stress_Index]]&gt;=8,"High",IF(N754&gt;=5,"Medium","Low"))</f>
        <v>Medium</v>
      </c>
      <c r="P754" s="3">
        <v>4</v>
      </c>
      <c r="Q754" s="2">
        <v>3.76</v>
      </c>
      <c r="R754" s="3">
        <v>3.77</v>
      </c>
      <c r="S754" s="3" t="str">
        <f>IF(Table1[[#This Row],[CGPA]]&gt;=3,"High",IF(R753&gt;=2,"Medium","Low"))</f>
        <v>High</v>
      </c>
      <c r="T754" s="2" t="s">
        <v>10</v>
      </c>
      <c r="U754" s="2" t="s">
        <v>8</v>
      </c>
      <c r="V754" s="2" t="s">
        <v>9</v>
      </c>
      <c r="W754" s="7">
        <v>0</v>
      </c>
      <c r="X754" t="str">
        <f t="shared" si="23"/>
        <v>Active</v>
      </c>
    </row>
    <row r="755" spans="1:24" x14ac:dyDescent="0.3">
      <c r="A755" s="2">
        <v>754</v>
      </c>
      <c r="B755" s="7">
        <v>23.3</v>
      </c>
      <c r="C755" s="2" t="s">
        <v>5</v>
      </c>
      <c r="D755" s="7">
        <f>IF(ISBLANK('Raw sheet'!D755),AVERAGE('Raw sheet'!$D$2:'Raw sheet'!$D$1500),'Raw sheet'!D755)</f>
        <v>39692</v>
      </c>
      <c r="E755" s="7" t="str">
        <f>IF(Table1[[#This Row],[Family_Income]]&gt;=100000,"Upper",IF(D755&gt;=50000,"Middle","Lower"))</f>
        <v>Lower</v>
      </c>
      <c r="F755" s="2" t="s">
        <v>4</v>
      </c>
      <c r="G755" s="3">
        <f>IF(ISBLANK('Raw sheet'!F755),AVERAGE('Raw sheet'!$F$2:'Raw sheet'!$F$1500),'Raw sheet'!F755)</f>
        <v>3.99</v>
      </c>
      <c r="H755" s="18">
        <v>81.8</v>
      </c>
      <c r="I755" s="9" t="str">
        <f t="shared" si="22"/>
        <v>Good</v>
      </c>
      <c r="J755" s="2">
        <v>4</v>
      </c>
      <c r="K755" s="2">
        <v>45.2</v>
      </c>
      <c r="L755" s="2" t="s">
        <v>4</v>
      </c>
      <c r="M755" s="2" t="s">
        <v>3</v>
      </c>
      <c r="N755" s="5">
        <f>IF(ISBLANK('Raw sheet'!L755),AVERAGE('Raw sheet'!$L$2:'Raw sheet'!$L$1500),'Raw sheet'!L755)</f>
        <v>5.8</v>
      </c>
      <c r="O755" s="5" t="str">
        <f>IF(Table1[[#This Row],[Stress_Index]]&gt;=8,"High",IF(N755&gt;=5,"Medium","Low"))</f>
        <v>Medium</v>
      </c>
      <c r="P755" s="3">
        <v>2.4300000000000002</v>
      </c>
      <c r="Q755" s="2">
        <v>1.97</v>
      </c>
      <c r="R755" s="3">
        <v>2</v>
      </c>
      <c r="S755" s="3" t="str">
        <f>IF(Table1[[#This Row],[CGPA]]&gt;=3,"High",IF(R754&gt;=2,"Medium","Low"))</f>
        <v>Medium</v>
      </c>
      <c r="T755" s="2" t="s">
        <v>10</v>
      </c>
      <c r="U755" s="2" t="s">
        <v>6</v>
      </c>
      <c r="V755" s="2" t="s">
        <v>9</v>
      </c>
      <c r="W755" s="7">
        <v>0</v>
      </c>
      <c r="X755" t="str">
        <f t="shared" si="23"/>
        <v>Active</v>
      </c>
    </row>
    <row r="756" spans="1:24" x14ac:dyDescent="0.3">
      <c r="A756" s="2">
        <v>755</v>
      </c>
      <c r="B756" s="7">
        <v>18.899999999999999</v>
      </c>
      <c r="C756" s="2" t="s">
        <v>11</v>
      </c>
      <c r="D756" s="7">
        <f>IF(ISBLANK('Raw sheet'!D756),AVERAGE('Raw sheet'!$D$2:'Raw sheet'!$D$1500),'Raw sheet'!D756)</f>
        <v>25000</v>
      </c>
      <c r="E756" s="7" t="str">
        <f>IF(Table1[[#This Row],[Family_Income]]&gt;=100000,"Upper",IF(D756&gt;=50000,"Middle","Lower"))</f>
        <v>Lower</v>
      </c>
      <c r="F756" s="2" t="s">
        <v>4</v>
      </c>
      <c r="G756" s="3">
        <f>IF(ISBLANK('Raw sheet'!F756),AVERAGE('Raw sheet'!$F$2:'Raw sheet'!$F$1500),'Raw sheet'!F756)</f>
        <v>4.1399999999999997</v>
      </c>
      <c r="H756" s="18">
        <v>84.3</v>
      </c>
      <c r="I756" s="9" t="str">
        <f t="shared" si="22"/>
        <v>Good</v>
      </c>
      <c r="J756" s="2">
        <v>4</v>
      </c>
      <c r="K756" s="2">
        <v>5.2</v>
      </c>
      <c r="L756" s="2" t="s">
        <v>4</v>
      </c>
      <c r="M756" s="2" t="s">
        <v>4</v>
      </c>
      <c r="N756" s="5">
        <f>IF(ISBLANK('Raw sheet'!L756),AVERAGE('Raw sheet'!$L$2:'Raw sheet'!$L$1500),'Raw sheet'!L756)</f>
        <v>4.7</v>
      </c>
      <c r="O756" s="5" t="str">
        <f>IF(Table1[[#This Row],[Stress_Index]]&gt;=8,"High",IF(N756&gt;=5,"Medium","Low"))</f>
        <v>Low</v>
      </c>
      <c r="P756" s="3">
        <v>3.09</v>
      </c>
      <c r="Q756" s="2">
        <v>3.24</v>
      </c>
      <c r="R756" s="3">
        <v>3.19</v>
      </c>
      <c r="S756" s="3" t="str">
        <f>IF(Table1[[#This Row],[CGPA]]&gt;=3,"High",IF(R755&gt;=2,"Medium","Low"))</f>
        <v>High</v>
      </c>
      <c r="T756" s="2" t="s">
        <v>7</v>
      </c>
      <c r="U756" s="2" t="s">
        <v>13</v>
      </c>
      <c r="V756" s="2" t="s">
        <v>0</v>
      </c>
      <c r="W756" s="7">
        <v>0</v>
      </c>
      <c r="X756" t="str">
        <f t="shared" si="23"/>
        <v>Active</v>
      </c>
    </row>
    <row r="757" spans="1:24" x14ac:dyDescent="0.3">
      <c r="A757" s="2">
        <v>756</v>
      </c>
      <c r="B757" s="7">
        <v>26.8</v>
      </c>
      <c r="C757" s="2" t="s">
        <v>11</v>
      </c>
      <c r="D757" s="7">
        <f>IF(ISBLANK('Raw sheet'!D757),AVERAGE('Raw sheet'!$D$2:'Raw sheet'!$D$1500),'Raw sheet'!D757)</f>
        <v>81983</v>
      </c>
      <c r="E757" s="7" t="str">
        <f>IF(Table1[[#This Row],[Family_Income]]&gt;=100000,"Upper",IF(D757&gt;=50000,"Middle","Lower"))</f>
        <v>Middle</v>
      </c>
      <c r="F757" s="2" t="s">
        <v>4</v>
      </c>
      <c r="G757" s="3">
        <f>IF(ISBLANK('Raw sheet'!F757),AVERAGE('Raw sheet'!$F$2:'Raw sheet'!$F$1500),'Raw sheet'!F757)</f>
        <v>4.13</v>
      </c>
      <c r="H757" s="18">
        <v>91</v>
      </c>
      <c r="I757" s="9" t="str">
        <f t="shared" si="22"/>
        <v>Good</v>
      </c>
      <c r="J757" s="2">
        <v>5</v>
      </c>
      <c r="K757" s="2">
        <v>40.9</v>
      </c>
      <c r="L757" s="2" t="s">
        <v>3</v>
      </c>
      <c r="M757" s="2" t="s">
        <v>4</v>
      </c>
      <c r="N757" s="5">
        <f>IF(ISBLANK('Raw sheet'!L757),AVERAGE('Raw sheet'!$L$2:'Raw sheet'!$L$1500),'Raw sheet'!L757)</f>
        <v>6.7</v>
      </c>
      <c r="O757" s="5" t="str">
        <f>IF(Table1[[#This Row],[Stress_Index]]&gt;=8,"High",IF(N757&gt;=5,"Medium","Low"))</f>
        <v>Medium</v>
      </c>
      <c r="P757" s="3">
        <v>3.64</v>
      </c>
      <c r="Q757" s="2">
        <v>3.77</v>
      </c>
      <c r="R757" s="3">
        <v>3.77</v>
      </c>
      <c r="S757" s="3" t="str">
        <f>IF(Table1[[#This Row],[CGPA]]&gt;=3,"High",IF(R756&gt;=2,"Medium","Low"))</f>
        <v>High</v>
      </c>
      <c r="T757" s="2" t="s">
        <v>2</v>
      </c>
      <c r="U757" s="2" t="s">
        <v>1</v>
      </c>
      <c r="V757" s="2" t="s">
        <v>15</v>
      </c>
      <c r="W757" s="7">
        <v>0</v>
      </c>
      <c r="X757" t="str">
        <f t="shared" si="23"/>
        <v>Active</v>
      </c>
    </row>
    <row r="758" spans="1:24" x14ac:dyDescent="0.3">
      <c r="A758" s="2">
        <v>757</v>
      </c>
      <c r="B758" s="7">
        <v>22.1</v>
      </c>
      <c r="C758" s="2" t="s">
        <v>11</v>
      </c>
      <c r="D758" s="7">
        <f>IF(ISBLANK('Raw sheet'!D758),AVERAGE('Raw sheet'!$D$2:'Raw sheet'!$D$1500),'Raw sheet'!D758)</f>
        <v>25000</v>
      </c>
      <c r="E758" s="7" t="str">
        <f>IF(Table1[[#This Row],[Family_Income]]&gt;=100000,"Upper",IF(D758&gt;=50000,"Middle","Lower"))</f>
        <v>Lower</v>
      </c>
      <c r="F758" s="2" t="s">
        <v>4</v>
      </c>
      <c r="G758" s="3">
        <f>IF(ISBLANK('Raw sheet'!F758),AVERAGE('Raw sheet'!$F$2:'Raw sheet'!$F$1500),'Raw sheet'!F758)</f>
        <v>5.22</v>
      </c>
      <c r="H758" s="18">
        <v>81.5</v>
      </c>
      <c r="I758" s="9" t="str">
        <f t="shared" si="22"/>
        <v>Good</v>
      </c>
      <c r="J758" s="2">
        <v>3</v>
      </c>
      <c r="K758" s="2">
        <v>44</v>
      </c>
      <c r="L758" s="2" t="s">
        <v>3</v>
      </c>
      <c r="M758" s="2" t="s">
        <v>3</v>
      </c>
      <c r="N758" s="5">
        <f>IF(ISBLANK('Raw sheet'!L758),AVERAGE('Raw sheet'!$L$2:'Raw sheet'!$L$1500),'Raw sheet'!L758)</f>
        <v>5.9</v>
      </c>
      <c r="O758" s="5" t="str">
        <f>IF(Table1[[#This Row],[Stress_Index]]&gt;=8,"High",IF(N758&gt;=5,"Medium","Low"))</f>
        <v>Medium</v>
      </c>
      <c r="P758" s="3">
        <v>1.02</v>
      </c>
      <c r="Q758" s="2">
        <v>1.37</v>
      </c>
      <c r="R758" s="3">
        <v>1.34</v>
      </c>
      <c r="S758" s="3" t="str">
        <f>IF(Table1[[#This Row],[CGPA]]&gt;=3,"High",IF(R757&gt;=2,"Medium","Low"))</f>
        <v>Medium</v>
      </c>
      <c r="T758" s="2" t="s">
        <v>7</v>
      </c>
      <c r="U758" s="2" t="s">
        <v>1</v>
      </c>
      <c r="V758" s="2" t="s">
        <v>9</v>
      </c>
      <c r="W758" s="7">
        <v>1</v>
      </c>
      <c r="X758" t="str">
        <f t="shared" si="23"/>
        <v>Dropped Out</v>
      </c>
    </row>
    <row r="759" spans="1:24" x14ac:dyDescent="0.3">
      <c r="A759" s="2">
        <v>758</v>
      </c>
      <c r="B759" s="7">
        <v>21.4</v>
      </c>
      <c r="C759" s="2" t="s">
        <v>11</v>
      </c>
      <c r="D759" s="7">
        <f>IF(ISBLANK('Raw sheet'!D759),AVERAGE('Raw sheet'!$D$2:'Raw sheet'!$D$1500),'Raw sheet'!D759)</f>
        <v>35245</v>
      </c>
      <c r="E759" s="7" t="str">
        <f>IF(Table1[[#This Row],[Family_Income]]&gt;=100000,"Upper",IF(D759&gt;=50000,"Middle","Lower"))</f>
        <v>Lower</v>
      </c>
      <c r="F759" s="2" t="s">
        <v>4</v>
      </c>
      <c r="G759" s="3">
        <f>IF(ISBLANK('Raw sheet'!F759),AVERAGE('Raw sheet'!$F$2:'Raw sheet'!$F$1500),'Raw sheet'!F759)</f>
        <v>1.1000000000000001</v>
      </c>
      <c r="H759" s="18">
        <v>84.9</v>
      </c>
      <c r="I759" s="9" t="str">
        <f t="shared" si="22"/>
        <v>Good</v>
      </c>
      <c r="J759" s="2">
        <v>0</v>
      </c>
      <c r="K759" s="2">
        <v>44.6</v>
      </c>
      <c r="L759" s="2" t="s">
        <v>4</v>
      </c>
      <c r="M759" s="2" t="s">
        <v>3</v>
      </c>
      <c r="N759" s="5">
        <f>IF(ISBLANK('Raw sheet'!L759),AVERAGE('Raw sheet'!$L$2:'Raw sheet'!$L$1500),'Raw sheet'!L759)</f>
        <v>3.4</v>
      </c>
      <c r="O759" s="5" t="str">
        <f>IF(Table1[[#This Row],[Stress_Index]]&gt;=8,"High",IF(N759&gt;=5,"Medium","Low"))</f>
        <v>Low</v>
      </c>
      <c r="P759" s="3">
        <v>1.41</v>
      </c>
      <c r="Q759" s="2">
        <v>1.19</v>
      </c>
      <c r="R759" s="3">
        <v>1.19</v>
      </c>
      <c r="S759" s="3" t="str">
        <f>IF(Table1[[#This Row],[CGPA]]&gt;=3,"High",IF(R758&gt;=2,"Medium","Low"))</f>
        <v>Low</v>
      </c>
      <c r="T759" s="2" t="s">
        <v>2</v>
      </c>
      <c r="U759" s="2" t="s">
        <v>14</v>
      </c>
      <c r="V759" s="2" t="s">
        <v>17</v>
      </c>
      <c r="W759" s="7">
        <v>0</v>
      </c>
      <c r="X759" t="str">
        <f t="shared" si="23"/>
        <v>Active</v>
      </c>
    </row>
    <row r="760" spans="1:24" x14ac:dyDescent="0.3">
      <c r="A760" s="2">
        <v>759</v>
      </c>
      <c r="B760" s="7">
        <v>19.100000000000001</v>
      </c>
      <c r="C760" s="2" t="s">
        <v>5</v>
      </c>
      <c r="D760" s="7">
        <f>IF(ISBLANK('Raw sheet'!D760),AVERAGE('Raw sheet'!$D$2:'Raw sheet'!$D$1500),'Raw sheet'!D760)</f>
        <v>49464</v>
      </c>
      <c r="E760" s="7" t="str">
        <f>IF(Table1[[#This Row],[Family_Income]]&gt;=100000,"Upper",IF(D760&gt;=50000,"Middle","Lower"))</f>
        <v>Lower</v>
      </c>
      <c r="F760" s="2" t="s">
        <v>4</v>
      </c>
      <c r="G760" s="3">
        <f>IF(ISBLANK('Raw sheet'!F760),AVERAGE('Raw sheet'!$F$2:'Raw sheet'!$F$1500),'Raw sheet'!F760)</f>
        <v>2.44</v>
      </c>
      <c r="H760" s="18">
        <v>88.6</v>
      </c>
      <c r="I760" s="9" t="str">
        <f t="shared" si="22"/>
        <v>Good</v>
      </c>
      <c r="J760" s="2">
        <v>1</v>
      </c>
      <c r="K760" s="2">
        <v>36.799999999999997</v>
      </c>
      <c r="L760" s="2" t="s">
        <v>3</v>
      </c>
      <c r="M760" s="2" t="s">
        <v>3</v>
      </c>
      <c r="N760" s="5">
        <f>IF(ISBLANK('Raw sheet'!L760),AVERAGE('Raw sheet'!$L$2:'Raw sheet'!$L$1500),'Raw sheet'!L760)</f>
        <v>1</v>
      </c>
      <c r="O760" s="5" t="str">
        <f>IF(Table1[[#This Row],[Stress_Index]]&gt;=8,"High",IF(N760&gt;=5,"Medium","Low"))</f>
        <v>Low</v>
      </c>
      <c r="P760" s="3">
        <v>4</v>
      </c>
      <c r="Q760" s="2">
        <v>4</v>
      </c>
      <c r="R760" s="3">
        <v>3.97</v>
      </c>
      <c r="S760" s="3" t="str">
        <f>IF(Table1[[#This Row],[CGPA]]&gt;=3,"High",IF(R759&gt;=2,"Medium","Low"))</f>
        <v>High</v>
      </c>
      <c r="T760" s="2" t="s">
        <v>7</v>
      </c>
      <c r="U760" s="2" t="s">
        <v>6</v>
      </c>
      <c r="V760" s="2" t="s">
        <v>9</v>
      </c>
      <c r="W760" s="7">
        <v>0</v>
      </c>
      <c r="X760" t="str">
        <f t="shared" si="23"/>
        <v>Active</v>
      </c>
    </row>
    <row r="761" spans="1:24" x14ac:dyDescent="0.3">
      <c r="A761" s="2">
        <v>760</v>
      </c>
      <c r="B761" s="7">
        <v>22.5</v>
      </c>
      <c r="C761" s="2" t="s">
        <v>11</v>
      </c>
      <c r="D761" s="7">
        <f>IF(ISBLANK('Raw sheet'!D761),AVERAGE('Raw sheet'!$D$2:'Raw sheet'!$D$1500),'Raw sheet'!D761)</f>
        <v>28385</v>
      </c>
      <c r="E761" s="7" t="str">
        <f>IF(Table1[[#This Row],[Family_Income]]&gt;=100000,"Upper",IF(D761&gt;=50000,"Middle","Lower"))</f>
        <v>Lower</v>
      </c>
      <c r="F761" s="2" t="s">
        <v>4</v>
      </c>
      <c r="G761" s="3">
        <f>IF(ISBLANK('Raw sheet'!F761),AVERAGE('Raw sheet'!$F$2:'Raw sheet'!$F$1500),'Raw sheet'!F761)</f>
        <v>6.55</v>
      </c>
      <c r="H761" s="18">
        <v>90.8</v>
      </c>
      <c r="I761" s="9" t="str">
        <f t="shared" si="22"/>
        <v>Good</v>
      </c>
      <c r="J761" s="2">
        <v>5</v>
      </c>
      <c r="K761" s="2">
        <v>17.2</v>
      </c>
      <c r="L761" s="2" t="s">
        <v>4</v>
      </c>
      <c r="M761" s="2" t="s">
        <v>4</v>
      </c>
      <c r="N761" s="5">
        <f>IF(ISBLANK('Raw sheet'!L761),AVERAGE('Raw sheet'!$L$2:'Raw sheet'!$L$1500),'Raw sheet'!L761)</f>
        <v>6.4</v>
      </c>
      <c r="O761" s="5" t="str">
        <f>IF(Table1[[#This Row],[Stress_Index]]&gt;=8,"High",IF(N761&gt;=5,"Medium","Low"))</f>
        <v>Medium</v>
      </c>
      <c r="P761" s="3">
        <v>0.98</v>
      </c>
      <c r="Q761" s="2">
        <v>1.08</v>
      </c>
      <c r="R761" s="3">
        <v>1.05</v>
      </c>
      <c r="S761" s="3" t="str">
        <f>IF(Table1[[#This Row],[CGPA]]&gt;=3,"High",IF(R760&gt;=2,"Medium","Low"))</f>
        <v>Medium</v>
      </c>
      <c r="T761" s="2" t="s">
        <v>12</v>
      </c>
      <c r="U761" s="2" t="s">
        <v>8</v>
      </c>
      <c r="V761" s="2" t="s">
        <v>15</v>
      </c>
      <c r="W761" s="7">
        <v>1</v>
      </c>
      <c r="X761" t="str">
        <f t="shared" si="23"/>
        <v>Dropped Out</v>
      </c>
    </row>
    <row r="762" spans="1:24" x14ac:dyDescent="0.3">
      <c r="A762" s="2">
        <v>761</v>
      </c>
      <c r="B762" s="7">
        <v>19.7</v>
      </c>
      <c r="C762" s="2" t="s">
        <v>5</v>
      </c>
      <c r="D762" s="7">
        <f>IF(ISBLANK('Raw sheet'!D762),AVERAGE('Raw sheet'!$D$2:'Raw sheet'!$D$1500),'Raw sheet'!D762)</f>
        <v>26553</v>
      </c>
      <c r="E762" s="7" t="str">
        <f>IF(Table1[[#This Row],[Family_Income]]&gt;=100000,"Upper",IF(D762&gt;=50000,"Middle","Lower"))</f>
        <v>Lower</v>
      </c>
      <c r="F762" s="2" t="s">
        <v>4</v>
      </c>
      <c r="G762" s="3">
        <f>IF(ISBLANK('Raw sheet'!F762),AVERAGE('Raw sheet'!$F$2:'Raw sheet'!$F$1500),'Raw sheet'!F762)</f>
        <v>2.41</v>
      </c>
      <c r="H762" s="18">
        <v>82.4</v>
      </c>
      <c r="I762" s="9" t="str">
        <f t="shared" si="22"/>
        <v>Good</v>
      </c>
      <c r="J762" s="2">
        <v>0</v>
      </c>
      <c r="K762" s="2">
        <v>39</v>
      </c>
      <c r="L762" s="2" t="s">
        <v>4</v>
      </c>
      <c r="M762" s="2" t="s">
        <v>3</v>
      </c>
      <c r="N762" s="5">
        <f>IF(ISBLANK('Raw sheet'!L762),AVERAGE('Raw sheet'!$L$2:'Raw sheet'!$L$1500),'Raw sheet'!L762)</f>
        <v>5</v>
      </c>
      <c r="O762" s="5" t="str">
        <f>IF(Table1[[#This Row],[Stress_Index]]&gt;=8,"High",IF(N762&gt;=5,"Medium","Low"))</f>
        <v>Medium</v>
      </c>
      <c r="P762" s="3">
        <v>2.38</v>
      </c>
      <c r="Q762" s="2">
        <v>2.4500000000000002</v>
      </c>
      <c r="R762" s="3">
        <v>2.46</v>
      </c>
      <c r="S762" s="3" t="str">
        <f>IF(Table1[[#This Row],[CGPA]]&gt;=3,"High",IF(R761&gt;=2,"Medium","Low"))</f>
        <v>Low</v>
      </c>
      <c r="T762" s="2" t="s">
        <v>7</v>
      </c>
      <c r="U762" s="2" t="s">
        <v>1</v>
      </c>
      <c r="V762" s="2" t="s">
        <v>17</v>
      </c>
      <c r="W762" s="7">
        <v>0</v>
      </c>
      <c r="X762" t="str">
        <f t="shared" si="23"/>
        <v>Active</v>
      </c>
    </row>
    <row r="763" spans="1:24" x14ac:dyDescent="0.3">
      <c r="A763" s="2">
        <v>762</v>
      </c>
      <c r="B763" s="7">
        <v>21.3</v>
      </c>
      <c r="C763" s="2" t="s">
        <v>5</v>
      </c>
      <c r="D763" s="7">
        <f>IF(ISBLANK('Raw sheet'!D763),AVERAGE('Raw sheet'!$D$2:'Raw sheet'!$D$1500),'Raw sheet'!D763)</f>
        <v>25000</v>
      </c>
      <c r="E763" s="7" t="str">
        <f>IF(Table1[[#This Row],[Family_Income]]&gt;=100000,"Upper",IF(D763&gt;=50000,"Middle","Lower"))</f>
        <v>Lower</v>
      </c>
      <c r="F763" s="2" t="s">
        <v>4</v>
      </c>
      <c r="G763" s="3">
        <f>IF(ISBLANK('Raw sheet'!F763),AVERAGE('Raw sheet'!$F$2:'Raw sheet'!$F$1500),'Raw sheet'!F763)</f>
        <v>3.01</v>
      </c>
      <c r="H763" s="18">
        <v>78.2</v>
      </c>
      <c r="I763" s="9" t="str">
        <f t="shared" si="22"/>
        <v>Good</v>
      </c>
      <c r="J763" s="2">
        <v>1</v>
      </c>
      <c r="K763" s="2">
        <v>17.2</v>
      </c>
      <c r="L763" s="2" t="s">
        <v>4</v>
      </c>
      <c r="M763" s="2" t="s">
        <v>3</v>
      </c>
      <c r="N763" s="5">
        <f>IF(ISBLANK('Raw sheet'!L763),AVERAGE('Raw sheet'!$L$2:'Raw sheet'!$L$1500),'Raw sheet'!L763)</f>
        <v>3.5</v>
      </c>
      <c r="O763" s="5" t="str">
        <f>IF(Table1[[#This Row],[Stress_Index]]&gt;=8,"High",IF(N763&gt;=5,"Medium","Low"))</f>
        <v>Low</v>
      </c>
      <c r="P763" s="3">
        <v>2.88</v>
      </c>
      <c r="Q763" s="2">
        <v>2.81</v>
      </c>
      <c r="R763" s="3">
        <v>2.86</v>
      </c>
      <c r="S763" s="3" t="str">
        <f>IF(Table1[[#This Row],[CGPA]]&gt;=3,"High",IF(R762&gt;=2,"Medium","Low"))</f>
        <v>Medium</v>
      </c>
      <c r="T763" s="2" t="s">
        <v>12</v>
      </c>
      <c r="U763" s="2" t="s">
        <v>8</v>
      </c>
      <c r="V763" s="2" t="s">
        <v>9</v>
      </c>
      <c r="W763" s="7">
        <v>0</v>
      </c>
      <c r="X763" t="str">
        <f t="shared" si="23"/>
        <v>Active</v>
      </c>
    </row>
    <row r="764" spans="1:24" x14ac:dyDescent="0.3">
      <c r="A764" s="2">
        <v>763</v>
      </c>
      <c r="B764" s="7">
        <v>26.6</v>
      </c>
      <c r="C764" s="2" t="s">
        <v>5</v>
      </c>
      <c r="D764" s="7">
        <f>IF(ISBLANK('Raw sheet'!D764),AVERAGE('Raw sheet'!$D$2:'Raw sheet'!$D$1500),'Raw sheet'!D764)</f>
        <v>67131</v>
      </c>
      <c r="E764" s="7" t="str">
        <f>IF(Table1[[#This Row],[Family_Income]]&gt;=100000,"Upper",IF(D764&gt;=50000,"Middle","Lower"))</f>
        <v>Middle</v>
      </c>
      <c r="F764" s="2" t="s">
        <v>4</v>
      </c>
      <c r="G764" s="3">
        <f>IF(ISBLANK('Raw sheet'!F764),AVERAGE('Raw sheet'!$F$2:'Raw sheet'!$F$1500),'Raw sheet'!F764)</f>
        <v>5.63</v>
      </c>
      <c r="H764" s="18">
        <v>83.6</v>
      </c>
      <c r="I764" s="9" t="str">
        <f t="shared" si="22"/>
        <v>Good</v>
      </c>
      <c r="J764" s="2">
        <v>1</v>
      </c>
      <c r="K764" s="2">
        <v>18.7</v>
      </c>
      <c r="L764" s="2" t="s">
        <v>3</v>
      </c>
      <c r="M764" s="2" t="s">
        <v>4</v>
      </c>
      <c r="N764" s="5">
        <f>IF(ISBLANK('Raw sheet'!L764),AVERAGE('Raw sheet'!$L$2:'Raw sheet'!$L$1500),'Raw sheet'!L764)</f>
        <v>8.4</v>
      </c>
      <c r="O764" s="5" t="str">
        <f>IF(Table1[[#This Row],[Stress_Index]]&gt;=8,"High",IF(N764&gt;=5,"Medium","Low"))</f>
        <v>High</v>
      </c>
      <c r="P764" s="3">
        <v>3.53</v>
      </c>
      <c r="Q764" s="2">
        <v>3.76</v>
      </c>
      <c r="R764" s="3">
        <v>3.8</v>
      </c>
      <c r="S764" s="3" t="str">
        <f>IF(Table1[[#This Row],[CGPA]]&gt;=3,"High",IF(R763&gt;=2,"Medium","Low"))</f>
        <v>High</v>
      </c>
      <c r="T764" s="2" t="s">
        <v>12</v>
      </c>
      <c r="U764" s="2" t="s">
        <v>13</v>
      </c>
      <c r="V764" s="2" t="s">
        <v>9</v>
      </c>
      <c r="W764" s="7">
        <v>0</v>
      </c>
      <c r="X764" t="str">
        <f t="shared" si="23"/>
        <v>Active</v>
      </c>
    </row>
    <row r="765" spans="1:24" x14ac:dyDescent="0.3">
      <c r="A765" s="2">
        <v>764</v>
      </c>
      <c r="B765" s="7">
        <v>20.8</v>
      </c>
      <c r="C765" s="2" t="s">
        <v>11</v>
      </c>
      <c r="D765" s="7">
        <f>IF(ISBLANK('Raw sheet'!D765),AVERAGE('Raw sheet'!$D$2:'Raw sheet'!$D$1500),'Raw sheet'!D765)</f>
        <v>26851</v>
      </c>
      <c r="E765" s="7" t="str">
        <f>IF(Table1[[#This Row],[Family_Income]]&gt;=100000,"Upper",IF(D765&gt;=50000,"Middle","Lower"))</f>
        <v>Lower</v>
      </c>
      <c r="F765" s="2" t="s">
        <v>4</v>
      </c>
      <c r="G765" s="3">
        <f>IF(ISBLANK('Raw sheet'!F765),AVERAGE('Raw sheet'!$F$2:'Raw sheet'!$F$1500),'Raw sheet'!F765)</f>
        <v>4.07</v>
      </c>
      <c r="H765" s="18">
        <v>68.400000000000006</v>
      </c>
      <c r="I765" s="9" t="str">
        <f t="shared" si="22"/>
        <v>Low</v>
      </c>
      <c r="J765" s="2">
        <v>3</v>
      </c>
      <c r="K765" s="2">
        <v>24.5</v>
      </c>
      <c r="L765" s="2" t="s">
        <v>3</v>
      </c>
      <c r="M765" s="2" t="s">
        <v>3</v>
      </c>
      <c r="N765" s="5">
        <f>IF(ISBLANK('Raw sheet'!L765),AVERAGE('Raw sheet'!$L$2:'Raw sheet'!$L$1500),'Raw sheet'!L765)</f>
        <v>8.4</v>
      </c>
      <c r="O765" s="5" t="str">
        <f>IF(Table1[[#This Row],[Stress_Index]]&gt;=8,"High",IF(N765&gt;=5,"Medium","Low"))</f>
        <v>High</v>
      </c>
      <c r="P765" s="3">
        <v>0.74</v>
      </c>
      <c r="Q765" s="2">
        <v>0.76</v>
      </c>
      <c r="R765" s="3">
        <v>0.81</v>
      </c>
      <c r="S765" s="3" t="str">
        <f>IF(Table1[[#This Row],[CGPA]]&gt;=3,"High",IF(R764&gt;=2,"Medium","Low"))</f>
        <v>Medium</v>
      </c>
      <c r="T765" s="2" t="s">
        <v>7</v>
      </c>
      <c r="U765" s="2" t="s">
        <v>14</v>
      </c>
      <c r="V765" s="2" t="s">
        <v>0</v>
      </c>
      <c r="W765" s="7">
        <v>1</v>
      </c>
      <c r="X765" t="str">
        <f t="shared" si="23"/>
        <v>Dropped Out</v>
      </c>
    </row>
    <row r="766" spans="1:24" x14ac:dyDescent="0.3">
      <c r="A766" s="2">
        <v>765</v>
      </c>
      <c r="B766" s="7">
        <v>23.5</v>
      </c>
      <c r="C766" s="2" t="s">
        <v>5</v>
      </c>
      <c r="D766" s="7">
        <f>IF(ISBLANK('Raw sheet'!D766),AVERAGE('Raw sheet'!$D$2:'Raw sheet'!$D$1500),'Raw sheet'!D766)</f>
        <v>38587.00282087447</v>
      </c>
      <c r="E766" s="7" t="str">
        <f>IF(Table1[[#This Row],[Family_Income]]&gt;=100000,"Upper",IF(D766&gt;=50000,"Middle","Lower"))</f>
        <v>Lower</v>
      </c>
      <c r="F766" s="2" t="s">
        <v>4</v>
      </c>
      <c r="G766" s="3">
        <f>IF(ISBLANK('Raw sheet'!F766),AVERAGE('Raw sheet'!$F$2:'Raw sheet'!$F$1500),'Raw sheet'!F766)</f>
        <v>4.0178702397743278</v>
      </c>
      <c r="H766" s="18">
        <v>69.3</v>
      </c>
      <c r="I766" s="9" t="str">
        <f t="shared" si="22"/>
        <v>Low</v>
      </c>
      <c r="J766" s="2">
        <v>3</v>
      </c>
      <c r="K766" s="2">
        <v>25.6</v>
      </c>
      <c r="L766" s="2" t="s">
        <v>3</v>
      </c>
      <c r="M766" s="2" t="s">
        <v>4</v>
      </c>
      <c r="N766" s="5">
        <f>IF(ISBLANK('Raw sheet'!L766),AVERAGE('Raw sheet'!$L$2:'Raw sheet'!$L$1500),'Raw sheet'!L766)</f>
        <v>5.5242595204513369</v>
      </c>
      <c r="O766" s="5" t="str">
        <f>IF(Table1[[#This Row],[Stress_Index]]&gt;=8,"High",IF(N766&gt;=5,"Medium","Low"))</f>
        <v>Medium</v>
      </c>
      <c r="P766" s="3">
        <v>2.11</v>
      </c>
      <c r="Q766" s="2">
        <v>1.86</v>
      </c>
      <c r="R766" s="3">
        <v>1.92</v>
      </c>
      <c r="S766" s="3" t="str">
        <f>IF(Table1[[#This Row],[CGPA]]&gt;=3,"High",IF(R765&gt;=2,"Medium","Low"))</f>
        <v>Low</v>
      </c>
      <c r="T766" s="2" t="s">
        <v>7</v>
      </c>
      <c r="U766" s="2" t="s">
        <v>14</v>
      </c>
      <c r="V766" s="2" t="s">
        <v>9</v>
      </c>
      <c r="W766" s="7">
        <v>0</v>
      </c>
      <c r="X766" t="str">
        <f t="shared" si="23"/>
        <v>Active</v>
      </c>
    </row>
    <row r="767" spans="1:24" x14ac:dyDescent="0.3">
      <c r="A767" s="2">
        <v>766</v>
      </c>
      <c r="B767" s="7">
        <v>19.5</v>
      </c>
      <c r="C767" s="2" t="s">
        <v>11</v>
      </c>
      <c r="D767" s="7">
        <f>IF(ISBLANK('Raw sheet'!D767),AVERAGE('Raw sheet'!$D$2:'Raw sheet'!$D$1500),'Raw sheet'!D767)</f>
        <v>38587.00282087447</v>
      </c>
      <c r="E767" s="7" t="str">
        <f>IF(Table1[[#This Row],[Family_Income]]&gt;=100000,"Upper",IF(D767&gt;=50000,"Middle","Lower"))</f>
        <v>Lower</v>
      </c>
      <c r="F767" s="2" t="s">
        <v>4</v>
      </c>
      <c r="G767" s="3">
        <f>IF(ISBLANK('Raw sheet'!F767),AVERAGE('Raw sheet'!$F$2:'Raw sheet'!$F$1500),'Raw sheet'!F767)</f>
        <v>4.0178702397743278</v>
      </c>
      <c r="H767" s="18">
        <v>73.900000000000006</v>
      </c>
      <c r="I767" s="9" t="str">
        <f t="shared" si="22"/>
        <v>Low</v>
      </c>
      <c r="J767" s="2">
        <v>3</v>
      </c>
      <c r="K767" s="2">
        <v>32.9</v>
      </c>
      <c r="L767" s="2" t="s">
        <v>4</v>
      </c>
      <c r="M767" s="2" t="s">
        <v>3</v>
      </c>
      <c r="N767" s="5">
        <f>IF(ISBLANK('Raw sheet'!L767),AVERAGE('Raw sheet'!$L$2:'Raw sheet'!$L$1500),'Raw sheet'!L767)</f>
        <v>5.5242595204513369</v>
      </c>
      <c r="O767" s="5" t="str">
        <f>IF(Table1[[#This Row],[Stress_Index]]&gt;=8,"High",IF(N767&gt;=5,"Medium","Low"))</f>
        <v>Medium</v>
      </c>
      <c r="P767" s="3">
        <v>3.76</v>
      </c>
      <c r="Q767" s="2">
        <v>3.95</v>
      </c>
      <c r="R767" s="3">
        <v>3.99</v>
      </c>
      <c r="S767" s="3" t="str">
        <f>IF(Table1[[#This Row],[CGPA]]&gt;=3,"High",IF(R766&gt;=2,"Medium","Low"))</f>
        <v>High</v>
      </c>
      <c r="T767" s="2" t="s">
        <v>12</v>
      </c>
      <c r="U767" s="2" t="s">
        <v>6</v>
      </c>
      <c r="V767" s="2" t="s">
        <v>15</v>
      </c>
      <c r="W767" s="7">
        <v>0</v>
      </c>
      <c r="X767" t="str">
        <f t="shared" si="23"/>
        <v>Active</v>
      </c>
    </row>
    <row r="768" spans="1:24" x14ac:dyDescent="0.3">
      <c r="A768" s="2">
        <v>767</v>
      </c>
      <c r="B768" s="7">
        <v>20.9</v>
      </c>
      <c r="C768" s="2" t="s">
        <v>5</v>
      </c>
      <c r="D768" s="7">
        <f>IF(ISBLANK('Raw sheet'!D768),AVERAGE('Raw sheet'!$D$2:'Raw sheet'!$D$1500),'Raw sheet'!D768)</f>
        <v>25000</v>
      </c>
      <c r="E768" s="7" t="str">
        <f>IF(Table1[[#This Row],[Family_Income]]&gt;=100000,"Upper",IF(D768&gt;=50000,"Middle","Lower"))</f>
        <v>Lower</v>
      </c>
      <c r="F768" s="2" t="s">
        <v>3</v>
      </c>
      <c r="G768" s="3">
        <f>IF(ISBLANK('Raw sheet'!F768),AVERAGE('Raw sheet'!$F$2:'Raw sheet'!$F$1500),'Raw sheet'!F768)</f>
        <v>3.25</v>
      </c>
      <c r="H768" s="18">
        <v>95.6</v>
      </c>
      <c r="I768" s="9" t="str">
        <f t="shared" si="22"/>
        <v>Good</v>
      </c>
      <c r="J768" s="2">
        <v>1</v>
      </c>
      <c r="K768" s="2">
        <v>21.7</v>
      </c>
      <c r="L768" s="2" t="s">
        <v>3</v>
      </c>
      <c r="M768" s="2" t="s">
        <v>3</v>
      </c>
      <c r="N768" s="5">
        <f>IF(ISBLANK('Raw sheet'!L768),AVERAGE('Raw sheet'!$L$2:'Raw sheet'!$L$1500),'Raw sheet'!L768)</f>
        <v>1</v>
      </c>
      <c r="O768" s="5" t="str">
        <f>IF(Table1[[#This Row],[Stress_Index]]&gt;=8,"High",IF(N768&gt;=5,"Medium","Low"))</f>
        <v>Low</v>
      </c>
      <c r="P768" s="3">
        <v>3.64</v>
      </c>
      <c r="Q768" s="2">
        <v>3.88</v>
      </c>
      <c r="R768" s="3">
        <v>3.78</v>
      </c>
      <c r="S768" s="3" t="str">
        <f>IF(Table1[[#This Row],[CGPA]]&gt;=3,"High",IF(R767&gt;=2,"Medium","Low"))</f>
        <v>High</v>
      </c>
      <c r="T768" s="2" t="s">
        <v>12</v>
      </c>
      <c r="U768" s="2" t="s">
        <v>8</v>
      </c>
      <c r="V768" s="2" t="s">
        <v>15</v>
      </c>
      <c r="W768" s="7">
        <v>0</v>
      </c>
      <c r="X768" t="str">
        <f t="shared" si="23"/>
        <v>Active</v>
      </c>
    </row>
    <row r="769" spans="1:24" x14ac:dyDescent="0.3">
      <c r="A769" s="2">
        <v>768</v>
      </c>
      <c r="B769" s="7">
        <v>24.9</v>
      </c>
      <c r="C769" s="2" t="s">
        <v>11</v>
      </c>
      <c r="D769" s="7">
        <f>IF(ISBLANK('Raw sheet'!D769),AVERAGE('Raw sheet'!$D$2:'Raw sheet'!$D$1500),'Raw sheet'!D769)</f>
        <v>26410</v>
      </c>
      <c r="E769" s="7" t="str">
        <f>IF(Table1[[#This Row],[Family_Income]]&gt;=100000,"Upper",IF(D769&gt;=50000,"Middle","Lower"))</f>
        <v>Lower</v>
      </c>
      <c r="F769" s="2" t="s">
        <v>4</v>
      </c>
      <c r="G769" s="3">
        <f>IF(ISBLANK('Raw sheet'!F769),AVERAGE('Raw sheet'!$F$2:'Raw sheet'!$F$1500),'Raw sheet'!F769)</f>
        <v>3.3</v>
      </c>
      <c r="H769" s="18">
        <v>89.4</v>
      </c>
      <c r="I769" s="9" t="str">
        <f t="shared" si="22"/>
        <v>Good</v>
      </c>
      <c r="J769" s="2">
        <v>2</v>
      </c>
      <c r="K769" s="2">
        <v>34</v>
      </c>
      <c r="L769" s="2" t="s">
        <v>4</v>
      </c>
      <c r="M769" s="2" t="s">
        <v>4</v>
      </c>
      <c r="N769" s="5">
        <f>IF(ISBLANK('Raw sheet'!L769),AVERAGE('Raw sheet'!$L$2:'Raw sheet'!$L$1500),'Raw sheet'!L769)</f>
        <v>7.6</v>
      </c>
      <c r="O769" s="5" t="str">
        <f>IF(Table1[[#This Row],[Stress_Index]]&gt;=8,"High",IF(N769&gt;=5,"Medium","Low"))</f>
        <v>Medium</v>
      </c>
      <c r="P769" s="3">
        <v>2.52</v>
      </c>
      <c r="Q769" s="2">
        <v>2.66</v>
      </c>
      <c r="R769" s="3">
        <v>2.73</v>
      </c>
      <c r="S769" s="3" t="str">
        <f>IF(Table1[[#This Row],[CGPA]]&gt;=3,"High",IF(R768&gt;=2,"Medium","Low"))</f>
        <v>Medium</v>
      </c>
      <c r="T769" s="2" t="s">
        <v>10</v>
      </c>
      <c r="U769" s="2" t="s">
        <v>13</v>
      </c>
      <c r="V769" s="2" t="s">
        <v>0</v>
      </c>
      <c r="W769" s="7">
        <v>0</v>
      </c>
      <c r="X769" t="str">
        <f t="shared" si="23"/>
        <v>Active</v>
      </c>
    </row>
    <row r="770" spans="1:24" x14ac:dyDescent="0.3">
      <c r="A770" s="2">
        <v>769</v>
      </c>
      <c r="B770" s="7">
        <v>19.600000000000001</v>
      </c>
      <c r="C770" s="2" t="s">
        <v>5</v>
      </c>
      <c r="D770" s="7">
        <f>IF(ISBLANK('Raw sheet'!D770),AVERAGE('Raw sheet'!$D$2:'Raw sheet'!$D$1500),'Raw sheet'!D770)</f>
        <v>66217</v>
      </c>
      <c r="E770" s="7" t="str">
        <f>IF(Table1[[#This Row],[Family_Income]]&gt;=100000,"Upper",IF(D770&gt;=50000,"Middle","Lower"))</f>
        <v>Middle</v>
      </c>
      <c r="F770" s="2" t="s">
        <v>4</v>
      </c>
      <c r="G770" s="3">
        <f>IF(ISBLANK('Raw sheet'!F770),AVERAGE('Raw sheet'!$F$2:'Raw sheet'!$F$1500),'Raw sheet'!F770)</f>
        <v>4.99</v>
      </c>
      <c r="H770" s="18">
        <v>61.5</v>
      </c>
      <c r="I770" s="9" t="str">
        <f t="shared" ref="I770:I833" si="24">IF(H770&gt;=75,"Good","Low")</f>
        <v>Low</v>
      </c>
      <c r="J770" s="2">
        <v>4</v>
      </c>
      <c r="K770" s="2">
        <v>13.5</v>
      </c>
      <c r="L770" s="2" t="s">
        <v>4</v>
      </c>
      <c r="M770" s="2" t="s">
        <v>3</v>
      </c>
      <c r="N770" s="5">
        <f>IF(ISBLANK('Raw sheet'!L770),AVERAGE('Raw sheet'!$L$2:'Raw sheet'!$L$1500),'Raw sheet'!L770)</f>
        <v>3.8</v>
      </c>
      <c r="O770" s="5" t="str">
        <f>IF(Table1[[#This Row],[Stress_Index]]&gt;=8,"High",IF(N770&gt;=5,"Medium","Low"))</f>
        <v>Low</v>
      </c>
      <c r="P770" s="3">
        <v>2.67</v>
      </c>
      <c r="Q770" s="2">
        <v>2.63</v>
      </c>
      <c r="R770" s="3">
        <v>2.63</v>
      </c>
      <c r="S770" s="3" t="str">
        <f>IF(Table1[[#This Row],[CGPA]]&gt;=3,"High",IF(R769&gt;=2,"Medium","Low"))</f>
        <v>Medium</v>
      </c>
      <c r="T770" s="2" t="s">
        <v>12</v>
      </c>
      <c r="U770" s="2" t="s">
        <v>14</v>
      </c>
      <c r="V770" s="2" t="s">
        <v>0</v>
      </c>
      <c r="W770" s="7">
        <v>1</v>
      </c>
      <c r="X770" t="str">
        <f t="shared" ref="X770:X833" si="25">IF(W770=1,"Dropped Out","Active")</f>
        <v>Dropped Out</v>
      </c>
    </row>
    <row r="771" spans="1:24" x14ac:dyDescent="0.3">
      <c r="A771" s="2">
        <v>770</v>
      </c>
      <c r="B771" s="7">
        <v>25</v>
      </c>
      <c r="C771" s="2" t="s">
        <v>11</v>
      </c>
      <c r="D771" s="7">
        <f>IF(ISBLANK('Raw sheet'!D771),AVERAGE('Raw sheet'!$D$2:'Raw sheet'!$D$1500),'Raw sheet'!D771)</f>
        <v>25000</v>
      </c>
      <c r="E771" s="7" t="str">
        <f>IF(Table1[[#This Row],[Family_Income]]&gt;=100000,"Upper",IF(D771&gt;=50000,"Middle","Lower"))</f>
        <v>Lower</v>
      </c>
      <c r="F771" s="2" t="s">
        <v>4</v>
      </c>
      <c r="G771" s="3">
        <f>IF(ISBLANK('Raw sheet'!F771),AVERAGE('Raw sheet'!$F$2:'Raw sheet'!$F$1500),'Raw sheet'!F771)</f>
        <v>4.21</v>
      </c>
      <c r="H771" s="18">
        <v>93.1</v>
      </c>
      <c r="I771" s="9" t="str">
        <f t="shared" si="24"/>
        <v>Good</v>
      </c>
      <c r="J771" s="2">
        <v>0</v>
      </c>
      <c r="K771" s="2">
        <v>30.5</v>
      </c>
      <c r="L771" s="2" t="s">
        <v>4</v>
      </c>
      <c r="M771" s="2" t="s">
        <v>3</v>
      </c>
      <c r="N771" s="5">
        <f>IF(ISBLANK('Raw sheet'!L771),AVERAGE('Raw sheet'!$L$2:'Raw sheet'!$L$1500),'Raw sheet'!L771)</f>
        <v>4.5</v>
      </c>
      <c r="O771" s="5" t="str">
        <f>IF(Table1[[#This Row],[Stress_Index]]&gt;=8,"High",IF(N771&gt;=5,"Medium","Low"))</f>
        <v>Low</v>
      </c>
      <c r="P771" s="3">
        <v>3.89</v>
      </c>
      <c r="Q771" s="2">
        <v>3.77</v>
      </c>
      <c r="R771" s="3">
        <v>3.77</v>
      </c>
      <c r="S771" s="3" t="str">
        <f>IF(Table1[[#This Row],[CGPA]]&gt;=3,"High",IF(R770&gt;=2,"Medium","Low"))</f>
        <v>High</v>
      </c>
      <c r="T771" s="2" t="s">
        <v>2</v>
      </c>
      <c r="U771" s="2" t="s">
        <v>1</v>
      </c>
      <c r="V771" s="2" t="s">
        <v>9</v>
      </c>
      <c r="W771" s="7">
        <v>0</v>
      </c>
      <c r="X771" t="str">
        <f t="shared" si="25"/>
        <v>Active</v>
      </c>
    </row>
    <row r="772" spans="1:24" x14ac:dyDescent="0.3">
      <c r="A772" s="2">
        <v>771</v>
      </c>
      <c r="B772" s="7">
        <v>22.6</v>
      </c>
      <c r="C772" s="2" t="s">
        <v>11</v>
      </c>
      <c r="D772" s="7">
        <f>IF(ISBLANK('Raw sheet'!D772),AVERAGE('Raw sheet'!$D$2:'Raw sheet'!$D$1500),'Raw sheet'!D772)</f>
        <v>106591</v>
      </c>
      <c r="E772" s="7" t="str">
        <f>IF(Table1[[#This Row],[Family_Income]]&gt;=100000,"Upper",IF(D772&gt;=50000,"Middle","Lower"))</f>
        <v>Upper</v>
      </c>
      <c r="F772" s="2" t="s">
        <v>4</v>
      </c>
      <c r="G772" s="3">
        <f>IF(ISBLANK('Raw sheet'!F772),AVERAGE('Raw sheet'!$F$2:'Raw sheet'!$F$1500),'Raw sheet'!F772)</f>
        <v>5.34</v>
      </c>
      <c r="H772" s="18">
        <v>93.7</v>
      </c>
      <c r="I772" s="9" t="str">
        <f t="shared" si="24"/>
        <v>Good</v>
      </c>
      <c r="J772" s="2">
        <v>4</v>
      </c>
      <c r="K772" s="2">
        <v>26.7</v>
      </c>
      <c r="L772" s="2" t="s">
        <v>3</v>
      </c>
      <c r="M772" s="2" t="s">
        <v>3</v>
      </c>
      <c r="N772" s="5">
        <f>IF(ISBLANK('Raw sheet'!L772),AVERAGE('Raw sheet'!$L$2:'Raw sheet'!$L$1500),'Raw sheet'!L772)</f>
        <v>7.1</v>
      </c>
      <c r="O772" s="5" t="str">
        <f>IF(Table1[[#This Row],[Stress_Index]]&gt;=8,"High",IF(N772&gt;=5,"Medium","Low"))</f>
        <v>Medium</v>
      </c>
      <c r="P772" s="3">
        <v>2.46</v>
      </c>
      <c r="Q772" s="2">
        <v>3.03</v>
      </c>
      <c r="R772" s="3">
        <v>3.02</v>
      </c>
      <c r="S772" s="3" t="str">
        <f>IF(Table1[[#This Row],[CGPA]]&gt;=3,"High",IF(R771&gt;=2,"Medium","Low"))</f>
        <v>High</v>
      </c>
      <c r="T772" s="2" t="s">
        <v>10</v>
      </c>
      <c r="U772" s="2" t="s">
        <v>8</v>
      </c>
      <c r="V772" s="2" t="s">
        <v>15</v>
      </c>
      <c r="W772" s="7">
        <v>0</v>
      </c>
      <c r="X772" t="str">
        <f t="shared" si="25"/>
        <v>Active</v>
      </c>
    </row>
    <row r="773" spans="1:24" x14ac:dyDescent="0.3">
      <c r="A773" s="2">
        <v>772</v>
      </c>
      <c r="B773" s="7">
        <v>19.8</v>
      </c>
      <c r="C773" s="2" t="s">
        <v>5</v>
      </c>
      <c r="D773" s="7">
        <f>IF(ISBLANK('Raw sheet'!D773),AVERAGE('Raw sheet'!$D$2:'Raw sheet'!$D$1500),'Raw sheet'!D773)</f>
        <v>25000</v>
      </c>
      <c r="E773" s="7" t="str">
        <f>IF(Table1[[#This Row],[Family_Income]]&gt;=100000,"Upper",IF(D773&gt;=50000,"Middle","Lower"))</f>
        <v>Lower</v>
      </c>
      <c r="F773" s="2" t="s">
        <v>4</v>
      </c>
      <c r="G773" s="3">
        <f>IF(ISBLANK('Raw sheet'!F773),AVERAGE('Raw sheet'!$F$2:'Raw sheet'!$F$1500),'Raw sheet'!F773)</f>
        <v>3.16</v>
      </c>
      <c r="H773" s="18">
        <v>74.599999999999994</v>
      </c>
      <c r="I773" s="9" t="str">
        <f t="shared" si="24"/>
        <v>Low</v>
      </c>
      <c r="J773" s="2">
        <v>3</v>
      </c>
      <c r="K773" s="2">
        <v>42.2</v>
      </c>
      <c r="L773" s="2" t="s">
        <v>3</v>
      </c>
      <c r="M773" s="2" t="s">
        <v>3</v>
      </c>
      <c r="N773" s="5">
        <f>IF(ISBLANK('Raw sheet'!L773),AVERAGE('Raw sheet'!$L$2:'Raw sheet'!$L$1500),'Raw sheet'!L773)</f>
        <v>9.1999999999999993</v>
      </c>
      <c r="O773" s="5" t="str">
        <f>IF(Table1[[#This Row],[Stress_Index]]&gt;=8,"High",IF(N773&gt;=5,"Medium","Low"))</f>
        <v>High</v>
      </c>
      <c r="P773" s="3">
        <v>2.02</v>
      </c>
      <c r="Q773" s="2">
        <v>2.33</v>
      </c>
      <c r="R773" s="3">
        <v>2.29</v>
      </c>
      <c r="S773" s="3" t="str">
        <f>IF(Table1[[#This Row],[CGPA]]&gt;=3,"High",IF(R772&gt;=2,"Medium","Low"))</f>
        <v>Medium</v>
      </c>
      <c r="T773" s="2" t="s">
        <v>7</v>
      </c>
      <c r="U773" s="2" t="s">
        <v>8</v>
      </c>
      <c r="V773" s="2" t="s">
        <v>9</v>
      </c>
      <c r="W773" s="7">
        <v>1</v>
      </c>
      <c r="X773" t="str">
        <f t="shared" si="25"/>
        <v>Dropped Out</v>
      </c>
    </row>
    <row r="774" spans="1:24" x14ac:dyDescent="0.3">
      <c r="A774" s="2">
        <v>773</v>
      </c>
      <c r="B774" s="7">
        <v>22.4</v>
      </c>
      <c r="C774" s="2" t="s">
        <v>5</v>
      </c>
      <c r="D774" s="7">
        <f>IF(ISBLANK('Raw sheet'!D774),AVERAGE('Raw sheet'!$D$2:'Raw sheet'!$D$1500),'Raw sheet'!D774)</f>
        <v>25000</v>
      </c>
      <c r="E774" s="7" t="str">
        <f>IF(Table1[[#This Row],[Family_Income]]&gt;=100000,"Upper",IF(D774&gt;=50000,"Middle","Lower"))</f>
        <v>Lower</v>
      </c>
      <c r="F774" s="2" t="s">
        <v>3</v>
      </c>
      <c r="G774" s="3">
        <f>IF(ISBLANK('Raw sheet'!F774),AVERAGE('Raw sheet'!$F$2:'Raw sheet'!$F$1500),'Raw sheet'!F774)</f>
        <v>4.26</v>
      </c>
      <c r="H774" s="18">
        <v>78.8</v>
      </c>
      <c r="I774" s="9" t="str">
        <f t="shared" si="24"/>
        <v>Good</v>
      </c>
      <c r="J774" s="2">
        <v>1</v>
      </c>
      <c r="K774" s="2">
        <v>43.4</v>
      </c>
      <c r="L774" s="2" t="s">
        <v>4</v>
      </c>
      <c r="M774" s="2" t="s">
        <v>4</v>
      </c>
      <c r="N774" s="5">
        <f>IF(ISBLANK('Raw sheet'!L774),AVERAGE('Raw sheet'!$L$2:'Raw sheet'!$L$1500),'Raw sheet'!L774)</f>
        <v>8.3000000000000007</v>
      </c>
      <c r="O774" s="5" t="str">
        <f>IF(Table1[[#This Row],[Stress_Index]]&gt;=8,"High",IF(N774&gt;=5,"Medium","Low"))</f>
        <v>High</v>
      </c>
      <c r="P774" s="3">
        <v>2.6</v>
      </c>
      <c r="Q774" s="2">
        <v>2.78</v>
      </c>
      <c r="R774" s="3">
        <v>2.83</v>
      </c>
      <c r="S774" s="3" t="str">
        <f>IF(Table1[[#This Row],[CGPA]]&gt;=3,"High",IF(R773&gt;=2,"Medium","Low"))</f>
        <v>Medium</v>
      </c>
      <c r="T774" s="2" t="s">
        <v>7</v>
      </c>
      <c r="U774" s="2" t="s">
        <v>1</v>
      </c>
      <c r="V774" s="2" t="s">
        <v>15</v>
      </c>
      <c r="W774" s="7">
        <v>0</v>
      </c>
      <c r="X774" t="str">
        <f t="shared" si="25"/>
        <v>Active</v>
      </c>
    </row>
    <row r="775" spans="1:24" x14ac:dyDescent="0.3">
      <c r="A775" s="2">
        <v>774</v>
      </c>
      <c r="B775" s="7">
        <v>23.1</v>
      </c>
      <c r="C775" s="2" t="s">
        <v>11</v>
      </c>
      <c r="D775" s="7">
        <f>IF(ISBLANK('Raw sheet'!D775),AVERAGE('Raw sheet'!$D$2:'Raw sheet'!$D$1500),'Raw sheet'!D775)</f>
        <v>32189</v>
      </c>
      <c r="E775" s="7" t="str">
        <f>IF(Table1[[#This Row],[Family_Income]]&gt;=100000,"Upper",IF(D775&gt;=50000,"Middle","Lower"))</f>
        <v>Lower</v>
      </c>
      <c r="F775" s="2" t="s">
        <v>4</v>
      </c>
      <c r="G775" s="3">
        <f>IF(ISBLANK('Raw sheet'!F775),AVERAGE('Raw sheet'!$F$2:'Raw sheet'!$F$1500),'Raw sheet'!F775)</f>
        <v>3.91</v>
      </c>
      <c r="H775" s="18">
        <v>93.5</v>
      </c>
      <c r="I775" s="9" t="str">
        <f t="shared" si="24"/>
        <v>Good</v>
      </c>
      <c r="J775" s="2">
        <v>0</v>
      </c>
      <c r="K775" s="2">
        <v>28</v>
      </c>
      <c r="L775" s="2" t="s">
        <v>4</v>
      </c>
      <c r="M775" s="2" t="s">
        <v>4</v>
      </c>
      <c r="N775" s="5">
        <f>IF(ISBLANK('Raw sheet'!L775),AVERAGE('Raw sheet'!$L$2:'Raw sheet'!$L$1500),'Raw sheet'!L775)</f>
        <v>5.8</v>
      </c>
      <c r="O775" s="5" t="str">
        <f>IF(Table1[[#This Row],[Stress_Index]]&gt;=8,"High",IF(N775&gt;=5,"Medium","Low"))</f>
        <v>Medium</v>
      </c>
      <c r="P775" s="3">
        <v>3.32</v>
      </c>
      <c r="Q775" s="2">
        <v>3.61</v>
      </c>
      <c r="R775" s="3">
        <v>3.61</v>
      </c>
      <c r="S775" s="3" t="str">
        <f>IF(Table1[[#This Row],[CGPA]]&gt;=3,"High",IF(R774&gt;=2,"Medium","Low"))</f>
        <v>High</v>
      </c>
      <c r="T775" s="2" t="s">
        <v>2</v>
      </c>
      <c r="U775" s="2" t="s">
        <v>8</v>
      </c>
      <c r="V775" s="2" t="s">
        <v>15</v>
      </c>
      <c r="W775" s="7">
        <v>0</v>
      </c>
      <c r="X775" t="str">
        <f t="shared" si="25"/>
        <v>Active</v>
      </c>
    </row>
    <row r="776" spans="1:24" x14ac:dyDescent="0.3">
      <c r="A776" s="2">
        <v>775</v>
      </c>
      <c r="B776" s="7">
        <v>22.4</v>
      </c>
      <c r="C776" s="2" t="s">
        <v>11</v>
      </c>
      <c r="D776" s="7">
        <f>IF(ISBLANK('Raw sheet'!D776),AVERAGE('Raw sheet'!$D$2:'Raw sheet'!$D$1500),'Raw sheet'!D776)</f>
        <v>111861</v>
      </c>
      <c r="E776" s="7" t="str">
        <f>IF(Table1[[#This Row],[Family_Income]]&gt;=100000,"Upper",IF(D776&gt;=50000,"Middle","Lower"))</f>
        <v>Upper</v>
      </c>
      <c r="F776" s="2" t="s">
        <v>4</v>
      </c>
      <c r="G776" s="3">
        <f>IF(ISBLANK('Raw sheet'!F776),AVERAGE('Raw sheet'!$F$2:'Raw sheet'!$F$1500),'Raw sheet'!F776)</f>
        <v>3.49</v>
      </c>
      <c r="H776" s="18">
        <v>82.4</v>
      </c>
      <c r="I776" s="9" t="str">
        <f t="shared" si="24"/>
        <v>Good</v>
      </c>
      <c r="J776" s="2">
        <v>3</v>
      </c>
      <c r="K776" s="2">
        <v>6.5</v>
      </c>
      <c r="L776" s="2" t="s">
        <v>3</v>
      </c>
      <c r="M776" s="2" t="s">
        <v>4</v>
      </c>
      <c r="N776" s="5">
        <f>IF(ISBLANK('Raw sheet'!L776),AVERAGE('Raw sheet'!$L$2:'Raw sheet'!$L$1500),'Raw sheet'!L776)</f>
        <v>6.8</v>
      </c>
      <c r="O776" s="5" t="str">
        <f>IF(Table1[[#This Row],[Stress_Index]]&gt;=8,"High",IF(N776&gt;=5,"Medium","Low"))</f>
        <v>Medium</v>
      </c>
      <c r="P776" s="3">
        <v>2.21</v>
      </c>
      <c r="Q776" s="2">
        <v>2.15</v>
      </c>
      <c r="R776" s="3">
        <v>2.0299999999999998</v>
      </c>
      <c r="S776" s="3" t="str">
        <f>IF(Table1[[#This Row],[CGPA]]&gt;=3,"High",IF(R775&gt;=2,"Medium","Low"))</f>
        <v>Medium</v>
      </c>
      <c r="T776" s="2" t="s">
        <v>7</v>
      </c>
      <c r="U776" s="2" t="s">
        <v>13</v>
      </c>
      <c r="V776" s="2" t="s">
        <v>17</v>
      </c>
      <c r="W776" s="7">
        <v>0</v>
      </c>
      <c r="X776" t="str">
        <f t="shared" si="25"/>
        <v>Active</v>
      </c>
    </row>
    <row r="777" spans="1:24" x14ac:dyDescent="0.3">
      <c r="A777" s="2">
        <v>776</v>
      </c>
      <c r="B777" s="7">
        <v>17.5</v>
      </c>
      <c r="C777" s="2" t="s">
        <v>11</v>
      </c>
      <c r="D777" s="7">
        <f>IF(ISBLANK('Raw sheet'!D777),AVERAGE('Raw sheet'!$D$2:'Raw sheet'!$D$1500),'Raw sheet'!D777)</f>
        <v>25000</v>
      </c>
      <c r="E777" s="7" t="str">
        <f>IF(Table1[[#This Row],[Family_Income]]&gt;=100000,"Upper",IF(D777&gt;=50000,"Middle","Lower"))</f>
        <v>Lower</v>
      </c>
      <c r="F777" s="2" t="s">
        <v>4</v>
      </c>
      <c r="G777" s="3">
        <f>IF(ISBLANK('Raw sheet'!F777),AVERAGE('Raw sheet'!$F$2:'Raw sheet'!$F$1500),'Raw sheet'!F777)</f>
        <v>2.33</v>
      </c>
      <c r="H777" s="18">
        <v>77.3</v>
      </c>
      <c r="I777" s="9" t="str">
        <f t="shared" si="24"/>
        <v>Good</v>
      </c>
      <c r="J777" s="2">
        <v>1</v>
      </c>
      <c r="K777" s="2">
        <v>12.3</v>
      </c>
      <c r="L777" s="2" t="s">
        <v>4</v>
      </c>
      <c r="M777" s="2" t="s">
        <v>3</v>
      </c>
      <c r="N777" s="5">
        <f>IF(ISBLANK('Raw sheet'!L777),AVERAGE('Raw sheet'!$L$2:'Raw sheet'!$L$1500),'Raw sheet'!L777)</f>
        <v>3.5</v>
      </c>
      <c r="O777" s="5" t="str">
        <f>IF(Table1[[#This Row],[Stress_Index]]&gt;=8,"High",IF(N777&gt;=5,"Medium","Low"))</f>
        <v>Low</v>
      </c>
      <c r="P777" s="3">
        <v>2.37</v>
      </c>
      <c r="Q777" s="2">
        <v>2.56</v>
      </c>
      <c r="R777" s="3">
        <v>2.52</v>
      </c>
      <c r="S777" s="3" t="str">
        <f>IF(Table1[[#This Row],[CGPA]]&gt;=3,"High",IF(R776&gt;=2,"Medium","Low"))</f>
        <v>Medium</v>
      </c>
      <c r="T777" s="2" t="s">
        <v>12</v>
      </c>
      <c r="U777" s="2" t="s">
        <v>6</v>
      </c>
      <c r="V777" s="2" t="s">
        <v>9</v>
      </c>
      <c r="W777" s="7">
        <v>0</v>
      </c>
      <c r="X777" t="str">
        <f t="shared" si="25"/>
        <v>Active</v>
      </c>
    </row>
    <row r="778" spans="1:24" x14ac:dyDescent="0.3">
      <c r="A778" s="2">
        <v>777</v>
      </c>
      <c r="B778" s="7">
        <v>19.399999999999999</v>
      </c>
      <c r="C778" s="2" t="s">
        <v>5</v>
      </c>
      <c r="D778" s="7">
        <f>IF(ISBLANK('Raw sheet'!D778),AVERAGE('Raw sheet'!$D$2:'Raw sheet'!$D$1500),'Raw sheet'!D778)</f>
        <v>27320</v>
      </c>
      <c r="E778" s="7" t="str">
        <f>IF(Table1[[#This Row],[Family_Income]]&gt;=100000,"Upper",IF(D778&gt;=50000,"Middle","Lower"))</f>
        <v>Lower</v>
      </c>
      <c r="F778" s="2" t="s">
        <v>4</v>
      </c>
      <c r="G778" s="3">
        <f>IF(ISBLANK('Raw sheet'!F778),AVERAGE('Raw sheet'!$F$2:'Raw sheet'!$F$1500),'Raw sheet'!F778)</f>
        <v>3.45</v>
      </c>
      <c r="H778" s="18">
        <v>76</v>
      </c>
      <c r="I778" s="9" t="str">
        <f t="shared" si="24"/>
        <v>Good</v>
      </c>
      <c r="J778" s="2">
        <v>1</v>
      </c>
      <c r="K778" s="2">
        <v>43.5</v>
      </c>
      <c r="L778" s="2" t="s">
        <v>3</v>
      </c>
      <c r="M778" s="2" t="s">
        <v>3</v>
      </c>
      <c r="N778" s="5">
        <f>IF(ISBLANK('Raw sheet'!L778),AVERAGE('Raw sheet'!$L$2:'Raw sheet'!$L$1500),'Raw sheet'!L778)</f>
        <v>2.6</v>
      </c>
      <c r="O778" s="5" t="str">
        <f>IF(Table1[[#This Row],[Stress_Index]]&gt;=8,"High",IF(N778&gt;=5,"Medium","Low"))</f>
        <v>Low</v>
      </c>
      <c r="P778" s="3">
        <v>2.12</v>
      </c>
      <c r="Q778" s="2">
        <v>1.59</v>
      </c>
      <c r="R778" s="3">
        <v>1.59</v>
      </c>
      <c r="S778" s="3" t="str">
        <f>IF(Table1[[#This Row],[CGPA]]&gt;=3,"High",IF(R777&gt;=2,"Medium","Low"))</f>
        <v>Medium</v>
      </c>
      <c r="T778" s="2" t="s">
        <v>2</v>
      </c>
      <c r="U778" s="2" t="s">
        <v>13</v>
      </c>
      <c r="V778" s="2" t="s">
        <v>0</v>
      </c>
      <c r="W778" s="7">
        <v>0</v>
      </c>
      <c r="X778" t="str">
        <f t="shared" si="25"/>
        <v>Active</v>
      </c>
    </row>
    <row r="779" spans="1:24" x14ac:dyDescent="0.3">
      <c r="A779" s="2">
        <v>778</v>
      </c>
      <c r="B779" s="7">
        <v>20.5</v>
      </c>
      <c r="C779" s="2" t="s">
        <v>11</v>
      </c>
      <c r="D779" s="7">
        <f>IF(ISBLANK('Raw sheet'!D779),AVERAGE('Raw sheet'!$D$2:'Raw sheet'!$D$1500),'Raw sheet'!D779)</f>
        <v>39567</v>
      </c>
      <c r="E779" s="7" t="str">
        <f>IF(Table1[[#This Row],[Family_Income]]&gt;=100000,"Upper",IF(D779&gt;=50000,"Middle","Lower"))</f>
        <v>Lower</v>
      </c>
      <c r="F779" s="2" t="s">
        <v>4</v>
      </c>
      <c r="G779" s="3">
        <f>IF(ISBLANK('Raw sheet'!F779),AVERAGE('Raw sheet'!$F$2:'Raw sheet'!$F$1500),'Raw sheet'!F779)</f>
        <v>3.3</v>
      </c>
      <c r="H779" s="18">
        <v>100</v>
      </c>
      <c r="I779" s="9" t="str">
        <f t="shared" si="24"/>
        <v>Good</v>
      </c>
      <c r="J779" s="2">
        <v>0</v>
      </c>
      <c r="K779" s="2">
        <v>28.3</v>
      </c>
      <c r="L779" s="2" t="s">
        <v>3</v>
      </c>
      <c r="M779" s="2" t="s">
        <v>4</v>
      </c>
      <c r="N779" s="5">
        <f>IF(ISBLANK('Raw sheet'!L779),AVERAGE('Raw sheet'!$L$2:'Raw sheet'!$L$1500),'Raw sheet'!L779)</f>
        <v>7.4</v>
      </c>
      <c r="O779" s="5" t="str">
        <f>IF(Table1[[#This Row],[Stress_Index]]&gt;=8,"High",IF(N779&gt;=5,"Medium","Low"))</f>
        <v>Medium</v>
      </c>
      <c r="P779" s="3">
        <v>0.85</v>
      </c>
      <c r="Q779" s="2">
        <v>0.83</v>
      </c>
      <c r="R779" s="3">
        <v>0.81</v>
      </c>
      <c r="S779" s="3" t="str">
        <f>IF(Table1[[#This Row],[CGPA]]&gt;=3,"High",IF(R778&gt;=2,"Medium","Low"))</f>
        <v>Low</v>
      </c>
      <c r="T779" s="2" t="s">
        <v>7</v>
      </c>
      <c r="U779" s="2" t="s">
        <v>14</v>
      </c>
      <c r="V779" s="2" t="s">
        <v>9</v>
      </c>
      <c r="W779" s="7">
        <v>0</v>
      </c>
      <c r="X779" t="str">
        <f t="shared" si="25"/>
        <v>Active</v>
      </c>
    </row>
    <row r="780" spans="1:24" x14ac:dyDescent="0.3">
      <c r="A780" s="2">
        <v>779</v>
      </c>
      <c r="B780" s="7">
        <v>20.8</v>
      </c>
      <c r="C780" s="2" t="s">
        <v>5</v>
      </c>
      <c r="D780" s="7">
        <f>IF(ISBLANK('Raw sheet'!D780),AVERAGE('Raw sheet'!$D$2:'Raw sheet'!$D$1500),'Raw sheet'!D780)</f>
        <v>30339</v>
      </c>
      <c r="E780" s="7" t="str">
        <f>IF(Table1[[#This Row],[Family_Income]]&gt;=100000,"Upper",IF(D780&gt;=50000,"Middle","Lower"))</f>
        <v>Lower</v>
      </c>
      <c r="F780" s="2" t="s">
        <v>4</v>
      </c>
      <c r="G780" s="3">
        <f>IF(ISBLANK('Raw sheet'!F780),AVERAGE('Raw sheet'!$F$2:'Raw sheet'!$F$1500),'Raw sheet'!F780)</f>
        <v>5.63</v>
      </c>
      <c r="H780" s="18">
        <v>88.3</v>
      </c>
      <c r="I780" s="9" t="str">
        <f t="shared" si="24"/>
        <v>Good</v>
      </c>
      <c r="J780" s="2">
        <v>2</v>
      </c>
      <c r="K780" s="2">
        <v>51</v>
      </c>
      <c r="L780" s="2" t="s">
        <v>3</v>
      </c>
      <c r="M780" s="2" t="s">
        <v>4</v>
      </c>
      <c r="N780" s="5">
        <f>IF(ISBLANK('Raw sheet'!L780),AVERAGE('Raw sheet'!$L$2:'Raw sheet'!$L$1500),'Raw sheet'!L780)</f>
        <v>6.1</v>
      </c>
      <c r="O780" s="5" t="str">
        <f>IF(Table1[[#This Row],[Stress_Index]]&gt;=8,"High",IF(N780&gt;=5,"Medium","Low"))</f>
        <v>Medium</v>
      </c>
      <c r="P780" s="3">
        <v>3.26</v>
      </c>
      <c r="Q780" s="2">
        <v>3.52</v>
      </c>
      <c r="R780" s="3">
        <v>3.52</v>
      </c>
      <c r="S780" s="3" t="str">
        <f>IF(Table1[[#This Row],[CGPA]]&gt;=3,"High",IF(R779&gt;=2,"Medium","Low"))</f>
        <v>High</v>
      </c>
      <c r="T780" s="2" t="s">
        <v>7</v>
      </c>
      <c r="U780" s="2" t="s">
        <v>1</v>
      </c>
      <c r="V780" s="2" t="s">
        <v>0</v>
      </c>
      <c r="W780" s="7">
        <v>0</v>
      </c>
      <c r="X780" t="str">
        <f t="shared" si="25"/>
        <v>Active</v>
      </c>
    </row>
    <row r="781" spans="1:24" x14ac:dyDescent="0.3">
      <c r="A781" s="2">
        <v>780</v>
      </c>
      <c r="B781" s="7">
        <v>22.4</v>
      </c>
      <c r="C781" s="2" t="s">
        <v>11</v>
      </c>
      <c r="D781" s="7">
        <f>IF(ISBLANK('Raw sheet'!D781),AVERAGE('Raw sheet'!$D$2:'Raw sheet'!$D$1500),'Raw sheet'!D781)</f>
        <v>37390</v>
      </c>
      <c r="E781" s="7" t="str">
        <f>IF(Table1[[#This Row],[Family_Income]]&gt;=100000,"Upper",IF(D781&gt;=50000,"Middle","Lower"))</f>
        <v>Lower</v>
      </c>
      <c r="F781" s="2" t="s">
        <v>4</v>
      </c>
      <c r="G781" s="3">
        <f>IF(ISBLANK('Raw sheet'!F781),AVERAGE('Raw sheet'!$F$2:'Raw sheet'!$F$1500),'Raw sheet'!F781)</f>
        <v>4.74</v>
      </c>
      <c r="H781" s="18">
        <v>79.8</v>
      </c>
      <c r="I781" s="9" t="str">
        <f t="shared" si="24"/>
        <v>Good</v>
      </c>
      <c r="J781" s="2">
        <v>0</v>
      </c>
      <c r="K781" s="2">
        <v>40.799999999999997</v>
      </c>
      <c r="L781" s="2" t="s">
        <v>3</v>
      </c>
      <c r="M781" s="2" t="s">
        <v>3</v>
      </c>
      <c r="N781" s="5">
        <f>IF(ISBLANK('Raw sheet'!L781),AVERAGE('Raw sheet'!$L$2:'Raw sheet'!$L$1500),'Raw sheet'!L781)</f>
        <v>2.9</v>
      </c>
      <c r="O781" s="5" t="str">
        <f>IF(Table1[[#This Row],[Stress_Index]]&gt;=8,"High",IF(N781&gt;=5,"Medium","Low"))</f>
        <v>Low</v>
      </c>
      <c r="P781" s="3">
        <v>2.0099999999999998</v>
      </c>
      <c r="Q781" s="2">
        <v>1.44</v>
      </c>
      <c r="R781" s="3">
        <v>1.44</v>
      </c>
      <c r="S781" s="3" t="str">
        <f>IF(Table1[[#This Row],[CGPA]]&gt;=3,"High",IF(R780&gt;=2,"Medium","Low"))</f>
        <v>Medium</v>
      </c>
      <c r="T781" s="2" t="s">
        <v>2</v>
      </c>
      <c r="U781" s="2" t="s">
        <v>6</v>
      </c>
      <c r="V781" s="2" t="s">
        <v>17</v>
      </c>
      <c r="W781" s="7">
        <v>0</v>
      </c>
      <c r="X781" t="str">
        <f t="shared" si="25"/>
        <v>Active</v>
      </c>
    </row>
    <row r="782" spans="1:24" x14ac:dyDescent="0.3">
      <c r="A782" s="2">
        <v>781</v>
      </c>
      <c r="B782" s="7">
        <v>21.4</v>
      </c>
      <c r="C782" s="2" t="s">
        <v>11</v>
      </c>
      <c r="D782" s="7">
        <f>IF(ISBLANK('Raw sheet'!D782),AVERAGE('Raw sheet'!$D$2:'Raw sheet'!$D$1500),'Raw sheet'!D782)</f>
        <v>25000</v>
      </c>
      <c r="E782" s="7" t="str">
        <f>IF(Table1[[#This Row],[Family_Income]]&gt;=100000,"Upper",IF(D782&gt;=50000,"Middle","Lower"))</f>
        <v>Lower</v>
      </c>
      <c r="F782" s="2" t="s">
        <v>4</v>
      </c>
      <c r="G782" s="3">
        <f>IF(ISBLANK('Raw sheet'!F782),AVERAGE('Raw sheet'!$F$2:'Raw sheet'!$F$1500),'Raw sheet'!F782)</f>
        <v>4.58</v>
      </c>
      <c r="H782" s="18">
        <v>93.4</v>
      </c>
      <c r="I782" s="9" t="str">
        <f t="shared" si="24"/>
        <v>Good</v>
      </c>
      <c r="J782" s="2">
        <v>1</v>
      </c>
      <c r="K782" s="2">
        <v>33.1</v>
      </c>
      <c r="L782" s="2" t="s">
        <v>3</v>
      </c>
      <c r="M782" s="2" t="s">
        <v>3</v>
      </c>
      <c r="N782" s="5">
        <f>IF(ISBLANK('Raw sheet'!L782),AVERAGE('Raw sheet'!$L$2:'Raw sheet'!$L$1500),'Raw sheet'!L782)</f>
        <v>5.4</v>
      </c>
      <c r="O782" s="5" t="str">
        <f>IF(Table1[[#This Row],[Stress_Index]]&gt;=8,"High",IF(N782&gt;=5,"Medium","Low"))</f>
        <v>Medium</v>
      </c>
      <c r="P782" s="3">
        <v>1.94</v>
      </c>
      <c r="Q782" s="2">
        <v>2.04</v>
      </c>
      <c r="R782" s="3">
        <v>2.0299999999999998</v>
      </c>
      <c r="S782" s="3" t="str">
        <f>IF(Table1[[#This Row],[CGPA]]&gt;=3,"High",IF(R781&gt;=2,"Medium","Low"))</f>
        <v>Low</v>
      </c>
      <c r="T782" s="2" t="s">
        <v>10</v>
      </c>
      <c r="U782" s="2" t="s">
        <v>14</v>
      </c>
      <c r="V782" s="2" t="s">
        <v>0</v>
      </c>
      <c r="W782" s="7">
        <v>0</v>
      </c>
      <c r="X782" t="str">
        <f t="shared" si="25"/>
        <v>Active</v>
      </c>
    </row>
    <row r="783" spans="1:24" x14ac:dyDescent="0.3">
      <c r="A783" s="2">
        <v>782</v>
      </c>
      <c r="B783" s="7">
        <v>18.100000000000001</v>
      </c>
      <c r="C783" s="2" t="s">
        <v>5</v>
      </c>
      <c r="D783" s="7">
        <f>IF(ISBLANK('Raw sheet'!D783),AVERAGE('Raw sheet'!$D$2:'Raw sheet'!$D$1500),'Raw sheet'!D783)</f>
        <v>25000</v>
      </c>
      <c r="E783" s="7" t="str">
        <f>IF(Table1[[#This Row],[Family_Income]]&gt;=100000,"Upper",IF(D783&gt;=50000,"Middle","Lower"))</f>
        <v>Lower</v>
      </c>
      <c r="F783" s="2" t="s">
        <v>3</v>
      </c>
      <c r="G783" s="3">
        <f>IF(ISBLANK('Raw sheet'!F783),AVERAGE('Raw sheet'!$F$2:'Raw sheet'!$F$1500),'Raw sheet'!F783)</f>
        <v>3.76</v>
      </c>
      <c r="H783" s="18">
        <v>81.3</v>
      </c>
      <c r="I783" s="9" t="str">
        <f t="shared" si="24"/>
        <v>Good</v>
      </c>
      <c r="J783" s="2">
        <v>0</v>
      </c>
      <c r="K783" s="2">
        <v>31.5</v>
      </c>
      <c r="L783" s="2" t="s">
        <v>4</v>
      </c>
      <c r="M783" s="2" t="s">
        <v>4</v>
      </c>
      <c r="N783" s="5">
        <f>IF(ISBLANK('Raw sheet'!L783),AVERAGE('Raw sheet'!$L$2:'Raw sheet'!$L$1500),'Raw sheet'!L783)</f>
        <v>6.6</v>
      </c>
      <c r="O783" s="5" t="str">
        <f>IF(Table1[[#This Row],[Stress_Index]]&gt;=8,"High",IF(N783&gt;=5,"Medium","Low"))</f>
        <v>Medium</v>
      </c>
      <c r="P783" s="3">
        <v>3.28</v>
      </c>
      <c r="Q783" s="2">
        <v>3.28</v>
      </c>
      <c r="R783" s="3">
        <v>3.32</v>
      </c>
      <c r="S783" s="3" t="str">
        <f>IF(Table1[[#This Row],[CGPA]]&gt;=3,"High",IF(R782&gt;=2,"Medium","Low"))</f>
        <v>High</v>
      </c>
      <c r="T783" s="2" t="s">
        <v>7</v>
      </c>
      <c r="U783" s="2" t="s">
        <v>14</v>
      </c>
      <c r="V783" s="2" t="s">
        <v>9</v>
      </c>
      <c r="W783" s="7">
        <v>0</v>
      </c>
      <c r="X783" t="str">
        <f t="shared" si="25"/>
        <v>Active</v>
      </c>
    </row>
    <row r="784" spans="1:24" x14ac:dyDescent="0.3">
      <c r="A784" s="2">
        <v>783</v>
      </c>
      <c r="B784" s="7">
        <v>21.8</v>
      </c>
      <c r="C784" s="2" t="s">
        <v>11</v>
      </c>
      <c r="D784" s="7">
        <f>IF(ISBLANK('Raw sheet'!D784),AVERAGE('Raw sheet'!$D$2:'Raw sheet'!$D$1500),'Raw sheet'!D784)</f>
        <v>27199</v>
      </c>
      <c r="E784" s="7" t="str">
        <f>IF(Table1[[#This Row],[Family_Income]]&gt;=100000,"Upper",IF(D784&gt;=50000,"Middle","Lower"))</f>
        <v>Lower</v>
      </c>
      <c r="F784" s="2" t="s">
        <v>3</v>
      </c>
      <c r="G784" s="3">
        <f>IF(ISBLANK('Raw sheet'!F784),AVERAGE('Raw sheet'!$F$2:'Raw sheet'!$F$1500),'Raw sheet'!F784)</f>
        <v>2.84</v>
      </c>
      <c r="H784" s="18">
        <v>91.7</v>
      </c>
      <c r="I784" s="9" t="str">
        <f t="shared" si="24"/>
        <v>Good</v>
      </c>
      <c r="J784" s="2">
        <v>3</v>
      </c>
      <c r="K784" s="2">
        <v>16.2</v>
      </c>
      <c r="L784" s="2" t="s">
        <v>4</v>
      </c>
      <c r="M784" s="2" t="s">
        <v>3</v>
      </c>
      <c r="N784" s="5">
        <f>IF(ISBLANK('Raw sheet'!L784),AVERAGE('Raw sheet'!$L$2:'Raw sheet'!$L$1500),'Raw sheet'!L784)</f>
        <v>7.1</v>
      </c>
      <c r="O784" s="5" t="str">
        <f>IF(Table1[[#This Row],[Stress_Index]]&gt;=8,"High",IF(N784&gt;=5,"Medium","Low"))</f>
        <v>Medium</v>
      </c>
      <c r="P784" s="3">
        <v>2.5299999999999998</v>
      </c>
      <c r="Q784" s="2">
        <v>3.07</v>
      </c>
      <c r="R784" s="3">
        <v>3.07</v>
      </c>
      <c r="S784" s="3" t="str">
        <f>IF(Table1[[#This Row],[CGPA]]&gt;=3,"High",IF(R783&gt;=2,"Medium","Low"))</f>
        <v>High</v>
      </c>
      <c r="T784" s="2" t="s">
        <v>10</v>
      </c>
      <c r="U784" s="2" t="s">
        <v>6</v>
      </c>
      <c r="V784" s="2" t="s">
        <v>15</v>
      </c>
      <c r="W784" s="7">
        <v>0</v>
      </c>
      <c r="X784" t="str">
        <f t="shared" si="25"/>
        <v>Active</v>
      </c>
    </row>
    <row r="785" spans="1:24" x14ac:dyDescent="0.3">
      <c r="A785" s="2">
        <v>784</v>
      </c>
      <c r="B785" s="7">
        <v>22.3</v>
      </c>
      <c r="C785" s="2" t="s">
        <v>11</v>
      </c>
      <c r="D785" s="7">
        <f>IF(ISBLANK('Raw sheet'!D785),AVERAGE('Raw sheet'!$D$2:'Raw sheet'!$D$1500),'Raw sheet'!D785)</f>
        <v>25000</v>
      </c>
      <c r="E785" s="7" t="str">
        <f>IF(Table1[[#This Row],[Family_Income]]&gt;=100000,"Upper",IF(D785&gt;=50000,"Middle","Lower"))</f>
        <v>Lower</v>
      </c>
      <c r="F785" s="2" t="s">
        <v>3</v>
      </c>
      <c r="G785" s="3">
        <f>IF(ISBLANK('Raw sheet'!F785),AVERAGE('Raw sheet'!$F$2:'Raw sheet'!$F$1500),'Raw sheet'!F785)</f>
        <v>4.29</v>
      </c>
      <c r="H785" s="18">
        <v>86.6</v>
      </c>
      <c r="I785" s="9" t="str">
        <f t="shared" si="24"/>
        <v>Good</v>
      </c>
      <c r="J785" s="2">
        <v>1</v>
      </c>
      <c r="K785" s="2">
        <v>22.4</v>
      </c>
      <c r="L785" s="2" t="s">
        <v>4</v>
      </c>
      <c r="M785" s="2" t="s">
        <v>4</v>
      </c>
      <c r="N785" s="5">
        <f>IF(ISBLANK('Raw sheet'!L785),AVERAGE('Raw sheet'!$L$2:'Raw sheet'!$L$1500),'Raw sheet'!L785)</f>
        <v>6.6</v>
      </c>
      <c r="O785" s="5" t="str">
        <f>IF(Table1[[#This Row],[Stress_Index]]&gt;=8,"High",IF(N785&gt;=5,"Medium","Low"))</f>
        <v>Medium</v>
      </c>
      <c r="P785" s="3">
        <v>3.7</v>
      </c>
      <c r="Q785" s="2">
        <v>3.1</v>
      </c>
      <c r="R785" s="3">
        <v>3.16</v>
      </c>
      <c r="S785" s="3" t="str">
        <f>IF(Table1[[#This Row],[CGPA]]&gt;=3,"High",IF(R784&gt;=2,"Medium","Low"))</f>
        <v>High</v>
      </c>
      <c r="T785" s="2" t="s">
        <v>10</v>
      </c>
      <c r="U785" s="2" t="s">
        <v>14</v>
      </c>
      <c r="V785" s="2" t="s">
        <v>0</v>
      </c>
      <c r="W785" s="7">
        <v>0</v>
      </c>
      <c r="X785" t="str">
        <f t="shared" si="25"/>
        <v>Active</v>
      </c>
    </row>
    <row r="786" spans="1:24" x14ac:dyDescent="0.3">
      <c r="A786" s="2">
        <v>785</v>
      </c>
      <c r="B786" s="7">
        <v>22.2</v>
      </c>
      <c r="C786" s="2" t="s">
        <v>11</v>
      </c>
      <c r="D786" s="7">
        <f>IF(ISBLANK('Raw sheet'!D786),AVERAGE('Raw sheet'!$D$2:'Raw sheet'!$D$1500),'Raw sheet'!D786)</f>
        <v>28946</v>
      </c>
      <c r="E786" s="7" t="str">
        <f>IF(Table1[[#This Row],[Family_Income]]&gt;=100000,"Upper",IF(D786&gt;=50000,"Middle","Lower"))</f>
        <v>Lower</v>
      </c>
      <c r="F786" s="2" t="s">
        <v>4</v>
      </c>
      <c r="G786" s="3">
        <f>IF(ISBLANK('Raw sheet'!F786),AVERAGE('Raw sheet'!$F$2:'Raw sheet'!$F$1500),'Raw sheet'!F786)</f>
        <v>5.84</v>
      </c>
      <c r="H786" s="18">
        <v>79.3</v>
      </c>
      <c r="I786" s="9" t="str">
        <f t="shared" si="24"/>
        <v>Good</v>
      </c>
      <c r="J786" s="2">
        <v>2</v>
      </c>
      <c r="K786" s="2">
        <v>35</v>
      </c>
      <c r="L786" s="2" t="s">
        <v>3</v>
      </c>
      <c r="M786" s="2" t="s">
        <v>4</v>
      </c>
      <c r="N786" s="5">
        <f>IF(ISBLANK('Raw sheet'!L786),AVERAGE('Raw sheet'!$L$2:'Raw sheet'!$L$1500),'Raw sheet'!L786)</f>
        <v>4.8</v>
      </c>
      <c r="O786" s="5" t="str">
        <f>IF(Table1[[#This Row],[Stress_Index]]&gt;=8,"High",IF(N786&gt;=5,"Medium","Low"))</f>
        <v>Low</v>
      </c>
      <c r="P786" s="3">
        <v>1.43</v>
      </c>
      <c r="Q786" s="2">
        <v>1.55</v>
      </c>
      <c r="R786" s="3">
        <v>1.55</v>
      </c>
      <c r="S786" s="3" t="str">
        <f>IF(Table1[[#This Row],[CGPA]]&gt;=3,"High",IF(R785&gt;=2,"Medium","Low"))</f>
        <v>Medium</v>
      </c>
      <c r="T786" s="2" t="s">
        <v>2</v>
      </c>
      <c r="U786" s="2" t="s">
        <v>14</v>
      </c>
      <c r="V786" s="2" t="s">
        <v>16</v>
      </c>
      <c r="W786" s="7">
        <v>0</v>
      </c>
      <c r="X786" t="str">
        <f t="shared" si="25"/>
        <v>Active</v>
      </c>
    </row>
    <row r="787" spans="1:24" x14ac:dyDescent="0.3">
      <c r="A787" s="2">
        <v>786</v>
      </c>
      <c r="B787" s="7">
        <v>23.4</v>
      </c>
      <c r="C787" s="2" t="s">
        <v>5</v>
      </c>
      <c r="D787" s="7">
        <f>IF(ISBLANK('Raw sheet'!D787),AVERAGE('Raw sheet'!$D$2:'Raw sheet'!$D$1500),'Raw sheet'!D787)</f>
        <v>25000</v>
      </c>
      <c r="E787" s="7" t="str">
        <f>IF(Table1[[#This Row],[Family_Income]]&gt;=100000,"Upper",IF(D787&gt;=50000,"Middle","Lower"))</f>
        <v>Lower</v>
      </c>
      <c r="F787" s="2" t="s">
        <v>3</v>
      </c>
      <c r="G787" s="3">
        <f>IF(ISBLANK('Raw sheet'!F787),AVERAGE('Raw sheet'!$F$2:'Raw sheet'!$F$1500),'Raw sheet'!F787)</f>
        <v>2.88</v>
      </c>
      <c r="H787" s="18">
        <v>86</v>
      </c>
      <c r="I787" s="9" t="str">
        <f t="shared" si="24"/>
        <v>Good</v>
      </c>
      <c r="J787" s="2">
        <v>3</v>
      </c>
      <c r="K787" s="2">
        <v>25.9</v>
      </c>
      <c r="L787" s="2" t="s">
        <v>3</v>
      </c>
      <c r="M787" s="2" t="s">
        <v>3</v>
      </c>
      <c r="N787" s="5">
        <f>IF(ISBLANK('Raw sheet'!L787),AVERAGE('Raw sheet'!$L$2:'Raw sheet'!$L$1500),'Raw sheet'!L787)</f>
        <v>4</v>
      </c>
      <c r="O787" s="5" t="str">
        <f>IF(Table1[[#This Row],[Stress_Index]]&gt;=8,"High",IF(N787&gt;=5,"Medium","Low"))</f>
        <v>Low</v>
      </c>
      <c r="P787" s="3">
        <v>0.68</v>
      </c>
      <c r="Q787" s="2">
        <v>0.98</v>
      </c>
      <c r="R787" s="3">
        <v>1.08</v>
      </c>
      <c r="S787" s="3" t="str">
        <f>IF(Table1[[#This Row],[CGPA]]&gt;=3,"High",IF(R786&gt;=2,"Medium","Low"))</f>
        <v>Low</v>
      </c>
      <c r="T787" s="2" t="s">
        <v>10</v>
      </c>
      <c r="U787" s="2" t="s">
        <v>8</v>
      </c>
      <c r="V787" s="2" t="s">
        <v>15</v>
      </c>
      <c r="W787" s="7">
        <v>1</v>
      </c>
      <c r="X787" t="str">
        <f t="shared" si="25"/>
        <v>Dropped Out</v>
      </c>
    </row>
    <row r="788" spans="1:24" x14ac:dyDescent="0.3">
      <c r="A788" s="2">
        <v>787</v>
      </c>
      <c r="B788" s="7">
        <v>22.8</v>
      </c>
      <c r="C788" s="2" t="s">
        <v>5</v>
      </c>
      <c r="D788" s="7">
        <f>IF(ISBLANK('Raw sheet'!D788),AVERAGE('Raw sheet'!$D$2:'Raw sheet'!$D$1500),'Raw sheet'!D788)</f>
        <v>25000</v>
      </c>
      <c r="E788" s="7" t="str">
        <f>IF(Table1[[#This Row],[Family_Income]]&gt;=100000,"Upper",IF(D788&gt;=50000,"Middle","Lower"))</f>
        <v>Lower</v>
      </c>
      <c r="F788" s="2" t="s">
        <v>4</v>
      </c>
      <c r="G788" s="3">
        <f>IF(ISBLANK('Raw sheet'!F788),AVERAGE('Raw sheet'!$F$2:'Raw sheet'!$F$1500),'Raw sheet'!F788)</f>
        <v>4.59</v>
      </c>
      <c r="H788" s="18">
        <v>86.3</v>
      </c>
      <c r="I788" s="9" t="str">
        <f t="shared" si="24"/>
        <v>Good</v>
      </c>
      <c r="J788" s="2">
        <v>5</v>
      </c>
      <c r="K788" s="2">
        <v>35.6</v>
      </c>
      <c r="L788" s="2" t="s">
        <v>4</v>
      </c>
      <c r="M788" s="2" t="s">
        <v>3</v>
      </c>
      <c r="N788" s="5">
        <f>IF(ISBLANK('Raw sheet'!L788),AVERAGE('Raw sheet'!$L$2:'Raw sheet'!$L$1500),'Raw sheet'!L788)</f>
        <v>5.7</v>
      </c>
      <c r="O788" s="5" t="str">
        <f>IF(Table1[[#This Row],[Stress_Index]]&gt;=8,"High",IF(N788&gt;=5,"Medium","Low"))</f>
        <v>Medium</v>
      </c>
      <c r="P788" s="3">
        <v>3.34</v>
      </c>
      <c r="Q788" s="2">
        <v>3.37</v>
      </c>
      <c r="R788" s="3">
        <v>3.3</v>
      </c>
      <c r="S788" s="3" t="str">
        <f>IF(Table1[[#This Row],[CGPA]]&gt;=3,"High",IF(R787&gt;=2,"Medium","Low"))</f>
        <v>High</v>
      </c>
      <c r="T788" s="2" t="s">
        <v>12</v>
      </c>
      <c r="U788" s="2" t="s">
        <v>13</v>
      </c>
      <c r="V788" s="2" t="s">
        <v>15</v>
      </c>
      <c r="W788" s="7">
        <v>1</v>
      </c>
      <c r="X788" t="str">
        <f t="shared" si="25"/>
        <v>Dropped Out</v>
      </c>
    </row>
    <row r="789" spans="1:24" x14ac:dyDescent="0.3">
      <c r="A789" s="2">
        <v>788</v>
      </c>
      <c r="B789" s="7">
        <v>22</v>
      </c>
      <c r="C789" s="2" t="s">
        <v>11</v>
      </c>
      <c r="D789" s="7">
        <f>IF(ISBLANK('Raw sheet'!D789),AVERAGE('Raw sheet'!$D$2:'Raw sheet'!$D$1500),'Raw sheet'!D789)</f>
        <v>36037</v>
      </c>
      <c r="E789" s="7" t="str">
        <f>IF(Table1[[#This Row],[Family_Income]]&gt;=100000,"Upper",IF(D789&gt;=50000,"Middle","Lower"))</f>
        <v>Lower</v>
      </c>
      <c r="F789" s="2" t="s">
        <v>4</v>
      </c>
      <c r="G789" s="3">
        <f>IF(ISBLANK('Raw sheet'!F789),AVERAGE('Raw sheet'!$F$2:'Raw sheet'!$F$1500),'Raw sheet'!F789)</f>
        <v>3.41</v>
      </c>
      <c r="H789" s="18">
        <v>88.4</v>
      </c>
      <c r="I789" s="9" t="str">
        <f t="shared" si="24"/>
        <v>Good</v>
      </c>
      <c r="J789" s="2">
        <v>3</v>
      </c>
      <c r="K789" s="2">
        <v>42.4</v>
      </c>
      <c r="L789" s="2" t="s">
        <v>3</v>
      </c>
      <c r="M789" s="2" t="s">
        <v>3</v>
      </c>
      <c r="N789" s="5">
        <f>IF(ISBLANK('Raw sheet'!L789),AVERAGE('Raw sheet'!$L$2:'Raw sheet'!$L$1500),'Raw sheet'!L789)</f>
        <v>6.9</v>
      </c>
      <c r="O789" s="5" t="str">
        <f>IF(Table1[[#This Row],[Stress_Index]]&gt;=8,"High",IF(N789&gt;=5,"Medium","Low"))</f>
        <v>Medium</v>
      </c>
      <c r="P789" s="3">
        <v>1.68</v>
      </c>
      <c r="Q789" s="2">
        <v>1.83</v>
      </c>
      <c r="R789" s="3">
        <v>1.91</v>
      </c>
      <c r="S789" s="3" t="str">
        <f>IF(Table1[[#This Row],[CGPA]]&gt;=3,"High",IF(R788&gt;=2,"Medium","Low"))</f>
        <v>Medium</v>
      </c>
      <c r="T789" s="2" t="s">
        <v>10</v>
      </c>
      <c r="U789" s="2" t="s">
        <v>1</v>
      </c>
      <c r="V789" s="2" t="s">
        <v>0</v>
      </c>
      <c r="W789" s="7">
        <v>0</v>
      </c>
      <c r="X789" t="str">
        <f t="shared" si="25"/>
        <v>Active</v>
      </c>
    </row>
    <row r="790" spans="1:24" x14ac:dyDescent="0.3">
      <c r="A790" s="2">
        <v>789</v>
      </c>
      <c r="B790" s="7">
        <v>20.8</v>
      </c>
      <c r="C790" s="2" t="s">
        <v>5</v>
      </c>
      <c r="D790" s="7">
        <f>IF(ISBLANK('Raw sheet'!D790),AVERAGE('Raw sheet'!$D$2:'Raw sheet'!$D$1500),'Raw sheet'!D790)</f>
        <v>25000</v>
      </c>
      <c r="E790" s="7" t="str">
        <f>IF(Table1[[#This Row],[Family_Income]]&gt;=100000,"Upper",IF(D790&gt;=50000,"Middle","Lower"))</f>
        <v>Lower</v>
      </c>
      <c r="F790" s="2" t="s">
        <v>4</v>
      </c>
      <c r="G790" s="3">
        <f>IF(ISBLANK('Raw sheet'!F790),AVERAGE('Raw sheet'!$F$2:'Raw sheet'!$F$1500),'Raw sheet'!F790)</f>
        <v>3.99</v>
      </c>
      <c r="H790" s="18">
        <v>95</v>
      </c>
      <c r="I790" s="9" t="str">
        <f t="shared" si="24"/>
        <v>Good</v>
      </c>
      <c r="J790" s="2">
        <v>1</v>
      </c>
      <c r="K790" s="2">
        <v>27.8</v>
      </c>
      <c r="L790" s="2" t="s">
        <v>4</v>
      </c>
      <c r="M790" s="2" t="s">
        <v>3</v>
      </c>
      <c r="N790" s="5">
        <f>IF(ISBLANK('Raw sheet'!L790),AVERAGE('Raw sheet'!$L$2:'Raw sheet'!$L$1500),'Raw sheet'!L790)</f>
        <v>7.1</v>
      </c>
      <c r="O790" s="5" t="str">
        <f>IF(Table1[[#This Row],[Stress_Index]]&gt;=8,"High",IF(N790&gt;=5,"Medium","Low"))</f>
        <v>Medium</v>
      </c>
      <c r="P790" s="3">
        <v>1.69</v>
      </c>
      <c r="Q790" s="2">
        <v>1.25</v>
      </c>
      <c r="R790" s="3">
        <v>1.25</v>
      </c>
      <c r="S790" s="3" t="str">
        <f>IF(Table1[[#This Row],[CGPA]]&gt;=3,"High",IF(R789&gt;=2,"Medium","Low"))</f>
        <v>Low</v>
      </c>
      <c r="T790" s="2" t="s">
        <v>2</v>
      </c>
      <c r="U790" s="2" t="s">
        <v>8</v>
      </c>
      <c r="V790" s="2" t="s">
        <v>15</v>
      </c>
      <c r="W790" s="7">
        <v>0</v>
      </c>
      <c r="X790" t="str">
        <f t="shared" si="25"/>
        <v>Active</v>
      </c>
    </row>
    <row r="791" spans="1:24" x14ac:dyDescent="0.3">
      <c r="A791" s="2">
        <v>790</v>
      </c>
      <c r="B791" s="7">
        <v>17.3</v>
      </c>
      <c r="C791" s="2" t="s">
        <v>5</v>
      </c>
      <c r="D791" s="7">
        <f>IF(ISBLANK('Raw sheet'!D791),AVERAGE('Raw sheet'!$D$2:'Raw sheet'!$D$1500),'Raw sheet'!D791)</f>
        <v>25914</v>
      </c>
      <c r="E791" s="7" t="str">
        <f>IF(Table1[[#This Row],[Family_Income]]&gt;=100000,"Upper",IF(D791&gt;=50000,"Middle","Lower"))</f>
        <v>Lower</v>
      </c>
      <c r="F791" s="2" t="s">
        <v>4</v>
      </c>
      <c r="G791" s="3">
        <f>IF(ISBLANK('Raw sheet'!F791),AVERAGE('Raw sheet'!$F$2:'Raw sheet'!$F$1500),'Raw sheet'!F791)</f>
        <v>3.8</v>
      </c>
      <c r="H791" s="18">
        <v>99.7</v>
      </c>
      <c r="I791" s="9" t="str">
        <f t="shared" si="24"/>
        <v>Good</v>
      </c>
      <c r="J791" s="2">
        <v>2</v>
      </c>
      <c r="K791" s="2">
        <v>24.8</v>
      </c>
      <c r="L791" s="2" t="s">
        <v>3</v>
      </c>
      <c r="M791" s="2" t="s">
        <v>3</v>
      </c>
      <c r="N791" s="5">
        <f>IF(ISBLANK('Raw sheet'!L791),AVERAGE('Raw sheet'!$L$2:'Raw sheet'!$L$1500),'Raw sheet'!L791)</f>
        <v>8.3000000000000007</v>
      </c>
      <c r="O791" s="5" t="str">
        <f>IF(Table1[[#This Row],[Stress_Index]]&gt;=8,"High",IF(N791&gt;=5,"Medium","Low"))</f>
        <v>High</v>
      </c>
      <c r="P791" s="3">
        <v>2.96</v>
      </c>
      <c r="Q791" s="2">
        <v>2.6</v>
      </c>
      <c r="R791" s="3">
        <v>2.62</v>
      </c>
      <c r="S791" s="3" t="str">
        <f>IF(Table1[[#This Row],[CGPA]]&gt;=3,"High",IF(R790&gt;=2,"Medium","Low"))</f>
        <v>Low</v>
      </c>
      <c r="T791" s="2" t="s">
        <v>12</v>
      </c>
      <c r="U791" s="2" t="s">
        <v>6</v>
      </c>
      <c r="V791" s="2" t="s">
        <v>15</v>
      </c>
      <c r="W791" s="7">
        <v>0</v>
      </c>
      <c r="X791" t="str">
        <f t="shared" si="25"/>
        <v>Active</v>
      </c>
    </row>
    <row r="792" spans="1:24" x14ac:dyDescent="0.3">
      <c r="A792" s="2">
        <v>791</v>
      </c>
      <c r="B792" s="7">
        <v>21.9</v>
      </c>
      <c r="C792" s="2" t="s">
        <v>11</v>
      </c>
      <c r="D792" s="7">
        <f>IF(ISBLANK('Raw sheet'!D792),AVERAGE('Raw sheet'!$D$2:'Raw sheet'!$D$1500),'Raw sheet'!D792)</f>
        <v>119421</v>
      </c>
      <c r="E792" s="7" t="str">
        <f>IF(Table1[[#This Row],[Family_Income]]&gt;=100000,"Upper",IF(D792&gt;=50000,"Middle","Lower"))</f>
        <v>Upper</v>
      </c>
      <c r="F792" s="2" t="s">
        <v>4</v>
      </c>
      <c r="G792" s="3">
        <f>IF(ISBLANK('Raw sheet'!F792),AVERAGE('Raw sheet'!$F$2:'Raw sheet'!$F$1500),'Raw sheet'!F792)</f>
        <v>4.58</v>
      </c>
      <c r="H792" s="18">
        <v>85.3</v>
      </c>
      <c r="I792" s="9" t="str">
        <f t="shared" si="24"/>
        <v>Good</v>
      </c>
      <c r="J792" s="2">
        <v>0</v>
      </c>
      <c r="K792" s="2">
        <v>19.2</v>
      </c>
      <c r="L792" s="2" t="s">
        <v>4</v>
      </c>
      <c r="M792" s="2" t="s">
        <v>4</v>
      </c>
      <c r="N792" s="5">
        <f>IF(ISBLANK('Raw sheet'!L792),AVERAGE('Raw sheet'!$L$2:'Raw sheet'!$L$1500),'Raw sheet'!L792)</f>
        <v>5.6</v>
      </c>
      <c r="O792" s="5" t="str">
        <f>IF(Table1[[#This Row],[Stress_Index]]&gt;=8,"High",IF(N792&gt;=5,"Medium","Low"))</f>
        <v>Medium</v>
      </c>
      <c r="P792" s="3">
        <v>3.45</v>
      </c>
      <c r="Q792" s="2">
        <v>3.51</v>
      </c>
      <c r="R792" s="3">
        <v>3.52</v>
      </c>
      <c r="S792" s="3" t="str">
        <f>IF(Table1[[#This Row],[CGPA]]&gt;=3,"High",IF(R791&gt;=2,"Medium","Low"))</f>
        <v>High</v>
      </c>
      <c r="T792" s="2" t="s">
        <v>12</v>
      </c>
      <c r="U792" s="2" t="s">
        <v>6</v>
      </c>
      <c r="V792" s="2" t="s">
        <v>0</v>
      </c>
      <c r="W792" s="7">
        <v>0</v>
      </c>
      <c r="X792" t="str">
        <f t="shared" si="25"/>
        <v>Active</v>
      </c>
    </row>
    <row r="793" spans="1:24" x14ac:dyDescent="0.3">
      <c r="A793" s="2">
        <v>792</v>
      </c>
      <c r="B793" s="7">
        <v>21.5</v>
      </c>
      <c r="C793" s="2" t="s">
        <v>5</v>
      </c>
      <c r="D793" s="7">
        <f>IF(ISBLANK('Raw sheet'!D793),AVERAGE('Raw sheet'!$D$2:'Raw sheet'!$D$1500),'Raw sheet'!D793)</f>
        <v>25000</v>
      </c>
      <c r="E793" s="7" t="str">
        <f>IF(Table1[[#This Row],[Family_Income]]&gt;=100000,"Upper",IF(D793&gt;=50000,"Middle","Lower"))</f>
        <v>Lower</v>
      </c>
      <c r="F793" s="2" t="s">
        <v>4</v>
      </c>
      <c r="G793" s="3">
        <f>IF(ISBLANK('Raw sheet'!F793),AVERAGE('Raw sheet'!$F$2:'Raw sheet'!$F$1500),'Raw sheet'!F793)</f>
        <v>3.8</v>
      </c>
      <c r="H793" s="18">
        <v>66.7</v>
      </c>
      <c r="I793" s="9" t="str">
        <f t="shared" si="24"/>
        <v>Low</v>
      </c>
      <c r="J793" s="2">
        <v>3</v>
      </c>
      <c r="K793" s="2">
        <v>40</v>
      </c>
      <c r="L793" s="2" t="s">
        <v>3</v>
      </c>
      <c r="M793" s="2" t="s">
        <v>3</v>
      </c>
      <c r="N793" s="5">
        <f>IF(ISBLANK('Raw sheet'!L793),AVERAGE('Raw sheet'!$L$2:'Raw sheet'!$L$1500),'Raw sheet'!L793)</f>
        <v>3.5</v>
      </c>
      <c r="O793" s="5" t="str">
        <f>IF(Table1[[#This Row],[Stress_Index]]&gt;=8,"High",IF(N793&gt;=5,"Medium","Low"))</f>
        <v>Low</v>
      </c>
      <c r="P793" s="3">
        <v>0.41</v>
      </c>
      <c r="Q793" s="2">
        <v>0.03</v>
      </c>
      <c r="R793" s="3">
        <v>0.02</v>
      </c>
      <c r="S793" s="3" t="str">
        <f>IF(Table1[[#This Row],[CGPA]]&gt;=3,"High",IF(R792&gt;=2,"Medium","Low"))</f>
        <v>Medium</v>
      </c>
      <c r="T793" s="2" t="s">
        <v>12</v>
      </c>
      <c r="U793" s="2" t="s">
        <v>6</v>
      </c>
      <c r="V793" s="2" t="s">
        <v>9</v>
      </c>
      <c r="W793" s="7">
        <v>1</v>
      </c>
      <c r="X793" t="str">
        <f t="shared" si="25"/>
        <v>Dropped Out</v>
      </c>
    </row>
    <row r="794" spans="1:24" x14ac:dyDescent="0.3">
      <c r="A794" s="2">
        <v>793</v>
      </c>
      <c r="B794" s="7">
        <v>21.6</v>
      </c>
      <c r="C794" s="2" t="s">
        <v>11</v>
      </c>
      <c r="D794" s="7">
        <f>IF(ISBLANK('Raw sheet'!D794),AVERAGE('Raw sheet'!$D$2:'Raw sheet'!$D$1500),'Raw sheet'!D794)</f>
        <v>64299</v>
      </c>
      <c r="E794" s="7" t="str">
        <f>IF(Table1[[#This Row],[Family_Income]]&gt;=100000,"Upper",IF(D794&gt;=50000,"Middle","Lower"))</f>
        <v>Middle</v>
      </c>
      <c r="F794" s="2" t="s">
        <v>3</v>
      </c>
      <c r="G794" s="3">
        <f>IF(ISBLANK('Raw sheet'!F794),AVERAGE('Raw sheet'!$F$2:'Raw sheet'!$F$1500),'Raw sheet'!F794)</f>
        <v>3.35</v>
      </c>
      <c r="H794" s="18">
        <v>89</v>
      </c>
      <c r="I794" s="9" t="str">
        <f t="shared" si="24"/>
        <v>Good</v>
      </c>
      <c r="J794" s="2">
        <v>4</v>
      </c>
      <c r="K794" s="2">
        <v>39</v>
      </c>
      <c r="L794" s="2" t="s">
        <v>4</v>
      </c>
      <c r="M794" s="2" t="s">
        <v>3</v>
      </c>
      <c r="N794" s="5">
        <f>IF(ISBLANK('Raw sheet'!L794),AVERAGE('Raw sheet'!$L$2:'Raw sheet'!$L$1500),'Raw sheet'!L794)</f>
        <v>7.5</v>
      </c>
      <c r="O794" s="5" t="str">
        <f>IF(Table1[[#This Row],[Stress_Index]]&gt;=8,"High",IF(N794&gt;=5,"Medium","Low"))</f>
        <v>Medium</v>
      </c>
      <c r="P794" s="3">
        <v>0.85</v>
      </c>
      <c r="Q794" s="2">
        <v>0.84</v>
      </c>
      <c r="R794" s="3">
        <v>0.82</v>
      </c>
      <c r="S794" s="3" t="str">
        <f>IF(Table1[[#This Row],[CGPA]]&gt;=3,"High",IF(R793&gt;=2,"Medium","Low"))</f>
        <v>Low</v>
      </c>
      <c r="T794" s="2" t="s">
        <v>10</v>
      </c>
      <c r="U794" s="2" t="s">
        <v>1</v>
      </c>
      <c r="V794" s="2" t="s">
        <v>0</v>
      </c>
      <c r="W794" s="7">
        <v>0</v>
      </c>
      <c r="X794" t="str">
        <f t="shared" si="25"/>
        <v>Active</v>
      </c>
    </row>
    <row r="795" spans="1:24" x14ac:dyDescent="0.3">
      <c r="A795" s="2">
        <v>794</v>
      </c>
      <c r="B795" s="7">
        <v>18.2</v>
      </c>
      <c r="C795" s="2" t="s">
        <v>5</v>
      </c>
      <c r="D795" s="7">
        <f>IF(ISBLANK('Raw sheet'!D795),AVERAGE('Raw sheet'!$D$2:'Raw sheet'!$D$1500),'Raw sheet'!D795)</f>
        <v>30724</v>
      </c>
      <c r="E795" s="7" t="str">
        <f>IF(Table1[[#This Row],[Family_Income]]&gt;=100000,"Upper",IF(D795&gt;=50000,"Middle","Lower"))</f>
        <v>Lower</v>
      </c>
      <c r="F795" s="2" t="s">
        <v>4</v>
      </c>
      <c r="G795" s="3">
        <f>IF(ISBLANK('Raw sheet'!F795),AVERAGE('Raw sheet'!$F$2:'Raw sheet'!$F$1500),'Raw sheet'!F795)</f>
        <v>1.95</v>
      </c>
      <c r="H795" s="18">
        <v>79.900000000000006</v>
      </c>
      <c r="I795" s="9" t="str">
        <f t="shared" si="24"/>
        <v>Good</v>
      </c>
      <c r="J795" s="2">
        <v>3</v>
      </c>
      <c r="K795" s="2">
        <v>56.2</v>
      </c>
      <c r="L795" s="2" t="s">
        <v>3</v>
      </c>
      <c r="M795" s="2" t="s">
        <v>3</v>
      </c>
      <c r="N795" s="5">
        <f>IF(ISBLANK('Raw sheet'!L795),AVERAGE('Raw sheet'!$L$2:'Raw sheet'!$L$1500),'Raw sheet'!L795)</f>
        <v>5.6</v>
      </c>
      <c r="O795" s="5" t="str">
        <f>IF(Table1[[#This Row],[Stress_Index]]&gt;=8,"High",IF(N795&gt;=5,"Medium","Low"))</f>
        <v>Medium</v>
      </c>
      <c r="P795" s="3">
        <v>2.5499999999999998</v>
      </c>
      <c r="Q795" s="2">
        <v>2.57</v>
      </c>
      <c r="R795" s="3">
        <v>2.52</v>
      </c>
      <c r="S795" s="3" t="str">
        <f>IF(Table1[[#This Row],[CGPA]]&gt;=3,"High",IF(R794&gt;=2,"Medium","Low"))</f>
        <v>Low</v>
      </c>
      <c r="T795" s="2" t="s">
        <v>12</v>
      </c>
      <c r="U795" s="2" t="s">
        <v>13</v>
      </c>
      <c r="V795" s="2" t="s">
        <v>9</v>
      </c>
      <c r="W795" s="7">
        <v>1</v>
      </c>
      <c r="X795" t="str">
        <f t="shared" si="25"/>
        <v>Dropped Out</v>
      </c>
    </row>
    <row r="796" spans="1:24" x14ac:dyDescent="0.3">
      <c r="A796" s="2">
        <v>795</v>
      </c>
      <c r="B796" s="7">
        <v>18.600000000000001</v>
      </c>
      <c r="C796" s="2" t="s">
        <v>5</v>
      </c>
      <c r="D796" s="7">
        <f>IF(ISBLANK('Raw sheet'!D796),AVERAGE('Raw sheet'!$D$2:'Raw sheet'!$D$1500),'Raw sheet'!D796)</f>
        <v>38587.00282087447</v>
      </c>
      <c r="E796" s="7" t="str">
        <f>IF(Table1[[#This Row],[Family_Income]]&gt;=100000,"Upper",IF(D796&gt;=50000,"Middle","Lower"))</f>
        <v>Lower</v>
      </c>
      <c r="F796" s="2" t="s">
        <v>4</v>
      </c>
      <c r="G796" s="3">
        <f>IF(ISBLANK('Raw sheet'!F796),AVERAGE('Raw sheet'!$F$2:'Raw sheet'!$F$1500),'Raw sheet'!F796)</f>
        <v>4.0178702397743278</v>
      </c>
      <c r="H796" s="18">
        <v>68.5</v>
      </c>
      <c r="I796" s="9" t="str">
        <f t="shared" si="24"/>
        <v>Low</v>
      </c>
      <c r="J796" s="2">
        <v>3</v>
      </c>
      <c r="K796" s="2">
        <v>32.1</v>
      </c>
      <c r="L796" s="2" t="s">
        <v>4</v>
      </c>
      <c r="M796" s="2" t="s">
        <v>3</v>
      </c>
      <c r="N796" s="5">
        <f>IF(ISBLANK('Raw sheet'!L796),AVERAGE('Raw sheet'!$L$2:'Raw sheet'!$L$1500),'Raw sheet'!L796)</f>
        <v>5.5242595204513369</v>
      </c>
      <c r="O796" s="5" t="str">
        <f>IF(Table1[[#This Row],[Stress_Index]]&gt;=8,"High",IF(N796&gt;=5,"Medium","Low"))</f>
        <v>Medium</v>
      </c>
      <c r="P796" s="3">
        <v>4</v>
      </c>
      <c r="Q796" s="2">
        <v>3.41</v>
      </c>
      <c r="R796" s="3">
        <v>3.45</v>
      </c>
      <c r="S796" s="3" t="str">
        <f>IF(Table1[[#This Row],[CGPA]]&gt;=3,"High",IF(R795&gt;=2,"Medium","Low"))</f>
        <v>High</v>
      </c>
      <c r="T796" s="2" t="s">
        <v>12</v>
      </c>
      <c r="U796" s="2" t="s">
        <v>6</v>
      </c>
      <c r="V796" s="2" t="s">
        <v>9</v>
      </c>
      <c r="W796" s="7">
        <v>0</v>
      </c>
      <c r="X796" t="str">
        <f t="shared" si="25"/>
        <v>Active</v>
      </c>
    </row>
    <row r="797" spans="1:24" x14ac:dyDescent="0.3">
      <c r="A797" s="2">
        <v>796</v>
      </c>
      <c r="B797" s="7">
        <v>23.3</v>
      </c>
      <c r="C797" s="2" t="s">
        <v>11</v>
      </c>
      <c r="D797" s="7">
        <f>IF(ISBLANK('Raw sheet'!D797),AVERAGE('Raw sheet'!$D$2:'Raw sheet'!$D$1500),'Raw sheet'!D797)</f>
        <v>38587.00282087447</v>
      </c>
      <c r="E797" s="7" t="str">
        <f>IF(Table1[[#This Row],[Family_Income]]&gt;=100000,"Upper",IF(D797&gt;=50000,"Middle","Lower"))</f>
        <v>Lower</v>
      </c>
      <c r="F797" s="2" t="s">
        <v>4</v>
      </c>
      <c r="G797" s="3">
        <f>IF(ISBLANK('Raw sheet'!F797),AVERAGE('Raw sheet'!$F$2:'Raw sheet'!$F$1500),'Raw sheet'!F797)</f>
        <v>4.0178702397743278</v>
      </c>
      <c r="H797" s="18">
        <v>87.5</v>
      </c>
      <c r="I797" s="9" t="str">
        <f t="shared" si="24"/>
        <v>Good</v>
      </c>
      <c r="J797" s="2">
        <v>2</v>
      </c>
      <c r="K797" s="2">
        <v>28.8</v>
      </c>
      <c r="L797" s="2" t="s">
        <v>4</v>
      </c>
      <c r="M797" s="2" t="s">
        <v>4</v>
      </c>
      <c r="N797" s="5">
        <f>IF(ISBLANK('Raw sheet'!L797),AVERAGE('Raw sheet'!$L$2:'Raw sheet'!$L$1500),'Raw sheet'!L797)</f>
        <v>5.5242595204513369</v>
      </c>
      <c r="O797" s="5" t="str">
        <f>IF(Table1[[#This Row],[Stress_Index]]&gt;=8,"High",IF(N797&gt;=5,"Medium","Low"))</f>
        <v>Medium</v>
      </c>
      <c r="P797" s="3">
        <v>2.2799999999999998</v>
      </c>
      <c r="Q797" s="2">
        <v>2.33</v>
      </c>
      <c r="R797" s="3">
        <v>2.21</v>
      </c>
      <c r="S797" s="3" t="str">
        <f>IF(Table1[[#This Row],[CGPA]]&gt;=3,"High",IF(R796&gt;=2,"Medium","Low"))</f>
        <v>Medium</v>
      </c>
      <c r="T797" s="2" t="s">
        <v>7</v>
      </c>
      <c r="U797" s="2" t="s">
        <v>14</v>
      </c>
      <c r="V797" s="2" t="s">
        <v>9</v>
      </c>
      <c r="W797" s="7">
        <v>0</v>
      </c>
      <c r="X797" t="str">
        <f t="shared" si="25"/>
        <v>Active</v>
      </c>
    </row>
    <row r="798" spans="1:24" x14ac:dyDescent="0.3">
      <c r="A798" s="2">
        <v>797</v>
      </c>
      <c r="B798" s="7">
        <v>20.9</v>
      </c>
      <c r="C798" s="2" t="s">
        <v>11</v>
      </c>
      <c r="D798" s="7">
        <f>IF(ISBLANK('Raw sheet'!D798),AVERAGE('Raw sheet'!$D$2:'Raw sheet'!$D$1500),'Raw sheet'!D798)</f>
        <v>32332</v>
      </c>
      <c r="E798" s="7" t="str">
        <f>IF(Table1[[#This Row],[Family_Income]]&gt;=100000,"Upper",IF(D798&gt;=50000,"Middle","Lower"))</f>
        <v>Lower</v>
      </c>
      <c r="F798" s="2" t="s">
        <v>4</v>
      </c>
      <c r="G798" s="3">
        <f>IF(ISBLANK('Raw sheet'!F798),AVERAGE('Raw sheet'!$F$2:'Raw sheet'!$F$1500),'Raw sheet'!F798)</f>
        <v>4.08</v>
      </c>
      <c r="H798" s="18">
        <v>85.5</v>
      </c>
      <c r="I798" s="9" t="str">
        <f t="shared" si="24"/>
        <v>Good</v>
      </c>
      <c r="J798" s="2">
        <v>1</v>
      </c>
      <c r="K798" s="2">
        <v>35.6</v>
      </c>
      <c r="L798" s="2" t="s">
        <v>3</v>
      </c>
      <c r="M798" s="2" t="s">
        <v>4</v>
      </c>
      <c r="N798" s="5">
        <f>IF(ISBLANK('Raw sheet'!L798),AVERAGE('Raw sheet'!$L$2:'Raw sheet'!$L$1500),'Raw sheet'!L798)</f>
        <v>8</v>
      </c>
      <c r="O798" s="5" t="str">
        <f>IF(Table1[[#This Row],[Stress_Index]]&gt;=8,"High",IF(N798&gt;=5,"Medium","Low"))</f>
        <v>High</v>
      </c>
      <c r="P798" s="3">
        <v>2.44</v>
      </c>
      <c r="Q798" s="2">
        <v>2.44</v>
      </c>
      <c r="R798" s="3">
        <v>2.48</v>
      </c>
      <c r="S798" s="3" t="str">
        <f>IF(Table1[[#This Row],[CGPA]]&gt;=3,"High",IF(R797&gt;=2,"Medium","Low"))</f>
        <v>Medium</v>
      </c>
      <c r="T798" s="2" t="s">
        <v>7</v>
      </c>
      <c r="U798" s="2" t="s">
        <v>14</v>
      </c>
      <c r="V798" s="2" t="s">
        <v>15</v>
      </c>
      <c r="W798" s="7">
        <v>0</v>
      </c>
      <c r="X798" t="str">
        <f t="shared" si="25"/>
        <v>Active</v>
      </c>
    </row>
    <row r="799" spans="1:24" x14ac:dyDescent="0.3">
      <c r="A799" s="2">
        <v>798</v>
      </c>
      <c r="B799" s="7">
        <v>22.5</v>
      </c>
      <c r="C799" s="2" t="s">
        <v>11</v>
      </c>
      <c r="D799" s="7">
        <f>IF(ISBLANK('Raw sheet'!D799),AVERAGE('Raw sheet'!$D$2:'Raw sheet'!$D$1500),'Raw sheet'!D799)</f>
        <v>71114</v>
      </c>
      <c r="E799" s="7" t="str">
        <f>IF(Table1[[#This Row],[Family_Income]]&gt;=100000,"Upper",IF(D799&gt;=50000,"Middle","Lower"))</f>
        <v>Middle</v>
      </c>
      <c r="F799" s="2" t="s">
        <v>4</v>
      </c>
      <c r="G799" s="3">
        <f>IF(ISBLANK('Raw sheet'!F799),AVERAGE('Raw sheet'!$F$2:'Raw sheet'!$F$1500),'Raw sheet'!F799)</f>
        <v>3.91</v>
      </c>
      <c r="H799" s="18">
        <v>75.599999999999994</v>
      </c>
      <c r="I799" s="9" t="str">
        <f t="shared" si="24"/>
        <v>Good</v>
      </c>
      <c r="J799" s="2">
        <v>0</v>
      </c>
      <c r="K799" s="2">
        <v>26.5</v>
      </c>
      <c r="L799" s="2" t="s">
        <v>3</v>
      </c>
      <c r="M799" s="2" t="s">
        <v>4</v>
      </c>
      <c r="N799" s="5">
        <f>IF(ISBLANK('Raw sheet'!L799),AVERAGE('Raw sheet'!$L$2:'Raw sheet'!$L$1500),'Raw sheet'!L799)</f>
        <v>6.2</v>
      </c>
      <c r="O799" s="5" t="str">
        <f>IF(Table1[[#This Row],[Stress_Index]]&gt;=8,"High",IF(N799&gt;=5,"Medium","Low"))</f>
        <v>Medium</v>
      </c>
      <c r="P799" s="3">
        <v>1.56</v>
      </c>
      <c r="Q799" s="2">
        <v>1.21</v>
      </c>
      <c r="R799" s="3">
        <v>1.28</v>
      </c>
      <c r="S799" s="3" t="str">
        <f>IF(Table1[[#This Row],[CGPA]]&gt;=3,"High",IF(R798&gt;=2,"Medium","Low"))</f>
        <v>Medium</v>
      </c>
      <c r="T799" s="2" t="s">
        <v>10</v>
      </c>
      <c r="U799" s="2" t="s">
        <v>6</v>
      </c>
      <c r="V799" s="2" t="s">
        <v>9</v>
      </c>
      <c r="W799" s="7">
        <v>0</v>
      </c>
      <c r="X799" t="str">
        <f t="shared" si="25"/>
        <v>Active</v>
      </c>
    </row>
    <row r="800" spans="1:24" x14ac:dyDescent="0.3">
      <c r="A800" s="2">
        <v>799</v>
      </c>
      <c r="B800" s="7">
        <v>21.1</v>
      </c>
      <c r="C800" s="2" t="s">
        <v>11</v>
      </c>
      <c r="D800" s="7">
        <f>IF(ISBLANK('Raw sheet'!D800),AVERAGE('Raw sheet'!$D$2:'Raw sheet'!$D$1500),'Raw sheet'!D800)</f>
        <v>25000</v>
      </c>
      <c r="E800" s="7" t="str">
        <f>IF(Table1[[#This Row],[Family_Income]]&gt;=100000,"Upper",IF(D800&gt;=50000,"Middle","Lower"))</f>
        <v>Lower</v>
      </c>
      <c r="F800" s="2" t="s">
        <v>4</v>
      </c>
      <c r="G800" s="3">
        <f>IF(ISBLANK('Raw sheet'!F800),AVERAGE('Raw sheet'!$F$2:'Raw sheet'!$F$1500),'Raw sheet'!F800)</f>
        <v>5.93</v>
      </c>
      <c r="H800" s="18">
        <v>72.5</v>
      </c>
      <c r="I800" s="9" t="str">
        <f t="shared" si="24"/>
        <v>Low</v>
      </c>
      <c r="J800" s="2">
        <v>2</v>
      </c>
      <c r="K800" s="2">
        <v>19.399999999999999</v>
      </c>
      <c r="L800" s="2" t="s">
        <v>3</v>
      </c>
      <c r="M800" s="2" t="s">
        <v>3</v>
      </c>
      <c r="N800" s="5">
        <f>IF(ISBLANK('Raw sheet'!L800),AVERAGE('Raw sheet'!$L$2:'Raw sheet'!$L$1500),'Raw sheet'!L800)</f>
        <v>8.1</v>
      </c>
      <c r="O800" s="5" t="str">
        <f>IF(Table1[[#This Row],[Stress_Index]]&gt;=8,"High",IF(N800&gt;=5,"Medium","Low"))</f>
        <v>High</v>
      </c>
      <c r="P800" s="3">
        <v>1.19</v>
      </c>
      <c r="Q800" s="2">
        <v>1.29</v>
      </c>
      <c r="R800" s="3">
        <v>1.32</v>
      </c>
      <c r="S800" s="3" t="str">
        <f>IF(Table1[[#This Row],[CGPA]]&gt;=3,"High",IF(R799&gt;=2,"Medium","Low"))</f>
        <v>Low</v>
      </c>
      <c r="T800" s="2" t="s">
        <v>10</v>
      </c>
      <c r="U800" s="2" t="s">
        <v>14</v>
      </c>
      <c r="V800" s="2" t="s">
        <v>17</v>
      </c>
      <c r="W800" s="7">
        <v>1</v>
      </c>
      <c r="X800" t="str">
        <f t="shared" si="25"/>
        <v>Dropped Out</v>
      </c>
    </row>
    <row r="801" spans="1:24" x14ac:dyDescent="0.3">
      <c r="A801" s="2">
        <v>800</v>
      </c>
      <c r="B801" s="7">
        <v>21.1</v>
      </c>
      <c r="C801" s="2" t="s">
        <v>11</v>
      </c>
      <c r="D801" s="7">
        <f>IF(ISBLANK('Raw sheet'!D801),AVERAGE('Raw sheet'!$D$2:'Raw sheet'!$D$1500),'Raw sheet'!D801)</f>
        <v>38587.00282087447</v>
      </c>
      <c r="E801" s="7" t="str">
        <f>IF(Table1[[#This Row],[Family_Income]]&gt;=100000,"Upper",IF(D801&gt;=50000,"Middle","Lower"))</f>
        <v>Lower</v>
      </c>
      <c r="F801" s="2" t="s">
        <v>4</v>
      </c>
      <c r="G801" s="3">
        <f>IF(ISBLANK('Raw sheet'!F801),AVERAGE('Raw sheet'!$F$2:'Raw sheet'!$F$1500),'Raw sheet'!F801)</f>
        <v>4.0178702397743278</v>
      </c>
      <c r="H801" s="18">
        <v>78.2</v>
      </c>
      <c r="I801" s="9" t="str">
        <f t="shared" si="24"/>
        <v>Good</v>
      </c>
      <c r="J801" s="2">
        <v>2</v>
      </c>
      <c r="K801" s="2">
        <v>31.1</v>
      </c>
      <c r="L801" s="2" t="s">
        <v>3</v>
      </c>
      <c r="M801" s="2" t="s">
        <v>3</v>
      </c>
      <c r="N801" s="5">
        <f>IF(ISBLANK('Raw sheet'!L801),AVERAGE('Raw sheet'!$L$2:'Raw sheet'!$L$1500),'Raw sheet'!L801)</f>
        <v>5.5242595204513369</v>
      </c>
      <c r="O801" s="5" t="str">
        <f>IF(Table1[[#This Row],[Stress_Index]]&gt;=8,"High",IF(N801&gt;=5,"Medium","Low"))</f>
        <v>Medium</v>
      </c>
      <c r="P801" s="3">
        <v>1.17</v>
      </c>
      <c r="Q801" s="2">
        <v>0.78</v>
      </c>
      <c r="R801" s="3">
        <v>0.84</v>
      </c>
      <c r="S801" s="3" t="str">
        <f>IF(Table1[[#This Row],[CGPA]]&gt;=3,"High",IF(R800&gt;=2,"Medium","Low"))</f>
        <v>Low</v>
      </c>
      <c r="T801" s="2" t="s">
        <v>7</v>
      </c>
      <c r="U801" s="2" t="s">
        <v>6</v>
      </c>
      <c r="V801" s="2" t="s">
        <v>15</v>
      </c>
      <c r="W801" s="7">
        <v>0</v>
      </c>
      <c r="X801" t="str">
        <f t="shared" si="25"/>
        <v>Active</v>
      </c>
    </row>
    <row r="802" spans="1:24" x14ac:dyDescent="0.3">
      <c r="A802" s="2">
        <v>801</v>
      </c>
      <c r="B802" s="7">
        <v>23.1</v>
      </c>
      <c r="C802" s="2" t="s">
        <v>5</v>
      </c>
      <c r="D802" s="7">
        <f>IF(ISBLANK('Raw sheet'!D802),AVERAGE('Raw sheet'!$D$2:'Raw sheet'!$D$1500),'Raw sheet'!D802)</f>
        <v>54515</v>
      </c>
      <c r="E802" s="7" t="str">
        <f>IF(Table1[[#This Row],[Family_Income]]&gt;=100000,"Upper",IF(D802&gt;=50000,"Middle","Lower"))</f>
        <v>Middle</v>
      </c>
      <c r="F802" s="2" t="s">
        <v>4</v>
      </c>
      <c r="G802" s="3">
        <f>IF(ISBLANK('Raw sheet'!F802),AVERAGE('Raw sheet'!$F$2:'Raw sheet'!$F$1500),'Raw sheet'!F802)</f>
        <v>5.39</v>
      </c>
      <c r="H802" s="18">
        <v>86</v>
      </c>
      <c r="I802" s="9" t="str">
        <f t="shared" si="24"/>
        <v>Good</v>
      </c>
      <c r="J802" s="2">
        <v>2</v>
      </c>
      <c r="K802" s="2">
        <v>35.5</v>
      </c>
      <c r="L802" s="2" t="s">
        <v>3</v>
      </c>
      <c r="M802" s="2" t="s">
        <v>3</v>
      </c>
      <c r="N802" s="5">
        <f>IF(ISBLANK('Raw sheet'!L802),AVERAGE('Raw sheet'!$L$2:'Raw sheet'!$L$1500),'Raw sheet'!L802)</f>
        <v>4.2</v>
      </c>
      <c r="O802" s="5" t="str">
        <f>IF(Table1[[#This Row],[Stress_Index]]&gt;=8,"High",IF(N802&gt;=5,"Medium","Low"))</f>
        <v>Low</v>
      </c>
      <c r="P802" s="3">
        <v>2.5299999999999998</v>
      </c>
      <c r="Q802" s="2">
        <v>2.39</v>
      </c>
      <c r="R802" s="3">
        <v>2.39</v>
      </c>
      <c r="S802" s="3" t="str">
        <f>IF(Table1[[#This Row],[CGPA]]&gt;=3,"High",IF(R801&gt;=2,"Medium","Low"))</f>
        <v>Low</v>
      </c>
      <c r="T802" s="2" t="s">
        <v>2</v>
      </c>
      <c r="U802" s="2" t="s">
        <v>14</v>
      </c>
      <c r="V802" s="2" t="s">
        <v>15</v>
      </c>
      <c r="W802" s="7">
        <v>0</v>
      </c>
      <c r="X802" t="str">
        <f t="shared" si="25"/>
        <v>Active</v>
      </c>
    </row>
    <row r="803" spans="1:24" x14ac:dyDescent="0.3">
      <c r="A803" s="2">
        <v>802</v>
      </c>
      <c r="B803" s="7">
        <v>19.899999999999999</v>
      </c>
      <c r="C803" s="2" t="s">
        <v>5</v>
      </c>
      <c r="D803" s="7">
        <f>IF(ISBLANK('Raw sheet'!D803),AVERAGE('Raw sheet'!$D$2:'Raw sheet'!$D$1500),'Raw sheet'!D803)</f>
        <v>36480</v>
      </c>
      <c r="E803" s="7" t="str">
        <f>IF(Table1[[#This Row],[Family_Income]]&gt;=100000,"Upper",IF(D803&gt;=50000,"Middle","Lower"))</f>
        <v>Lower</v>
      </c>
      <c r="F803" s="2" t="s">
        <v>3</v>
      </c>
      <c r="G803" s="3">
        <f>IF(ISBLANK('Raw sheet'!F803),AVERAGE('Raw sheet'!$F$2:'Raw sheet'!$F$1500),'Raw sheet'!F803)</f>
        <v>4.4400000000000004</v>
      </c>
      <c r="H803" s="18">
        <v>75.7</v>
      </c>
      <c r="I803" s="9" t="str">
        <f t="shared" si="24"/>
        <v>Good</v>
      </c>
      <c r="J803" s="2">
        <v>2</v>
      </c>
      <c r="K803" s="2">
        <v>36.299999999999997</v>
      </c>
      <c r="L803" s="2" t="s">
        <v>3</v>
      </c>
      <c r="M803" s="2" t="s">
        <v>3</v>
      </c>
      <c r="N803" s="5">
        <f>IF(ISBLANK('Raw sheet'!L803),AVERAGE('Raw sheet'!$L$2:'Raw sheet'!$L$1500),'Raw sheet'!L803)</f>
        <v>7</v>
      </c>
      <c r="O803" s="5" t="str">
        <f>IF(Table1[[#This Row],[Stress_Index]]&gt;=8,"High",IF(N803&gt;=5,"Medium","Low"))</f>
        <v>Medium</v>
      </c>
      <c r="P803" s="3">
        <v>2.75</v>
      </c>
      <c r="Q803" s="2">
        <v>2.2599999999999998</v>
      </c>
      <c r="R803" s="3">
        <v>2.36</v>
      </c>
      <c r="S803" s="3" t="str">
        <f>IF(Table1[[#This Row],[CGPA]]&gt;=3,"High",IF(R802&gt;=2,"Medium","Low"))</f>
        <v>Medium</v>
      </c>
      <c r="T803" s="2" t="s">
        <v>12</v>
      </c>
      <c r="U803" s="2" t="s">
        <v>14</v>
      </c>
      <c r="V803" s="2" t="s">
        <v>15</v>
      </c>
      <c r="W803" s="7">
        <v>1</v>
      </c>
      <c r="X803" t="str">
        <f t="shared" si="25"/>
        <v>Dropped Out</v>
      </c>
    </row>
    <row r="804" spans="1:24" x14ac:dyDescent="0.3">
      <c r="A804" s="2">
        <v>803</v>
      </c>
      <c r="B804" s="7">
        <v>21.2</v>
      </c>
      <c r="C804" s="2" t="s">
        <v>5</v>
      </c>
      <c r="D804" s="7">
        <f>IF(ISBLANK('Raw sheet'!D804),AVERAGE('Raw sheet'!$D$2:'Raw sheet'!$D$1500),'Raw sheet'!D804)</f>
        <v>25000</v>
      </c>
      <c r="E804" s="7" t="str">
        <f>IF(Table1[[#This Row],[Family_Income]]&gt;=100000,"Upper",IF(D804&gt;=50000,"Middle","Lower"))</f>
        <v>Lower</v>
      </c>
      <c r="F804" s="2" t="s">
        <v>4</v>
      </c>
      <c r="G804" s="3">
        <f>IF(ISBLANK('Raw sheet'!F804),AVERAGE('Raw sheet'!$F$2:'Raw sheet'!$F$1500),'Raw sheet'!F804)</f>
        <v>4.13</v>
      </c>
      <c r="H804" s="18">
        <v>87.3</v>
      </c>
      <c r="I804" s="9" t="str">
        <f t="shared" si="24"/>
        <v>Good</v>
      </c>
      <c r="J804" s="2">
        <v>5</v>
      </c>
      <c r="K804" s="2">
        <v>35.299999999999997</v>
      </c>
      <c r="L804" s="2" t="s">
        <v>3</v>
      </c>
      <c r="M804" s="2" t="s">
        <v>3</v>
      </c>
      <c r="N804" s="5">
        <f>IF(ISBLANK('Raw sheet'!L804),AVERAGE('Raw sheet'!$L$2:'Raw sheet'!$L$1500),'Raw sheet'!L804)</f>
        <v>4.9000000000000004</v>
      </c>
      <c r="O804" s="5" t="str">
        <f>IF(Table1[[#This Row],[Stress_Index]]&gt;=8,"High",IF(N804&gt;=5,"Medium","Low"))</f>
        <v>Low</v>
      </c>
      <c r="P804" s="3">
        <v>3.39</v>
      </c>
      <c r="Q804" s="2">
        <v>3.23</v>
      </c>
      <c r="R804" s="3">
        <v>3.23</v>
      </c>
      <c r="S804" s="3" t="str">
        <f>IF(Table1[[#This Row],[CGPA]]&gt;=3,"High",IF(R803&gt;=2,"Medium","Low"))</f>
        <v>High</v>
      </c>
      <c r="T804" s="2" t="s">
        <v>2</v>
      </c>
      <c r="U804" s="2" t="s">
        <v>14</v>
      </c>
      <c r="V804" s="2" t="s">
        <v>15</v>
      </c>
      <c r="W804" s="7">
        <v>0</v>
      </c>
      <c r="X804" t="str">
        <f t="shared" si="25"/>
        <v>Active</v>
      </c>
    </row>
    <row r="805" spans="1:24" x14ac:dyDescent="0.3">
      <c r="A805" s="2">
        <v>804</v>
      </c>
      <c r="B805" s="7">
        <v>20</v>
      </c>
      <c r="C805" s="2" t="s">
        <v>11</v>
      </c>
      <c r="D805" s="7">
        <f>IF(ISBLANK('Raw sheet'!D805),AVERAGE('Raw sheet'!$D$2:'Raw sheet'!$D$1500),'Raw sheet'!D805)</f>
        <v>31550</v>
      </c>
      <c r="E805" s="7" t="str">
        <f>IF(Table1[[#This Row],[Family_Income]]&gt;=100000,"Upper",IF(D805&gt;=50000,"Middle","Lower"))</f>
        <v>Lower</v>
      </c>
      <c r="F805" s="2" t="s">
        <v>4</v>
      </c>
      <c r="G805" s="3">
        <f>IF(ISBLANK('Raw sheet'!F805),AVERAGE('Raw sheet'!$F$2:'Raw sheet'!$F$1500),'Raw sheet'!F805)</f>
        <v>2.63</v>
      </c>
      <c r="H805" s="18">
        <v>78.599999999999994</v>
      </c>
      <c r="I805" s="9" t="str">
        <f t="shared" si="24"/>
        <v>Good</v>
      </c>
      <c r="J805" s="2">
        <v>0</v>
      </c>
      <c r="K805" s="2">
        <v>42.8</v>
      </c>
      <c r="L805" s="2" t="s">
        <v>3</v>
      </c>
      <c r="M805" s="2" t="s">
        <v>3</v>
      </c>
      <c r="N805" s="5">
        <f>IF(ISBLANK('Raw sheet'!L805),AVERAGE('Raw sheet'!$L$2:'Raw sheet'!$L$1500),'Raw sheet'!L805)</f>
        <v>7.7</v>
      </c>
      <c r="O805" s="5" t="str">
        <f>IF(Table1[[#This Row],[Stress_Index]]&gt;=8,"High",IF(N805&gt;=5,"Medium","Low"))</f>
        <v>Medium</v>
      </c>
      <c r="P805" s="3">
        <v>1.67</v>
      </c>
      <c r="Q805" s="2">
        <v>1.85</v>
      </c>
      <c r="R805" s="3">
        <v>1.85</v>
      </c>
      <c r="S805" s="3" t="str">
        <f>IF(Table1[[#This Row],[CGPA]]&gt;=3,"High",IF(R804&gt;=2,"Medium","Low"))</f>
        <v>Medium</v>
      </c>
      <c r="T805" s="2" t="s">
        <v>2</v>
      </c>
      <c r="U805" s="2" t="s">
        <v>8</v>
      </c>
      <c r="V805" s="2" t="s">
        <v>0</v>
      </c>
      <c r="W805" s="7">
        <v>0</v>
      </c>
      <c r="X805" t="str">
        <f t="shared" si="25"/>
        <v>Active</v>
      </c>
    </row>
    <row r="806" spans="1:24" x14ac:dyDescent="0.3">
      <c r="A806" s="2">
        <v>805</v>
      </c>
      <c r="B806" s="7">
        <v>20</v>
      </c>
      <c r="C806" s="2" t="s">
        <v>5</v>
      </c>
      <c r="D806" s="7">
        <f>IF(ISBLANK('Raw sheet'!D806),AVERAGE('Raw sheet'!$D$2:'Raw sheet'!$D$1500),'Raw sheet'!D806)</f>
        <v>73669</v>
      </c>
      <c r="E806" s="7" t="str">
        <f>IF(Table1[[#This Row],[Family_Income]]&gt;=100000,"Upper",IF(D806&gt;=50000,"Middle","Lower"))</f>
        <v>Middle</v>
      </c>
      <c r="F806" s="2" t="s">
        <v>3</v>
      </c>
      <c r="G806" s="3">
        <f>IF(ISBLANK('Raw sheet'!F806),AVERAGE('Raw sheet'!$F$2:'Raw sheet'!$F$1500),'Raw sheet'!F806)</f>
        <v>1.52</v>
      </c>
      <c r="H806" s="18">
        <v>86.4</v>
      </c>
      <c r="I806" s="9" t="str">
        <f t="shared" si="24"/>
        <v>Good</v>
      </c>
      <c r="J806" s="2">
        <v>5</v>
      </c>
      <c r="K806" s="2">
        <v>36.200000000000003</v>
      </c>
      <c r="L806" s="2" t="s">
        <v>3</v>
      </c>
      <c r="M806" s="2" t="s">
        <v>3</v>
      </c>
      <c r="N806" s="5">
        <f>IF(ISBLANK('Raw sheet'!L806),AVERAGE('Raw sheet'!$L$2:'Raw sheet'!$L$1500),'Raw sheet'!L806)</f>
        <v>5.8</v>
      </c>
      <c r="O806" s="5" t="str">
        <f>IF(Table1[[#This Row],[Stress_Index]]&gt;=8,"High",IF(N806&gt;=5,"Medium","Low"))</f>
        <v>Medium</v>
      </c>
      <c r="P806" s="3">
        <v>1.51</v>
      </c>
      <c r="Q806" s="2">
        <v>1.73</v>
      </c>
      <c r="R806" s="3">
        <v>1.78</v>
      </c>
      <c r="S806" s="3" t="str">
        <f>IF(Table1[[#This Row],[CGPA]]&gt;=3,"High",IF(R805&gt;=2,"Medium","Low"))</f>
        <v>Low</v>
      </c>
      <c r="T806" s="2" t="s">
        <v>12</v>
      </c>
      <c r="U806" s="2" t="s">
        <v>8</v>
      </c>
      <c r="V806" s="2" t="s">
        <v>9</v>
      </c>
      <c r="W806" s="7">
        <v>1</v>
      </c>
      <c r="X806" t="str">
        <f t="shared" si="25"/>
        <v>Dropped Out</v>
      </c>
    </row>
    <row r="807" spans="1:24" x14ac:dyDescent="0.3">
      <c r="A807" s="2">
        <v>806</v>
      </c>
      <c r="B807" s="7">
        <v>20.3</v>
      </c>
      <c r="C807" s="2" t="s">
        <v>5</v>
      </c>
      <c r="D807" s="7">
        <f>IF(ISBLANK('Raw sheet'!D807),AVERAGE('Raw sheet'!$D$2:'Raw sheet'!$D$1500),'Raw sheet'!D807)</f>
        <v>29081</v>
      </c>
      <c r="E807" s="7" t="str">
        <f>IF(Table1[[#This Row],[Family_Income]]&gt;=100000,"Upper",IF(D807&gt;=50000,"Middle","Lower"))</f>
        <v>Lower</v>
      </c>
      <c r="F807" s="2" t="s">
        <v>3</v>
      </c>
      <c r="G807" s="3">
        <f>IF(ISBLANK('Raw sheet'!F807),AVERAGE('Raw sheet'!$F$2:'Raw sheet'!$F$1500),'Raw sheet'!F807)</f>
        <v>5.78</v>
      </c>
      <c r="H807" s="18">
        <v>84.5</v>
      </c>
      <c r="I807" s="9" t="str">
        <f t="shared" si="24"/>
        <v>Good</v>
      </c>
      <c r="J807" s="2">
        <v>2</v>
      </c>
      <c r="K807" s="2">
        <v>33.200000000000003</v>
      </c>
      <c r="L807" s="2" t="s">
        <v>3</v>
      </c>
      <c r="M807" s="2" t="s">
        <v>3</v>
      </c>
      <c r="N807" s="5">
        <f>IF(ISBLANK('Raw sheet'!L807),AVERAGE('Raw sheet'!$L$2:'Raw sheet'!$L$1500),'Raw sheet'!L807)</f>
        <v>7.7</v>
      </c>
      <c r="O807" s="5" t="str">
        <f>IF(Table1[[#This Row],[Stress_Index]]&gt;=8,"High",IF(N807&gt;=5,"Medium","Low"))</f>
        <v>Medium</v>
      </c>
      <c r="P807" s="3">
        <v>2.23</v>
      </c>
      <c r="Q807" s="2">
        <v>2.62</v>
      </c>
      <c r="R807" s="3">
        <v>2.62</v>
      </c>
      <c r="S807" s="3" t="str">
        <f>IF(Table1[[#This Row],[CGPA]]&gt;=3,"High",IF(R806&gt;=2,"Medium","Low"))</f>
        <v>Low</v>
      </c>
      <c r="T807" s="2" t="s">
        <v>2</v>
      </c>
      <c r="U807" s="2" t="s">
        <v>13</v>
      </c>
      <c r="V807" s="2" t="s">
        <v>15</v>
      </c>
      <c r="W807" s="7">
        <v>0</v>
      </c>
      <c r="X807" t="str">
        <f t="shared" si="25"/>
        <v>Active</v>
      </c>
    </row>
    <row r="808" spans="1:24" x14ac:dyDescent="0.3">
      <c r="A808" s="2">
        <v>807</v>
      </c>
      <c r="B808" s="7">
        <v>21.5</v>
      </c>
      <c r="C808" s="2" t="s">
        <v>5</v>
      </c>
      <c r="D808" s="7">
        <f>IF(ISBLANK('Raw sheet'!D808),AVERAGE('Raw sheet'!$D$2:'Raw sheet'!$D$1500),'Raw sheet'!D808)</f>
        <v>25000</v>
      </c>
      <c r="E808" s="7" t="str">
        <f>IF(Table1[[#This Row],[Family_Income]]&gt;=100000,"Upper",IF(D808&gt;=50000,"Middle","Lower"))</f>
        <v>Lower</v>
      </c>
      <c r="F808" s="2" t="s">
        <v>3</v>
      </c>
      <c r="G808" s="3">
        <f>IF(ISBLANK('Raw sheet'!F808),AVERAGE('Raw sheet'!$F$2:'Raw sheet'!$F$1500),'Raw sheet'!F808)</f>
        <v>4.1500000000000004</v>
      </c>
      <c r="H808" s="18">
        <v>61.5</v>
      </c>
      <c r="I808" s="9" t="str">
        <f t="shared" si="24"/>
        <v>Low</v>
      </c>
      <c r="J808" s="2">
        <v>1</v>
      </c>
      <c r="K808" s="2">
        <v>14.8</v>
      </c>
      <c r="L808" s="2" t="s">
        <v>3</v>
      </c>
      <c r="M808" s="2" t="s">
        <v>3</v>
      </c>
      <c r="N808" s="5">
        <f>IF(ISBLANK('Raw sheet'!L808),AVERAGE('Raw sheet'!$L$2:'Raw sheet'!$L$1500),'Raw sheet'!L808)</f>
        <v>6.6</v>
      </c>
      <c r="O808" s="5" t="str">
        <f>IF(Table1[[#This Row],[Stress_Index]]&gt;=8,"High",IF(N808&gt;=5,"Medium","Low"))</f>
        <v>Medium</v>
      </c>
      <c r="P808" s="3">
        <v>2.06</v>
      </c>
      <c r="Q808" s="2">
        <v>1.89</v>
      </c>
      <c r="R808" s="3">
        <v>1.95</v>
      </c>
      <c r="S808" s="3" t="str">
        <f>IF(Table1[[#This Row],[CGPA]]&gt;=3,"High",IF(R807&gt;=2,"Medium","Low"))</f>
        <v>Medium</v>
      </c>
      <c r="T808" s="2" t="s">
        <v>10</v>
      </c>
      <c r="U808" s="2" t="s">
        <v>8</v>
      </c>
      <c r="V808" s="2" t="s">
        <v>15</v>
      </c>
      <c r="W808" s="7">
        <v>0</v>
      </c>
      <c r="X808" t="str">
        <f t="shared" si="25"/>
        <v>Active</v>
      </c>
    </row>
    <row r="809" spans="1:24" x14ac:dyDescent="0.3">
      <c r="A809" s="2">
        <v>808</v>
      </c>
      <c r="B809" s="7">
        <v>19.899999999999999</v>
      </c>
      <c r="C809" s="2" t="s">
        <v>5</v>
      </c>
      <c r="D809" s="7">
        <f>IF(ISBLANK('Raw sheet'!D809),AVERAGE('Raw sheet'!$D$2:'Raw sheet'!$D$1500),'Raw sheet'!D809)</f>
        <v>37531</v>
      </c>
      <c r="E809" s="7" t="str">
        <f>IF(Table1[[#This Row],[Family_Income]]&gt;=100000,"Upper",IF(D809&gt;=50000,"Middle","Lower"))</f>
        <v>Lower</v>
      </c>
      <c r="F809" s="2" t="s">
        <v>4</v>
      </c>
      <c r="G809" s="3">
        <f>IF(ISBLANK('Raw sheet'!F809),AVERAGE('Raw sheet'!$F$2:'Raw sheet'!$F$1500),'Raw sheet'!F809)</f>
        <v>8.41</v>
      </c>
      <c r="H809" s="18">
        <v>82.9</v>
      </c>
      <c r="I809" s="9" t="str">
        <f t="shared" si="24"/>
        <v>Good</v>
      </c>
      <c r="J809" s="2">
        <v>0</v>
      </c>
      <c r="K809" s="2">
        <v>33</v>
      </c>
      <c r="L809" s="2" t="s">
        <v>3</v>
      </c>
      <c r="M809" s="2" t="s">
        <v>3</v>
      </c>
      <c r="N809" s="5">
        <f>IF(ISBLANK('Raw sheet'!L809),AVERAGE('Raw sheet'!$L$2:'Raw sheet'!$L$1500),'Raw sheet'!L809)</f>
        <v>3.9</v>
      </c>
      <c r="O809" s="5" t="str">
        <f>IF(Table1[[#This Row],[Stress_Index]]&gt;=8,"High",IF(N809&gt;=5,"Medium","Low"))</f>
        <v>Low</v>
      </c>
      <c r="P809" s="3">
        <v>2.6</v>
      </c>
      <c r="Q809" s="2">
        <v>3.27</v>
      </c>
      <c r="R809" s="3">
        <v>3.26</v>
      </c>
      <c r="S809" s="3" t="str">
        <f>IF(Table1[[#This Row],[CGPA]]&gt;=3,"High",IF(R808&gt;=2,"Medium","Low"))</f>
        <v>High</v>
      </c>
      <c r="T809" s="2" t="s">
        <v>10</v>
      </c>
      <c r="U809" s="2" t="s">
        <v>6</v>
      </c>
      <c r="V809" s="2" t="s">
        <v>0</v>
      </c>
      <c r="W809" s="7">
        <v>0</v>
      </c>
      <c r="X809" t="str">
        <f t="shared" si="25"/>
        <v>Active</v>
      </c>
    </row>
    <row r="810" spans="1:24" x14ac:dyDescent="0.3">
      <c r="A810" s="2">
        <v>809</v>
      </c>
      <c r="B810" s="7">
        <v>23.8</v>
      </c>
      <c r="C810" s="2" t="s">
        <v>5</v>
      </c>
      <c r="D810" s="7">
        <f>IF(ISBLANK('Raw sheet'!D810),AVERAGE('Raw sheet'!$D$2:'Raw sheet'!$D$1500),'Raw sheet'!D810)</f>
        <v>26395</v>
      </c>
      <c r="E810" s="7" t="str">
        <f>IF(Table1[[#This Row],[Family_Income]]&gt;=100000,"Upper",IF(D810&gt;=50000,"Middle","Lower"))</f>
        <v>Lower</v>
      </c>
      <c r="F810" s="2" t="s">
        <v>4</v>
      </c>
      <c r="G810" s="3">
        <f>IF(ISBLANK('Raw sheet'!F810),AVERAGE('Raw sheet'!$F$2:'Raw sheet'!$F$1500),'Raw sheet'!F810)</f>
        <v>3.24</v>
      </c>
      <c r="H810" s="18">
        <v>80.7</v>
      </c>
      <c r="I810" s="9" t="str">
        <f t="shared" si="24"/>
        <v>Good</v>
      </c>
      <c r="J810" s="2">
        <v>4</v>
      </c>
      <c r="K810" s="2">
        <v>27.9</v>
      </c>
      <c r="L810" s="2" t="s">
        <v>4</v>
      </c>
      <c r="M810" s="2" t="s">
        <v>4</v>
      </c>
      <c r="N810" s="5">
        <f>IF(ISBLANK('Raw sheet'!L810),AVERAGE('Raw sheet'!$L$2:'Raw sheet'!$L$1500),'Raw sheet'!L810)</f>
        <v>1.9</v>
      </c>
      <c r="O810" s="5" t="str">
        <f>IF(Table1[[#This Row],[Stress_Index]]&gt;=8,"High",IF(N810&gt;=5,"Medium","Low"))</f>
        <v>Low</v>
      </c>
      <c r="P810" s="3">
        <v>3.84</v>
      </c>
      <c r="Q810" s="2">
        <v>3.98</v>
      </c>
      <c r="R810" s="3">
        <v>4</v>
      </c>
      <c r="S810" s="3" t="str">
        <f>IF(Table1[[#This Row],[CGPA]]&gt;=3,"High",IF(R809&gt;=2,"Medium","Low"))</f>
        <v>High</v>
      </c>
      <c r="T810" s="2" t="s">
        <v>10</v>
      </c>
      <c r="U810" s="2" t="s">
        <v>13</v>
      </c>
      <c r="V810" s="2" t="s">
        <v>9</v>
      </c>
      <c r="W810" s="7">
        <v>0</v>
      </c>
      <c r="X810" t="str">
        <f t="shared" si="25"/>
        <v>Active</v>
      </c>
    </row>
    <row r="811" spans="1:24" x14ac:dyDescent="0.3">
      <c r="A811" s="2">
        <v>810</v>
      </c>
      <c r="B811" s="7">
        <v>19</v>
      </c>
      <c r="C811" s="2" t="s">
        <v>11</v>
      </c>
      <c r="D811" s="7">
        <f>IF(ISBLANK('Raw sheet'!D811),AVERAGE('Raw sheet'!$D$2:'Raw sheet'!$D$1500),'Raw sheet'!D811)</f>
        <v>25000</v>
      </c>
      <c r="E811" s="7" t="str">
        <f>IF(Table1[[#This Row],[Family_Income]]&gt;=100000,"Upper",IF(D811&gt;=50000,"Middle","Lower"))</f>
        <v>Lower</v>
      </c>
      <c r="F811" s="2" t="s">
        <v>4</v>
      </c>
      <c r="G811" s="3">
        <f>IF(ISBLANK('Raw sheet'!F811),AVERAGE('Raw sheet'!$F$2:'Raw sheet'!$F$1500),'Raw sheet'!F811)</f>
        <v>4.5599999999999996</v>
      </c>
      <c r="H811" s="18">
        <v>76.099999999999994</v>
      </c>
      <c r="I811" s="9" t="str">
        <f t="shared" si="24"/>
        <v>Good</v>
      </c>
      <c r="J811" s="2">
        <v>3</v>
      </c>
      <c r="K811" s="2">
        <v>16.5</v>
      </c>
      <c r="L811" s="2" t="s">
        <v>3</v>
      </c>
      <c r="M811" s="2" t="s">
        <v>3</v>
      </c>
      <c r="N811" s="5">
        <f>IF(ISBLANK('Raw sheet'!L811),AVERAGE('Raw sheet'!$L$2:'Raw sheet'!$L$1500),'Raw sheet'!L811)</f>
        <v>6.9</v>
      </c>
      <c r="O811" s="5" t="str">
        <f>IF(Table1[[#This Row],[Stress_Index]]&gt;=8,"High",IF(N811&gt;=5,"Medium","Low"))</f>
        <v>Medium</v>
      </c>
      <c r="P811" s="3">
        <v>1.95</v>
      </c>
      <c r="Q811" s="2">
        <v>2.68</v>
      </c>
      <c r="R811" s="3">
        <v>2.69</v>
      </c>
      <c r="S811" s="3" t="str">
        <f>IF(Table1[[#This Row],[CGPA]]&gt;=3,"High",IF(R810&gt;=2,"Medium","Low"))</f>
        <v>Medium</v>
      </c>
      <c r="T811" s="2" t="s">
        <v>7</v>
      </c>
      <c r="U811" s="2" t="s">
        <v>13</v>
      </c>
      <c r="V811" s="2" t="s">
        <v>0</v>
      </c>
      <c r="W811" s="7">
        <v>0</v>
      </c>
      <c r="X811" t="str">
        <f t="shared" si="25"/>
        <v>Active</v>
      </c>
    </row>
    <row r="812" spans="1:24" x14ac:dyDescent="0.3">
      <c r="A812" s="2">
        <v>811</v>
      </c>
      <c r="B812" s="7">
        <v>20.6</v>
      </c>
      <c r="C812" s="2" t="s">
        <v>5</v>
      </c>
      <c r="D812" s="7">
        <f>IF(ISBLANK('Raw sheet'!D812),AVERAGE('Raw sheet'!$D$2:'Raw sheet'!$D$1500),'Raw sheet'!D812)</f>
        <v>25000</v>
      </c>
      <c r="E812" s="7" t="str">
        <f>IF(Table1[[#This Row],[Family_Income]]&gt;=100000,"Upper",IF(D812&gt;=50000,"Middle","Lower"))</f>
        <v>Lower</v>
      </c>
      <c r="F812" s="2" t="s">
        <v>4</v>
      </c>
      <c r="G812" s="3">
        <f>IF(ISBLANK('Raw sheet'!F812),AVERAGE('Raw sheet'!$F$2:'Raw sheet'!$F$1500),'Raw sheet'!F812)</f>
        <v>5.33</v>
      </c>
      <c r="H812" s="18">
        <v>71.900000000000006</v>
      </c>
      <c r="I812" s="9" t="str">
        <f t="shared" si="24"/>
        <v>Low</v>
      </c>
      <c r="J812" s="2">
        <v>0</v>
      </c>
      <c r="K812" s="2">
        <v>36</v>
      </c>
      <c r="L812" s="2" t="s">
        <v>4</v>
      </c>
      <c r="M812" s="2" t="s">
        <v>3</v>
      </c>
      <c r="N812" s="5">
        <f>IF(ISBLANK('Raw sheet'!L812),AVERAGE('Raw sheet'!$L$2:'Raw sheet'!$L$1500),'Raw sheet'!L812)</f>
        <v>6.5</v>
      </c>
      <c r="O812" s="5" t="str">
        <f>IF(Table1[[#This Row],[Stress_Index]]&gt;=8,"High",IF(N812&gt;=5,"Medium","Low"))</f>
        <v>Medium</v>
      </c>
      <c r="P812" s="3">
        <v>1.41</v>
      </c>
      <c r="Q812" s="2">
        <v>1.69</v>
      </c>
      <c r="R812" s="3">
        <v>1.7</v>
      </c>
      <c r="S812" s="3" t="str">
        <f>IF(Table1[[#This Row],[CGPA]]&gt;=3,"High",IF(R811&gt;=2,"Medium","Low"))</f>
        <v>Medium</v>
      </c>
      <c r="T812" s="2" t="s">
        <v>7</v>
      </c>
      <c r="U812" s="2" t="s">
        <v>14</v>
      </c>
      <c r="V812" s="2" t="s">
        <v>0</v>
      </c>
      <c r="W812" s="7">
        <v>0</v>
      </c>
      <c r="X812" t="str">
        <f t="shared" si="25"/>
        <v>Active</v>
      </c>
    </row>
    <row r="813" spans="1:24" x14ac:dyDescent="0.3">
      <c r="A813" s="2">
        <v>812</v>
      </c>
      <c r="B813" s="7">
        <v>20</v>
      </c>
      <c r="C813" s="2" t="s">
        <v>11</v>
      </c>
      <c r="D813" s="7">
        <f>IF(ISBLANK('Raw sheet'!D813),AVERAGE('Raw sheet'!$D$2:'Raw sheet'!$D$1500),'Raw sheet'!D813)</f>
        <v>53373</v>
      </c>
      <c r="E813" s="7" t="str">
        <f>IF(Table1[[#This Row],[Family_Income]]&gt;=100000,"Upper",IF(D813&gt;=50000,"Middle","Lower"))</f>
        <v>Middle</v>
      </c>
      <c r="F813" s="2" t="s">
        <v>4</v>
      </c>
      <c r="G813" s="3">
        <f>IF(ISBLANK('Raw sheet'!F813),AVERAGE('Raw sheet'!$F$2:'Raw sheet'!$F$1500),'Raw sheet'!F813)</f>
        <v>3.15</v>
      </c>
      <c r="H813" s="18">
        <v>80.3</v>
      </c>
      <c r="I813" s="9" t="str">
        <f t="shared" si="24"/>
        <v>Good</v>
      </c>
      <c r="J813" s="2">
        <v>0</v>
      </c>
      <c r="K813" s="2">
        <v>36.200000000000003</v>
      </c>
      <c r="L813" s="2" t="s">
        <v>4</v>
      </c>
      <c r="M813" s="2" t="s">
        <v>3</v>
      </c>
      <c r="N813" s="5">
        <f>IF(ISBLANK('Raw sheet'!L813),AVERAGE('Raw sheet'!$L$2:'Raw sheet'!$L$1500),'Raw sheet'!L813)</f>
        <v>3.7</v>
      </c>
      <c r="O813" s="5" t="str">
        <f>IF(Table1[[#This Row],[Stress_Index]]&gt;=8,"High",IF(N813&gt;=5,"Medium","Low"))</f>
        <v>Low</v>
      </c>
      <c r="P813" s="3">
        <v>1.45</v>
      </c>
      <c r="Q813" s="2">
        <v>1.1499999999999999</v>
      </c>
      <c r="R813" s="3">
        <v>1.1000000000000001</v>
      </c>
      <c r="S813" s="3" t="str">
        <f>IF(Table1[[#This Row],[CGPA]]&gt;=3,"High",IF(R812&gt;=2,"Medium","Low"))</f>
        <v>Low</v>
      </c>
      <c r="T813" s="2" t="s">
        <v>10</v>
      </c>
      <c r="U813" s="2" t="s">
        <v>1</v>
      </c>
      <c r="V813" s="2" t="s">
        <v>0</v>
      </c>
      <c r="W813" s="7">
        <v>0</v>
      </c>
      <c r="X813" t="str">
        <f t="shared" si="25"/>
        <v>Active</v>
      </c>
    </row>
    <row r="814" spans="1:24" x14ac:dyDescent="0.3">
      <c r="A814" s="2">
        <v>813</v>
      </c>
      <c r="B814" s="7">
        <v>24.2</v>
      </c>
      <c r="C814" s="2" t="s">
        <v>11</v>
      </c>
      <c r="D814" s="7">
        <f>IF(ISBLANK('Raw sheet'!D814),AVERAGE('Raw sheet'!$D$2:'Raw sheet'!$D$1500),'Raw sheet'!D814)</f>
        <v>25000</v>
      </c>
      <c r="E814" s="7" t="str">
        <f>IF(Table1[[#This Row],[Family_Income]]&gt;=100000,"Upper",IF(D814&gt;=50000,"Middle","Lower"))</f>
        <v>Lower</v>
      </c>
      <c r="F814" s="2" t="s">
        <v>4</v>
      </c>
      <c r="G814" s="3">
        <f>IF(ISBLANK('Raw sheet'!F814),AVERAGE('Raw sheet'!$F$2:'Raw sheet'!$F$1500),'Raw sheet'!F814)</f>
        <v>3.65</v>
      </c>
      <c r="H814" s="18">
        <v>79.2</v>
      </c>
      <c r="I814" s="9" t="str">
        <f t="shared" si="24"/>
        <v>Good</v>
      </c>
      <c r="J814" s="2">
        <v>2</v>
      </c>
      <c r="K814" s="2">
        <v>35.1</v>
      </c>
      <c r="L814" s="2" t="s">
        <v>3</v>
      </c>
      <c r="M814" s="2" t="s">
        <v>3</v>
      </c>
      <c r="N814" s="5">
        <f>IF(ISBLANK('Raw sheet'!L814),AVERAGE('Raw sheet'!$L$2:'Raw sheet'!$L$1500),'Raw sheet'!L814)</f>
        <v>6.9</v>
      </c>
      <c r="O814" s="5" t="str">
        <f>IF(Table1[[#This Row],[Stress_Index]]&gt;=8,"High",IF(N814&gt;=5,"Medium","Low"))</f>
        <v>Medium</v>
      </c>
      <c r="P814" s="3">
        <v>1.72</v>
      </c>
      <c r="Q814" s="2">
        <v>1.93</v>
      </c>
      <c r="R814" s="3">
        <v>1.94</v>
      </c>
      <c r="S814" s="3" t="str">
        <f>IF(Table1[[#This Row],[CGPA]]&gt;=3,"High",IF(R813&gt;=2,"Medium","Low"))</f>
        <v>Low</v>
      </c>
      <c r="T814" s="2" t="s">
        <v>7</v>
      </c>
      <c r="U814" s="2" t="s">
        <v>1</v>
      </c>
      <c r="V814" s="2" t="s">
        <v>9</v>
      </c>
      <c r="W814" s="7">
        <v>1</v>
      </c>
      <c r="X814" t="str">
        <f t="shared" si="25"/>
        <v>Dropped Out</v>
      </c>
    </row>
    <row r="815" spans="1:24" x14ac:dyDescent="0.3">
      <c r="A815" s="2">
        <v>814</v>
      </c>
      <c r="B815" s="7">
        <v>21.4</v>
      </c>
      <c r="C815" s="2" t="s">
        <v>5</v>
      </c>
      <c r="D815" s="7">
        <f>IF(ISBLANK('Raw sheet'!D815),AVERAGE('Raw sheet'!$D$2:'Raw sheet'!$D$1500),'Raw sheet'!D815)</f>
        <v>25000</v>
      </c>
      <c r="E815" s="7" t="str">
        <f>IF(Table1[[#This Row],[Family_Income]]&gt;=100000,"Upper",IF(D815&gt;=50000,"Middle","Lower"))</f>
        <v>Lower</v>
      </c>
      <c r="F815" s="2" t="s">
        <v>4</v>
      </c>
      <c r="G815" s="3">
        <f>IF(ISBLANK('Raw sheet'!F815),AVERAGE('Raw sheet'!$F$2:'Raw sheet'!$F$1500),'Raw sheet'!F815)</f>
        <v>3.75</v>
      </c>
      <c r="H815" s="18">
        <v>87.2</v>
      </c>
      <c r="I815" s="9" t="str">
        <f t="shared" si="24"/>
        <v>Good</v>
      </c>
      <c r="J815" s="2">
        <v>2</v>
      </c>
      <c r="K815" s="2">
        <v>36.700000000000003</v>
      </c>
      <c r="L815" s="2" t="s">
        <v>3</v>
      </c>
      <c r="M815" s="2" t="s">
        <v>3</v>
      </c>
      <c r="N815" s="5">
        <f>IF(ISBLANK('Raw sheet'!L815),AVERAGE('Raw sheet'!$L$2:'Raw sheet'!$L$1500),'Raw sheet'!L815)</f>
        <v>8</v>
      </c>
      <c r="O815" s="5" t="str">
        <f>IF(Table1[[#This Row],[Stress_Index]]&gt;=8,"High",IF(N815&gt;=5,"Medium","Low"))</f>
        <v>High</v>
      </c>
      <c r="P815" s="3">
        <v>3.2</v>
      </c>
      <c r="Q815" s="2">
        <v>3.54</v>
      </c>
      <c r="R815" s="3">
        <v>3.54</v>
      </c>
      <c r="S815" s="3" t="str">
        <f>IF(Table1[[#This Row],[CGPA]]&gt;=3,"High",IF(R814&gt;=2,"Medium","Low"))</f>
        <v>High</v>
      </c>
      <c r="T815" s="2" t="s">
        <v>2</v>
      </c>
      <c r="U815" s="2" t="s">
        <v>1</v>
      </c>
      <c r="V815" s="2" t="s">
        <v>15</v>
      </c>
      <c r="W815" s="7">
        <v>0</v>
      </c>
      <c r="X815" t="str">
        <f t="shared" si="25"/>
        <v>Active</v>
      </c>
    </row>
    <row r="816" spans="1:24" x14ac:dyDescent="0.3">
      <c r="A816" s="2">
        <v>815</v>
      </c>
      <c r="B816" s="7">
        <v>23.3</v>
      </c>
      <c r="C816" s="2" t="s">
        <v>11</v>
      </c>
      <c r="D816" s="7">
        <f>IF(ISBLANK('Raw sheet'!D816),AVERAGE('Raw sheet'!$D$2:'Raw sheet'!$D$1500),'Raw sheet'!D816)</f>
        <v>29104</v>
      </c>
      <c r="E816" s="7" t="str">
        <f>IF(Table1[[#This Row],[Family_Income]]&gt;=100000,"Upper",IF(D816&gt;=50000,"Middle","Lower"))</f>
        <v>Lower</v>
      </c>
      <c r="F816" s="2" t="s">
        <v>3</v>
      </c>
      <c r="G816" s="3">
        <f>IF(ISBLANK('Raw sheet'!F816),AVERAGE('Raw sheet'!$F$2:'Raw sheet'!$F$1500),'Raw sheet'!F816)</f>
        <v>3.47</v>
      </c>
      <c r="H816" s="18">
        <v>80.8</v>
      </c>
      <c r="I816" s="9" t="str">
        <f t="shared" si="24"/>
        <v>Good</v>
      </c>
      <c r="J816" s="2">
        <v>2</v>
      </c>
      <c r="K816" s="2">
        <v>31.5</v>
      </c>
      <c r="L816" s="2" t="s">
        <v>3</v>
      </c>
      <c r="M816" s="2" t="s">
        <v>3</v>
      </c>
      <c r="N816" s="5">
        <f>IF(ISBLANK('Raw sheet'!L816),AVERAGE('Raw sheet'!$L$2:'Raw sheet'!$L$1500),'Raw sheet'!L816)</f>
        <v>4.2</v>
      </c>
      <c r="O816" s="5" t="str">
        <f>IF(Table1[[#This Row],[Stress_Index]]&gt;=8,"High",IF(N816&gt;=5,"Medium","Low"))</f>
        <v>Low</v>
      </c>
      <c r="P816" s="3">
        <v>3.39</v>
      </c>
      <c r="Q816" s="2">
        <v>3</v>
      </c>
      <c r="R816" s="3">
        <v>3</v>
      </c>
      <c r="S816" s="3" t="str">
        <f>IF(Table1[[#This Row],[CGPA]]&gt;=3,"High",IF(R815&gt;=2,"Medium","Low"))</f>
        <v>High</v>
      </c>
      <c r="T816" s="2" t="s">
        <v>2</v>
      </c>
      <c r="U816" s="2" t="s">
        <v>14</v>
      </c>
      <c r="V816" s="2" t="s">
        <v>9</v>
      </c>
      <c r="W816" s="7">
        <v>0</v>
      </c>
      <c r="X816" t="str">
        <f t="shared" si="25"/>
        <v>Active</v>
      </c>
    </row>
    <row r="817" spans="1:24" x14ac:dyDescent="0.3">
      <c r="A817" s="2">
        <v>816</v>
      </c>
      <c r="B817" s="7">
        <v>17.7</v>
      </c>
      <c r="C817" s="2" t="s">
        <v>5</v>
      </c>
      <c r="D817" s="7">
        <f>IF(ISBLANK('Raw sheet'!D817),AVERAGE('Raw sheet'!$D$2:'Raw sheet'!$D$1500),'Raw sheet'!D817)</f>
        <v>25000</v>
      </c>
      <c r="E817" s="7" t="str">
        <f>IF(Table1[[#This Row],[Family_Income]]&gt;=100000,"Upper",IF(D817&gt;=50000,"Middle","Lower"))</f>
        <v>Lower</v>
      </c>
      <c r="F817" s="2" t="s">
        <v>3</v>
      </c>
      <c r="G817" s="3">
        <f>IF(ISBLANK('Raw sheet'!F817),AVERAGE('Raw sheet'!$F$2:'Raw sheet'!$F$1500),'Raw sheet'!F817)</f>
        <v>4.5199999999999996</v>
      </c>
      <c r="H817" s="18">
        <v>82.7</v>
      </c>
      <c r="I817" s="9" t="str">
        <f t="shared" si="24"/>
        <v>Good</v>
      </c>
      <c r="J817" s="2">
        <v>2</v>
      </c>
      <c r="K817" s="2">
        <v>27</v>
      </c>
      <c r="L817" s="2" t="s">
        <v>3</v>
      </c>
      <c r="M817" s="2" t="s">
        <v>3</v>
      </c>
      <c r="N817" s="5">
        <f>IF(ISBLANK('Raw sheet'!L817),AVERAGE('Raw sheet'!$L$2:'Raw sheet'!$L$1500),'Raw sheet'!L817)</f>
        <v>2</v>
      </c>
      <c r="O817" s="5" t="str">
        <f>IF(Table1[[#This Row],[Stress_Index]]&gt;=8,"High",IF(N817&gt;=5,"Medium","Low"))</f>
        <v>Low</v>
      </c>
      <c r="P817" s="3">
        <v>3.4</v>
      </c>
      <c r="Q817" s="2">
        <v>3.51</v>
      </c>
      <c r="R817" s="3">
        <v>3.52</v>
      </c>
      <c r="S817" s="3" t="str">
        <f>IF(Table1[[#This Row],[CGPA]]&gt;=3,"High",IF(R816&gt;=2,"Medium","Low"))</f>
        <v>High</v>
      </c>
      <c r="T817" s="2" t="s">
        <v>7</v>
      </c>
      <c r="U817" s="2" t="s">
        <v>8</v>
      </c>
      <c r="V817" s="2" t="s">
        <v>15</v>
      </c>
      <c r="W817" s="7">
        <v>0</v>
      </c>
      <c r="X817" t="str">
        <f t="shared" si="25"/>
        <v>Active</v>
      </c>
    </row>
    <row r="818" spans="1:24" x14ac:dyDescent="0.3">
      <c r="A818" s="2">
        <v>817</v>
      </c>
      <c r="B818" s="7">
        <v>21.6</v>
      </c>
      <c r="C818" s="2" t="s">
        <v>11</v>
      </c>
      <c r="D818" s="7">
        <f>IF(ISBLANK('Raw sheet'!D818),AVERAGE('Raw sheet'!$D$2:'Raw sheet'!$D$1500),'Raw sheet'!D818)</f>
        <v>31572</v>
      </c>
      <c r="E818" s="7" t="str">
        <f>IF(Table1[[#This Row],[Family_Income]]&gt;=100000,"Upper",IF(D818&gt;=50000,"Middle","Lower"))</f>
        <v>Lower</v>
      </c>
      <c r="F818" s="2" t="s">
        <v>4</v>
      </c>
      <c r="G818" s="3">
        <f>IF(ISBLANK('Raw sheet'!F818),AVERAGE('Raw sheet'!$F$2:'Raw sheet'!$F$1500),'Raw sheet'!F818)</f>
        <v>4.07</v>
      </c>
      <c r="H818" s="18">
        <v>84.6</v>
      </c>
      <c r="I818" s="9" t="str">
        <f t="shared" si="24"/>
        <v>Good</v>
      </c>
      <c r="J818" s="2">
        <v>3</v>
      </c>
      <c r="K818" s="2">
        <v>51.2</v>
      </c>
      <c r="L818" s="2" t="s">
        <v>4</v>
      </c>
      <c r="M818" s="2" t="s">
        <v>3</v>
      </c>
      <c r="N818" s="5">
        <f>IF(ISBLANK('Raw sheet'!L818),AVERAGE('Raw sheet'!$L$2:'Raw sheet'!$L$1500),'Raw sheet'!L818)</f>
        <v>7.2</v>
      </c>
      <c r="O818" s="5" t="str">
        <f>IF(Table1[[#This Row],[Stress_Index]]&gt;=8,"High",IF(N818&gt;=5,"Medium","Low"))</f>
        <v>Medium</v>
      </c>
      <c r="P818" s="3">
        <v>1.69</v>
      </c>
      <c r="Q818" s="2">
        <v>1.91</v>
      </c>
      <c r="R818" s="3">
        <v>1.92</v>
      </c>
      <c r="S818" s="3" t="str">
        <f>IF(Table1[[#This Row],[CGPA]]&gt;=3,"High",IF(R817&gt;=2,"Medium","Low"))</f>
        <v>Medium</v>
      </c>
      <c r="T818" s="2" t="s">
        <v>7</v>
      </c>
      <c r="U818" s="2" t="s">
        <v>6</v>
      </c>
      <c r="V818" s="2" t="s">
        <v>15</v>
      </c>
      <c r="W818" s="7">
        <v>1</v>
      </c>
      <c r="X818" t="str">
        <f t="shared" si="25"/>
        <v>Dropped Out</v>
      </c>
    </row>
    <row r="819" spans="1:24" x14ac:dyDescent="0.3">
      <c r="A819" s="2">
        <v>818</v>
      </c>
      <c r="B819" s="7">
        <v>23</v>
      </c>
      <c r="C819" s="2" t="s">
        <v>11</v>
      </c>
      <c r="D819" s="7">
        <f>IF(ISBLANK('Raw sheet'!D819),AVERAGE('Raw sheet'!$D$2:'Raw sheet'!$D$1500),'Raw sheet'!D819)</f>
        <v>26327</v>
      </c>
      <c r="E819" s="7" t="str">
        <f>IF(Table1[[#This Row],[Family_Income]]&gt;=100000,"Upper",IF(D819&gt;=50000,"Middle","Lower"))</f>
        <v>Lower</v>
      </c>
      <c r="F819" s="2" t="s">
        <v>4</v>
      </c>
      <c r="G819" s="3">
        <f>IF(ISBLANK('Raw sheet'!F819),AVERAGE('Raw sheet'!$F$2:'Raw sheet'!$F$1500),'Raw sheet'!F819)</f>
        <v>1.35</v>
      </c>
      <c r="H819" s="18">
        <v>78.3</v>
      </c>
      <c r="I819" s="9" t="str">
        <f t="shared" si="24"/>
        <v>Good</v>
      </c>
      <c r="J819" s="2">
        <v>2</v>
      </c>
      <c r="K819" s="2">
        <v>31.8</v>
      </c>
      <c r="L819" s="2" t="s">
        <v>4</v>
      </c>
      <c r="M819" s="2" t="s">
        <v>3</v>
      </c>
      <c r="N819" s="5">
        <f>IF(ISBLANK('Raw sheet'!L819),AVERAGE('Raw sheet'!$L$2:'Raw sheet'!$L$1500),'Raw sheet'!L819)</f>
        <v>7.8</v>
      </c>
      <c r="O819" s="5" t="str">
        <f>IF(Table1[[#This Row],[Stress_Index]]&gt;=8,"High",IF(N819&gt;=5,"Medium","Low"))</f>
        <v>Medium</v>
      </c>
      <c r="P819" s="3">
        <v>0.96</v>
      </c>
      <c r="Q819" s="2">
        <v>1.44</v>
      </c>
      <c r="R819" s="3">
        <v>1.46</v>
      </c>
      <c r="S819" s="3" t="str">
        <f>IF(Table1[[#This Row],[CGPA]]&gt;=3,"High",IF(R818&gt;=2,"Medium","Low"))</f>
        <v>Low</v>
      </c>
      <c r="T819" s="2" t="s">
        <v>12</v>
      </c>
      <c r="U819" s="2" t="s">
        <v>1</v>
      </c>
      <c r="V819" s="2" t="s">
        <v>9</v>
      </c>
      <c r="W819" s="7">
        <v>1</v>
      </c>
      <c r="X819" t="str">
        <f t="shared" si="25"/>
        <v>Dropped Out</v>
      </c>
    </row>
    <row r="820" spans="1:24" x14ac:dyDescent="0.3">
      <c r="A820" s="2">
        <v>819</v>
      </c>
      <c r="B820" s="7">
        <v>21.2</v>
      </c>
      <c r="C820" s="2" t="s">
        <v>11</v>
      </c>
      <c r="D820" s="7">
        <f>IF(ISBLANK('Raw sheet'!D820),AVERAGE('Raw sheet'!$D$2:'Raw sheet'!$D$1500),'Raw sheet'!D820)</f>
        <v>25000</v>
      </c>
      <c r="E820" s="7" t="str">
        <f>IF(Table1[[#This Row],[Family_Income]]&gt;=100000,"Upper",IF(D820&gt;=50000,"Middle","Lower"))</f>
        <v>Lower</v>
      </c>
      <c r="F820" s="2" t="s">
        <v>4</v>
      </c>
      <c r="G820" s="3">
        <f>IF(ISBLANK('Raw sheet'!F820),AVERAGE('Raw sheet'!$F$2:'Raw sheet'!$F$1500),'Raw sheet'!F820)</f>
        <v>4.1399999999999997</v>
      </c>
      <c r="H820" s="18">
        <v>74</v>
      </c>
      <c r="I820" s="9" t="str">
        <f t="shared" si="24"/>
        <v>Low</v>
      </c>
      <c r="J820" s="2">
        <v>3</v>
      </c>
      <c r="K820" s="2">
        <v>5</v>
      </c>
      <c r="L820" s="2" t="s">
        <v>4</v>
      </c>
      <c r="M820" s="2" t="s">
        <v>3</v>
      </c>
      <c r="N820" s="5">
        <f>IF(ISBLANK('Raw sheet'!L820),AVERAGE('Raw sheet'!$L$2:'Raw sheet'!$L$1500),'Raw sheet'!L820)</f>
        <v>4.2</v>
      </c>
      <c r="O820" s="5" t="str">
        <f>IF(Table1[[#This Row],[Stress_Index]]&gt;=8,"High",IF(N820&gt;=5,"Medium","Low"))</f>
        <v>Low</v>
      </c>
      <c r="P820" s="3">
        <v>1.6</v>
      </c>
      <c r="Q820" s="2">
        <v>2.62</v>
      </c>
      <c r="R820" s="3">
        <v>2.64</v>
      </c>
      <c r="S820" s="3" t="str">
        <f>IF(Table1[[#This Row],[CGPA]]&gt;=3,"High",IF(R819&gt;=2,"Medium","Low"))</f>
        <v>Low</v>
      </c>
      <c r="T820" s="2" t="s">
        <v>7</v>
      </c>
      <c r="U820" s="2" t="s">
        <v>8</v>
      </c>
      <c r="V820" s="2" t="s">
        <v>0</v>
      </c>
      <c r="W820" s="7">
        <v>0</v>
      </c>
      <c r="X820" t="str">
        <f t="shared" si="25"/>
        <v>Active</v>
      </c>
    </row>
    <row r="821" spans="1:24" x14ac:dyDescent="0.3">
      <c r="A821" s="2">
        <v>820</v>
      </c>
      <c r="B821" s="7">
        <v>23.3</v>
      </c>
      <c r="C821" s="2" t="s">
        <v>11</v>
      </c>
      <c r="D821" s="7">
        <f>IF(ISBLANK('Raw sheet'!D821),AVERAGE('Raw sheet'!$D$2:'Raw sheet'!$D$1500),'Raw sheet'!D821)</f>
        <v>25000</v>
      </c>
      <c r="E821" s="7" t="str">
        <f>IF(Table1[[#This Row],[Family_Income]]&gt;=100000,"Upper",IF(D821&gt;=50000,"Middle","Lower"))</f>
        <v>Lower</v>
      </c>
      <c r="F821" s="2" t="s">
        <v>4</v>
      </c>
      <c r="G821" s="3">
        <f>IF(ISBLANK('Raw sheet'!F821),AVERAGE('Raw sheet'!$F$2:'Raw sheet'!$F$1500),'Raw sheet'!F821)</f>
        <v>4.49</v>
      </c>
      <c r="H821" s="18">
        <v>99.7</v>
      </c>
      <c r="I821" s="9" t="str">
        <f t="shared" si="24"/>
        <v>Good</v>
      </c>
      <c r="J821" s="2">
        <v>0</v>
      </c>
      <c r="K821" s="2">
        <v>5</v>
      </c>
      <c r="L821" s="2" t="s">
        <v>4</v>
      </c>
      <c r="M821" s="2" t="s">
        <v>3</v>
      </c>
      <c r="N821" s="5">
        <f>IF(ISBLANK('Raw sheet'!L821),AVERAGE('Raw sheet'!$L$2:'Raw sheet'!$L$1500),'Raw sheet'!L821)</f>
        <v>6.9</v>
      </c>
      <c r="O821" s="5" t="str">
        <f>IF(Table1[[#This Row],[Stress_Index]]&gt;=8,"High",IF(N821&gt;=5,"Medium","Low"))</f>
        <v>Medium</v>
      </c>
      <c r="P821" s="3">
        <v>4</v>
      </c>
      <c r="Q821" s="2">
        <v>4</v>
      </c>
      <c r="R821" s="3">
        <v>4</v>
      </c>
      <c r="S821" s="3" t="str">
        <f>IF(Table1[[#This Row],[CGPA]]&gt;=3,"High",IF(R820&gt;=2,"Medium","Low"))</f>
        <v>High</v>
      </c>
      <c r="T821" s="2" t="s">
        <v>2</v>
      </c>
      <c r="U821" s="2" t="s">
        <v>6</v>
      </c>
      <c r="V821" s="2" t="s">
        <v>9</v>
      </c>
      <c r="W821" s="7">
        <v>0</v>
      </c>
      <c r="X821" t="str">
        <f t="shared" si="25"/>
        <v>Active</v>
      </c>
    </row>
    <row r="822" spans="1:24" x14ac:dyDescent="0.3">
      <c r="A822" s="2">
        <v>821</v>
      </c>
      <c r="B822" s="7">
        <v>19.899999999999999</v>
      </c>
      <c r="C822" s="2" t="s">
        <v>5</v>
      </c>
      <c r="D822" s="7">
        <f>IF(ISBLANK('Raw sheet'!D822),AVERAGE('Raw sheet'!$D$2:'Raw sheet'!$D$1500),'Raw sheet'!D822)</f>
        <v>38780</v>
      </c>
      <c r="E822" s="7" t="str">
        <f>IF(Table1[[#This Row],[Family_Income]]&gt;=100000,"Upper",IF(D822&gt;=50000,"Middle","Lower"))</f>
        <v>Lower</v>
      </c>
      <c r="F822" s="2" t="s">
        <v>4</v>
      </c>
      <c r="G822" s="3">
        <f>IF(ISBLANK('Raw sheet'!F822),AVERAGE('Raw sheet'!$F$2:'Raw sheet'!$F$1500),'Raw sheet'!F822)</f>
        <v>3.95</v>
      </c>
      <c r="H822" s="18">
        <v>81.400000000000006</v>
      </c>
      <c r="I822" s="9" t="str">
        <f t="shared" si="24"/>
        <v>Good</v>
      </c>
      <c r="J822" s="2">
        <v>1</v>
      </c>
      <c r="K822" s="2">
        <v>44.5</v>
      </c>
      <c r="L822" s="2" t="s">
        <v>3</v>
      </c>
      <c r="M822" s="2" t="s">
        <v>3</v>
      </c>
      <c r="N822" s="5">
        <f>IF(ISBLANK('Raw sheet'!L822),AVERAGE('Raw sheet'!$L$2:'Raw sheet'!$L$1500),'Raw sheet'!L822)</f>
        <v>6.1</v>
      </c>
      <c r="O822" s="5" t="str">
        <f>IF(Table1[[#This Row],[Stress_Index]]&gt;=8,"High",IF(N822&gt;=5,"Medium","Low"))</f>
        <v>Medium</v>
      </c>
      <c r="P822" s="3">
        <v>0.71</v>
      </c>
      <c r="Q822" s="2">
        <v>0.62</v>
      </c>
      <c r="R822" s="3">
        <v>0.67</v>
      </c>
      <c r="S822" s="3" t="str">
        <f>IF(Table1[[#This Row],[CGPA]]&gt;=3,"High",IF(R821&gt;=2,"Medium","Low"))</f>
        <v>Medium</v>
      </c>
      <c r="T822" s="2" t="s">
        <v>12</v>
      </c>
      <c r="U822" s="2" t="s">
        <v>13</v>
      </c>
      <c r="V822" s="2" t="s">
        <v>15</v>
      </c>
      <c r="W822" s="7">
        <v>1</v>
      </c>
      <c r="X822" t="str">
        <f t="shared" si="25"/>
        <v>Dropped Out</v>
      </c>
    </row>
    <row r="823" spans="1:24" x14ac:dyDescent="0.3">
      <c r="A823" s="2">
        <v>822</v>
      </c>
      <c r="B823" s="7">
        <v>24.1</v>
      </c>
      <c r="C823" s="2" t="s">
        <v>5</v>
      </c>
      <c r="D823" s="7">
        <f>IF(ISBLANK('Raw sheet'!D823),AVERAGE('Raw sheet'!$D$2:'Raw sheet'!$D$1500),'Raw sheet'!D823)</f>
        <v>30490</v>
      </c>
      <c r="E823" s="7" t="str">
        <f>IF(Table1[[#This Row],[Family_Income]]&gt;=100000,"Upper",IF(D823&gt;=50000,"Middle","Lower"))</f>
        <v>Lower</v>
      </c>
      <c r="F823" s="2" t="s">
        <v>4</v>
      </c>
      <c r="G823" s="3">
        <f>IF(ISBLANK('Raw sheet'!F823),AVERAGE('Raw sheet'!$F$2:'Raw sheet'!$F$1500),'Raw sheet'!F823)</f>
        <v>6.14</v>
      </c>
      <c r="H823" s="18">
        <v>80.3</v>
      </c>
      <c r="I823" s="9" t="str">
        <f t="shared" si="24"/>
        <v>Good</v>
      </c>
      <c r="J823" s="2">
        <v>1</v>
      </c>
      <c r="K823" s="2">
        <v>8</v>
      </c>
      <c r="L823" s="2" t="s">
        <v>3</v>
      </c>
      <c r="M823" s="2" t="s">
        <v>3</v>
      </c>
      <c r="N823" s="5">
        <f>IF(ISBLANK('Raw sheet'!L823),AVERAGE('Raw sheet'!$L$2:'Raw sheet'!$L$1500),'Raw sheet'!L823)</f>
        <v>5.3</v>
      </c>
      <c r="O823" s="5" t="str">
        <f>IF(Table1[[#This Row],[Stress_Index]]&gt;=8,"High",IF(N823&gt;=5,"Medium","Low"))</f>
        <v>Medium</v>
      </c>
      <c r="P823" s="3">
        <v>2.04</v>
      </c>
      <c r="Q823" s="2">
        <v>1.63</v>
      </c>
      <c r="R823" s="3">
        <v>1.63</v>
      </c>
      <c r="S823" s="3" t="str">
        <f>IF(Table1[[#This Row],[CGPA]]&gt;=3,"High",IF(R822&gt;=2,"Medium","Low"))</f>
        <v>Low</v>
      </c>
      <c r="T823" s="2" t="s">
        <v>10</v>
      </c>
      <c r="U823" s="2" t="s">
        <v>8</v>
      </c>
      <c r="V823" s="2" t="s">
        <v>15</v>
      </c>
      <c r="W823" s="7">
        <v>0</v>
      </c>
      <c r="X823" t="str">
        <f t="shared" si="25"/>
        <v>Active</v>
      </c>
    </row>
    <row r="824" spans="1:24" x14ac:dyDescent="0.3">
      <c r="A824" s="2">
        <v>823</v>
      </c>
      <c r="B824" s="7">
        <v>26.1</v>
      </c>
      <c r="C824" s="2" t="s">
        <v>11</v>
      </c>
      <c r="D824" s="7">
        <f>IF(ISBLANK('Raw sheet'!D824),AVERAGE('Raw sheet'!$D$2:'Raw sheet'!$D$1500),'Raw sheet'!D824)</f>
        <v>28306</v>
      </c>
      <c r="E824" s="7" t="str">
        <f>IF(Table1[[#This Row],[Family_Income]]&gt;=100000,"Upper",IF(D824&gt;=50000,"Middle","Lower"))</f>
        <v>Lower</v>
      </c>
      <c r="F824" s="2" t="s">
        <v>4</v>
      </c>
      <c r="G824" s="3">
        <f>IF(ISBLANK('Raw sheet'!F824),AVERAGE('Raw sheet'!$F$2:'Raw sheet'!$F$1500),'Raw sheet'!F824)</f>
        <v>4.45</v>
      </c>
      <c r="H824" s="18">
        <v>93.3</v>
      </c>
      <c r="I824" s="9" t="str">
        <f t="shared" si="24"/>
        <v>Good</v>
      </c>
      <c r="J824" s="2">
        <v>2</v>
      </c>
      <c r="K824" s="2">
        <v>23.5</v>
      </c>
      <c r="L824" s="2" t="s">
        <v>4</v>
      </c>
      <c r="M824" s="2" t="s">
        <v>4</v>
      </c>
      <c r="N824" s="5">
        <f>IF(ISBLANK('Raw sheet'!L824),AVERAGE('Raw sheet'!$L$2:'Raw sheet'!$L$1500),'Raw sheet'!L824)</f>
        <v>6.5</v>
      </c>
      <c r="O824" s="5" t="str">
        <f>IF(Table1[[#This Row],[Stress_Index]]&gt;=8,"High",IF(N824&gt;=5,"Medium","Low"))</f>
        <v>Medium</v>
      </c>
      <c r="P824" s="3">
        <v>2.76</v>
      </c>
      <c r="Q824" s="2">
        <v>2.62</v>
      </c>
      <c r="R824" s="3">
        <v>2.54</v>
      </c>
      <c r="S824" s="3" t="str">
        <f>IF(Table1[[#This Row],[CGPA]]&gt;=3,"High",IF(R823&gt;=2,"Medium","Low"))</f>
        <v>Low</v>
      </c>
      <c r="T824" s="2" t="s">
        <v>12</v>
      </c>
      <c r="U824" s="2" t="s">
        <v>14</v>
      </c>
      <c r="V824" s="2" t="s">
        <v>9</v>
      </c>
      <c r="W824" s="7">
        <v>1</v>
      </c>
      <c r="X824" t="str">
        <f t="shared" si="25"/>
        <v>Dropped Out</v>
      </c>
    </row>
    <row r="825" spans="1:24" x14ac:dyDescent="0.3">
      <c r="A825" s="2">
        <v>824</v>
      </c>
      <c r="B825" s="7">
        <v>20.2</v>
      </c>
      <c r="C825" s="2" t="s">
        <v>5</v>
      </c>
      <c r="D825" s="7">
        <f>IF(ISBLANK('Raw sheet'!D825),AVERAGE('Raw sheet'!$D$2:'Raw sheet'!$D$1500),'Raw sheet'!D825)</f>
        <v>95076</v>
      </c>
      <c r="E825" s="7" t="str">
        <f>IF(Table1[[#This Row],[Family_Income]]&gt;=100000,"Upper",IF(D825&gt;=50000,"Middle","Lower"))</f>
        <v>Middle</v>
      </c>
      <c r="F825" s="2" t="s">
        <v>4</v>
      </c>
      <c r="G825" s="3">
        <f>IF(ISBLANK('Raw sheet'!F825),AVERAGE('Raw sheet'!$F$2:'Raw sheet'!$F$1500),'Raw sheet'!F825)</f>
        <v>4.03</v>
      </c>
      <c r="H825" s="18">
        <v>97.1</v>
      </c>
      <c r="I825" s="9" t="str">
        <f t="shared" si="24"/>
        <v>Good</v>
      </c>
      <c r="J825" s="2">
        <v>1</v>
      </c>
      <c r="K825" s="2">
        <v>15.4</v>
      </c>
      <c r="L825" s="2" t="s">
        <v>4</v>
      </c>
      <c r="M825" s="2" t="s">
        <v>3</v>
      </c>
      <c r="N825" s="5">
        <f>IF(ISBLANK('Raw sheet'!L825),AVERAGE('Raw sheet'!$L$2:'Raw sheet'!$L$1500),'Raw sheet'!L825)</f>
        <v>4.5999999999999996</v>
      </c>
      <c r="O825" s="5" t="str">
        <f>IF(Table1[[#This Row],[Stress_Index]]&gt;=8,"High",IF(N825&gt;=5,"Medium","Low"))</f>
        <v>Low</v>
      </c>
      <c r="P825" s="3">
        <v>2.98</v>
      </c>
      <c r="Q825" s="2">
        <v>3.47</v>
      </c>
      <c r="R825" s="3">
        <v>3.47</v>
      </c>
      <c r="S825" s="3" t="str">
        <f>IF(Table1[[#This Row],[CGPA]]&gt;=3,"High",IF(R824&gt;=2,"Medium","Low"))</f>
        <v>High</v>
      </c>
      <c r="T825" s="2" t="s">
        <v>2</v>
      </c>
      <c r="U825" s="2" t="s">
        <v>8</v>
      </c>
      <c r="V825" s="2" t="s">
        <v>15</v>
      </c>
      <c r="W825" s="7">
        <v>1</v>
      </c>
      <c r="X825" t="str">
        <f t="shared" si="25"/>
        <v>Dropped Out</v>
      </c>
    </row>
    <row r="826" spans="1:24" x14ac:dyDescent="0.3">
      <c r="A826" s="2">
        <v>825</v>
      </c>
      <c r="B826" s="7">
        <v>20</v>
      </c>
      <c r="C826" s="2" t="s">
        <v>5</v>
      </c>
      <c r="D826" s="7">
        <f>IF(ISBLANK('Raw sheet'!D826),AVERAGE('Raw sheet'!$D$2:'Raw sheet'!$D$1500),'Raw sheet'!D826)</f>
        <v>46103</v>
      </c>
      <c r="E826" s="7" t="str">
        <f>IF(Table1[[#This Row],[Family_Income]]&gt;=100000,"Upper",IF(D826&gt;=50000,"Middle","Lower"))</f>
        <v>Lower</v>
      </c>
      <c r="F826" s="2" t="s">
        <v>4</v>
      </c>
      <c r="G826" s="3">
        <f>IF(ISBLANK('Raw sheet'!F826),AVERAGE('Raw sheet'!$F$2:'Raw sheet'!$F$1500),'Raw sheet'!F826)</f>
        <v>5.18</v>
      </c>
      <c r="H826" s="18">
        <v>93.6</v>
      </c>
      <c r="I826" s="9" t="str">
        <f t="shared" si="24"/>
        <v>Good</v>
      </c>
      <c r="J826" s="2">
        <v>4</v>
      </c>
      <c r="K826" s="2">
        <v>26.4</v>
      </c>
      <c r="L826" s="2" t="s">
        <v>3</v>
      </c>
      <c r="M826" s="2" t="s">
        <v>4</v>
      </c>
      <c r="N826" s="5">
        <f>IF(ISBLANK('Raw sheet'!L826),AVERAGE('Raw sheet'!$L$2:'Raw sheet'!$L$1500),'Raw sheet'!L826)</f>
        <v>3.5</v>
      </c>
      <c r="O826" s="5" t="str">
        <f>IF(Table1[[#This Row],[Stress_Index]]&gt;=8,"High",IF(N826&gt;=5,"Medium","Low"))</f>
        <v>Low</v>
      </c>
      <c r="P826" s="3">
        <v>4</v>
      </c>
      <c r="Q826" s="2">
        <v>3.84</v>
      </c>
      <c r="R826" s="3">
        <v>3.82</v>
      </c>
      <c r="S826" s="3" t="str">
        <f>IF(Table1[[#This Row],[CGPA]]&gt;=3,"High",IF(R825&gt;=2,"Medium","Low"))</f>
        <v>High</v>
      </c>
      <c r="T826" s="2" t="s">
        <v>10</v>
      </c>
      <c r="U826" s="2" t="s">
        <v>8</v>
      </c>
      <c r="V826" s="2" t="s">
        <v>0</v>
      </c>
      <c r="W826" s="7">
        <v>1</v>
      </c>
      <c r="X826" t="str">
        <f t="shared" si="25"/>
        <v>Dropped Out</v>
      </c>
    </row>
    <row r="827" spans="1:24" x14ac:dyDescent="0.3">
      <c r="A827" s="2">
        <v>826</v>
      </c>
      <c r="B827" s="7">
        <v>24.2</v>
      </c>
      <c r="C827" s="2" t="s">
        <v>5</v>
      </c>
      <c r="D827" s="7">
        <f>IF(ISBLANK('Raw sheet'!D827),AVERAGE('Raw sheet'!$D$2:'Raw sheet'!$D$1500),'Raw sheet'!D827)</f>
        <v>49586</v>
      </c>
      <c r="E827" s="7" t="str">
        <f>IF(Table1[[#This Row],[Family_Income]]&gt;=100000,"Upper",IF(D827&gt;=50000,"Middle","Lower"))</f>
        <v>Lower</v>
      </c>
      <c r="F827" s="2" t="s">
        <v>4</v>
      </c>
      <c r="G827" s="3">
        <f>IF(ISBLANK('Raw sheet'!F827),AVERAGE('Raw sheet'!$F$2:'Raw sheet'!$F$1500),'Raw sheet'!F827)</f>
        <v>6.95</v>
      </c>
      <c r="H827" s="18">
        <v>78.900000000000006</v>
      </c>
      <c r="I827" s="9" t="str">
        <f t="shared" si="24"/>
        <v>Good</v>
      </c>
      <c r="J827" s="2">
        <v>2</v>
      </c>
      <c r="K827" s="2">
        <v>34.6</v>
      </c>
      <c r="L827" s="2" t="s">
        <v>3</v>
      </c>
      <c r="M827" s="2" t="s">
        <v>3</v>
      </c>
      <c r="N827" s="5">
        <f>IF(ISBLANK('Raw sheet'!L827),AVERAGE('Raw sheet'!$L$2:'Raw sheet'!$L$1500),'Raw sheet'!L827)</f>
        <v>6.2</v>
      </c>
      <c r="O827" s="5" t="str">
        <f>IF(Table1[[#This Row],[Stress_Index]]&gt;=8,"High",IF(N827&gt;=5,"Medium","Low"))</f>
        <v>Medium</v>
      </c>
      <c r="P827" s="3">
        <v>4</v>
      </c>
      <c r="Q827" s="2">
        <v>4</v>
      </c>
      <c r="R827" s="3">
        <v>4</v>
      </c>
      <c r="S827" s="3" t="str">
        <f>IF(Table1[[#This Row],[CGPA]]&gt;=3,"High",IF(R826&gt;=2,"Medium","Low"))</f>
        <v>High</v>
      </c>
      <c r="T827" s="2" t="s">
        <v>2</v>
      </c>
      <c r="U827" s="2" t="s">
        <v>14</v>
      </c>
      <c r="V827" s="2" t="s">
        <v>15</v>
      </c>
      <c r="W827" s="7">
        <v>0</v>
      </c>
      <c r="X827" t="str">
        <f t="shared" si="25"/>
        <v>Active</v>
      </c>
    </row>
    <row r="828" spans="1:24" x14ac:dyDescent="0.3">
      <c r="A828" s="2">
        <v>827</v>
      </c>
      <c r="B828" s="7">
        <v>24.5</v>
      </c>
      <c r="C828" s="2" t="s">
        <v>11</v>
      </c>
      <c r="D828" s="7">
        <f>IF(ISBLANK('Raw sheet'!D828),AVERAGE('Raw sheet'!$D$2:'Raw sheet'!$D$1500),'Raw sheet'!D828)</f>
        <v>26914</v>
      </c>
      <c r="E828" s="7" t="str">
        <f>IF(Table1[[#This Row],[Family_Income]]&gt;=100000,"Upper",IF(D828&gt;=50000,"Middle","Lower"))</f>
        <v>Lower</v>
      </c>
      <c r="F828" s="2" t="s">
        <v>4</v>
      </c>
      <c r="G828" s="3">
        <f>IF(ISBLANK('Raw sheet'!F828),AVERAGE('Raw sheet'!$F$2:'Raw sheet'!$F$1500),'Raw sheet'!F828)</f>
        <v>3.81</v>
      </c>
      <c r="H828" s="18">
        <v>84.8</v>
      </c>
      <c r="I828" s="9" t="str">
        <f t="shared" si="24"/>
        <v>Good</v>
      </c>
      <c r="J828" s="2">
        <v>3</v>
      </c>
      <c r="K828" s="2">
        <v>22</v>
      </c>
      <c r="L828" s="2" t="s">
        <v>4</v>
      </c>
      <c r="M828" s="2" t="s">
        <v>3</v>
      </c>
      <c r="N828" s="5">
        <f>IF(ISBLANK('Raw sheet'!L828),AVERAGE('Raw sheet'!$L$2:'Raw sheet'!$L$1500),'Raw sheet'!L828)</f>
        <v>6</v>
      </c>
      <c r="O828" s="5" t="str">
        <f>IF(Table1[[#This Row],[Stress_Index]]&gt;=8,"High",IF(N828&gt;=5,"Medium","Low"))</f>
        <v>Medium</v>
      </c>
      <c r="P828" s="3">
        <v>2.35</v>
      </c>
      <c r="Q828" s="2">
        <v>1.79</v>
      </c>
      <c r="R828" s="3">
        <v>1.79</v>
      </c>
      <c r="S828" s="3" t="str">
        <f>IF(Table1[[#This Row],[CGPA]]&gt;=3,"High",IF(R827&gt;=2,"Medium","Low"))</f>
        <v>Medium</v>
      </c>
      <c r="T828" s="2" t="s">
        <v>2</v>
      </c>
      <c r="U828" s="2" t="s">
        <v>14</v>
      </c>
      <c r="V828" s="2" t="s">
        <v>15</v>
      </c>
      <c r="W828" s="7">
        <v>1</v>
      </c>
      <c r="X828" t="str">
        <f t="shared" si="25"/>
        <v>Dropped Out</v>
      </c>
    </row>
    <row r="829" spans="1:24" x14ac:dyDescent="0.3">
      <c r="A829" s="2">
        <v>828</v>
      </c>
      <c r="B829" s="7">
        <v>19.8</v>
      </c>
      <c r="C829" s="2" t="s">
        <v>5</v>
      </c>
      <c r="D829" s="7">
        <f>IF(ISBLANK('Raw sheet'!D829),AVERAGE('Raw sheet'!$D$2:'Raw sheet'!$D$1500),'Raw sheet'!D829)</f>
        <v>33931</v>
      </c>
      <c r="E829" s="7" t="str">
        <f>IF(Table1[[#This Row],[Family_Income]]&gt;=100000,"Upper",IF(D829&gt;=50000,"Middle","Lower"))</f>
        <v>Lower</v>
      </c>
      <c r="F829" s="2" t="s">
        <v>4</v>
      </c>
      <c r="G829" s="3">
        <f>IF(ISBLANK('Raw sheet'!F829),AVERAGE('Raw sheet'!$F$2:'Raw sheet'!$F$1500),'Raw sheet'!F829)</f>
        <v>5.37</v>
      </c>
      <c r="H829" s="18">
        <v>86.7</v>
      </c>
      <c r="I829" s="9" t="str">
        <f t="shared" si="24"/>
        <v>Good</v>
      </c>
      <c r="J829" s="2">
        <v>3</v>
      </c>
      <c r="K829" s="2">
        <v>20.2</v>
      </c>
      <c r="L829" s="2" t="s">
        <v>4</v>
      </c>
      <c r="M829" s="2" t="s">
        <v>4</v>
      </c>
      <c r="N829" s="5">
        <f>IF(ISBLANK('Raw sheet'!L829),AVERAGE('Raw sheet'!$L$2:'Raw sheet'!$L$1500),'Raw sheet'!L829)</f>
        <v>1</v>
      </c>
      <c r="O829" s="5" t="str">
        <f>IF(Table1[[#This Row],[Stress_Index]]&gt;=8,"High",IF(N829&gt;=5,"Medium","Low"))</f>
        <v>Low</v>
      </c>
      <c r="P829" s="3">
        <v>4</v>
      </c>
      <c r="Q829" s="2">
        <v>4</v>
      </c>
      <c r="R829" s="3">
        <v>3.97</v>
      </c>
      <c r="S829" s="3" t="str">
        <f>IF(Table1[[#This Row],[CGPA]]&gt;=3,"High",IF(R828&gt;=2,"Medium","Low"))</f>
        <v>High</v>
      </c>
      <c r="T829" s="2" t="s">
        <v>10</v>
      </c>
      <c r="U829" s="2" t="s">
        <v>1</v>
      </c>
      <c r="V829" s="2" t="s">
        <v>9</v>
      </c>
      <c r="W829" s="7">
        <v>0</v>
      </c>
      <c r="X829" t="str">
        <f t="shared" si="25"/>
        <v>Active</v>
      </c>
    </row>
    <row r="830" spans="1:24" x14ac:dyDescent="0.3">
      <c r="A830" s="2">
        <v>829</v>
      </c>
      <c r="B830" s="7">
        <v>20.100000000000001</v>
      </c>
      <c r="C830" s="2" t="s">
        <v>11</v>
      </c>
      <c r="D830" s="7">
        <f>IF(ISBLANK('Raw sheet'!D830),AVERAGE('Raw sheet'!$D$2:'Raw sheet'!$D$1500),'Raw sheet'!D830)</f>
        <v>25000</v>
      </c>
      <c r="E830" s="7" t="str">
        <f>IF(Table1[[#This Row],[Family_Income]]&gt;=100000,"Upper",IF(D830&gt;=50000,"Middle","Lower"))</f>
        <v>Lower</v>
      </c>
      <c r="F830" s="2" t="s">
        <v>3</v>
      </c>
      <c r="G830" s="3">
        <f>IF(ISBLANK('Raw sheet'!F830),AVERAGE('Raw sheet'!$F$2:'Raw sheet'!$F$1500),'Raw sheet'!F830)</f>
        <v>6.39</v>
      </c>
      <c r="H830" s="18">
        <v>99.9</v>
      </c>
      <c r="I830" s="9" t="str">
        <f t="shared" si="24"/>
        <v>Good</v>
      </c>
      <c r="J830" s="2">
        <v>1</v>
      </c>
      <c r="K830" s="2">
        <v>38.799999999999997</v>
      </c>
      <c r="L830" s="2" t="s">
        <v>3</v>
      </c>
      <c r="M830" s="2" t="s">
        <v>3</v>
      </c>
      <c r="N830" s="5">
        <f>IF(ISBLANK('Raw sheet'!L830),AVERAGE('Raw sheet'!$L$2:'Raw sheet'!$L$1500),'Raw sheet'!L830)</f>
        <v>3.4</v>
      </c>
      <c r="O830" s="5" t="str">
        <f>IF(Table1[[#This Row],[Stress_Index]]&gt;=8,"High",IF(N830&gt;=5,"Medium","Low"))</f>
        <v>Low</v>
      </c>
      <c r="P830" s="3">
        <v>4</v>
      </c>
      <c r="Q830" s="2">
        <v>3.97</v>
      </c>
      <c r="R830" s="3">
        <v>4</v>
      </c>
      <c r="S830" s="3" t="str">
        <f>IF(Table1[[#This Row],[CGPA]]&gt;=3,"High",IF(R829&gt;=2,"Medium","Low"))</f>
        <v>High</v>
      </c>
      <c r="T830" s="2" t="s">
        <v>7</v>
      </c>
      <c r="U830" s="2" t="s">
        <v>14</v>
      </c>
      <c r="V830" s="2" t="s">
        <v>15</v>
      </c>
      <c r="W830" s="7">
        <v>0</v>
      </c>
      <c r="X830" t="str">
        <f t="shared" si="25"/>
        <v>Active</v>
      </c>
    </row>
    <row r="831" spans="1:24" x14ac:dyDescent="0.3">
      <c r="A831" s="2">
        <v>830</v>
      </c>
      <c r="B831" s="7">
        <v>20.399999999999999</v>
      </c>
      <c r="C831" s="2" t="s">
        <v>5</v>
      </c>
      <c r="D831" s="7">
        <f>IF(ISBLANK('Raw sheet'!D831),AVERAGE('Raw sheet'!$D$2:'Raw sheet'!$D$1500),'Raw sheet'!D831)</f>
        <v>47407</v>
      </c>
      <c r="E831" s="7" t="str">
        <f>IF(Table1[[#This Row],[Family_Income]]&gt;=100000,"Upper",IF(D831&gt;=50000,"Middle","Lower"))</f>
        <v>Lower</v>
      </c>
      <c r="F831" s="2" t="s">
        <v>4</v>
      </c>
      <c r="G831" s="3">
        <f>IF(ISBLANK('Raw sheet'!F831),AVERAGE('Raw sheet'!$F$2:'Raw sheet'!$F$1500),'Raw sheet'!F831)</f>
        <v>3.7</v>
      </c>
      <c r="H831" s="18">
        <v>85.4</v>
      </c>
      <c r="I831" s="9" t="str">
        <f t="shared" si="24"/>
        <v>Good</v>
      </c>
      <c r="J831" s="2">
        <v>2</v>
      </c>
      <c r="K831" s="2">
        <v>61.6</v>
      </c>
      <c r="L831" s="2" t="s">
        <v>4</v>
      </c>
      <c r="M831" s="2" t="s">
        <v>3</v>
      </c>
      <c r="N831" s="5">
        <f>IF(ISBLANK('Raw sheet'!L831),AVERAGE('Raw sheet'!$L$2:'Raw sheet'!$L$1500),'Raw sheet'!L831)</f>
        <v>4.3</v>
      </c>
      <c r="O831" s="5" t="str">
        <f>IF(Table1[[#This Row],[Stress_Index]]&gt;=8,"High",IF(N831&gt;=5,"Medium","Low"))</f>
        <v>Low</v>
      </c>
      <c r="P831" s="3">
        <v>2.5299999999999998</v>
      </c>
      <c r="Q831" s="2">
        <v>2.78</v>
      </c>
      <c r="R831" s="3">
        <v>2.79</v>
      </c>
      <c r="S831" s="3" t="str">
        <f>IF(Table1[[#This Row],[CGPA]]&gt;=3,"High",IF(R830&gt;=2,"Medium","Low"))</f>
        <v>Medium</v>
      </c>
      <c r="T831" s="2" t="s">
        <v>12</v>
      </c>
      <c r="U831" s="2" t="s">
        <v>1</v>
      </c>
      <c r="V831" s="2" t="s">
        <v>0</v>
      </c>
      <c r="W831" s="7">
        <v>0</v>
      </c>
      <c r="X831" t="str">
        <f t="shared" si="25"/>
        <v>Active</v>
      </c>
    </row>
    <row r="832" spans="1:24" x14ac:dyDescent="0.3">
      <c r="A832" s="2">
        <v>831</v>
      </c>
      <c r="B832" s="7">
        <v>18</v>
      </c>
      <c r="C832" s="2" t="s">
        <v>5</v>
      </c>
      <c r="D832" s="7">
        <f>IF(ISBLANK('Raw sheet'!D832),AVERAGE('Raw sheet'!$D$2:'Raw sheet'!$D$1500),'Raw sheet'!D832)</f>
        <v>27827</v>
      </c>
      <c r="E832" s="7" t="str">
        <f>IF(Table1[[#This Row],[Family_Income]]&gt;=100000,"Upper",IF(D832&gt;=50000,"Middle","Lower"))</f>
        <v>Lower</v>
      </c>
      <c r="F832" s="2" t="s">
        <v>3</v>
      </c>
      <c r="G832" s="3">
        <f>IF(ISBLANK('Raw sheet'!F832),AVERAGE('Raw sheet'!$F$2:'Raw sheet'!$F$1500),'Raw sheet'!F832)</f>
        <v>2.48</v>
      </c>
      <c r="H832" s="18">
        <v>85.7</v>
      </c>
      <c r="I832" s="9" t="str">
        <f t="shared" si="24"/>
        <v>Good</v>
      </c>
      <c r="J832" s="2">
        <v>2</v>
      </c>
      <c r="K832" s="2">
        <v>36.5</v>
      </c>
      <c r="L832" s="2" t="s">
        <v>3</v>
      </c>
      <c r="M832" s="2" t="s">
        <v>3</v>
      </c>
      <c r="N832" s="5">
        <f>IF(ISBLANK('Raw sheet'!L832),AVERAGE('Raw sheet'!$L$2:'Raw sheet'!$L$1500),'Raw sheet'!L832)</f>
        <v>6.4</v>
      </c>
      <c r="O832" s="5" t="str">
        <f>IF(Table1[[#This Row],[Stress_Index]]&gt;=8,"High",IF(N832&gt;=5,"Medium","Low"))</f>
        <v>Medium</v>
      </c>
      <c r="P832" s="3">
        <v>1.38</v>
      </c>
      <c r="Q832" s="2">
        <v>1.36</v>
      </c>
      <c r="R832" s="3">
        <v>1.33</v>
      </c>
      <c r="S832" s="3" t="str">
        <f>IF(Table1[[#This Row],[CGPA]]&gt;=3,"High",IF(R831&gt;=2,"Medium","Low"))</f>
        <v>Medium</v>
      </c>
      <c r="T832" s="2" t="s">
        <v>10</v>
      </c>
      <c r="U832" s="2" t="s">
        <v>1</v>
      </c>
      <c r="V832" s="2" t="s">
        <v>9</v>
      </c>
      <c r="W832" s="7">
        <v>0</v>
      </c>
      <c r="X832" t="str">
        <f t="shared" si="25"/>
        <v>Active</v>
      </c>
    </row>
    <row r="833" spans="1:24" x14ac:dyDescent="0.3">
      <c r="A833" s="2">
        <v>832</v>
      </c>
      <c r="B833" s="7">
        <v>19</v>
      </c>
      <c r="C833" s="2" t="s">
        <v>11</v>
      </c>
      <c r="D833" s="7">
        <f>IF(ISBLANK('Raw sheet'!D833),AVERAGE('Raw sheet'!$D$2:'Raw sheet'!$D$1500),'Raw sheet'!D833)</f>
        <v>33977</v>
      </c>
      <c r="E833" s="7" t="str">
        <f>IF(Table1[[#This Row],[Family_Income]]&gt;=100000,"Upper",IF(D833&gt;=50000,"Middle","Lower"))</f>
        <v>Lower</v>
      </c>
      <c r="F833" s="2" t="s">
        <v>4</v>
      </c>
      <c r="G833" s="3">
        <f>IF(ISBLANK('Raw sheet'!F833),AVERAGE('Raw sheet'!$F$2:'Raw sheet'!$F$1500),'Raw sheet'!F833)</f>
        <v>4.57</v>
      </c>
      <c r="H833" s="18">
        <v>73.900000000000006</v>
      </c>
      <c r="I833" s="9" t="str">
        <f t="shared" si="24"/>
        <v>Low</v>
      </c>
      <c r="J833" s="2">
        <v>0</v>
      </c>
      <c r="K833" s="2">
        <v>19</v>
      </c>
      <c r="L833" s="2" t="s">
        <v>3</v>
      </c>
      <c r="M833" s="2" t="s">
        <v>3</v>
      </c>
      <c r="N833" s="5">
        <f>IF(ISBLANK('Raw sheet'!L833),AVERAGE('Raw sheet'!$L$2:'Raw sheet'!$L$1500),'Raw sheet'!L833)</f>
        <v>2.8</v>
      </c>
      <c r="O833" s="5" t="str">
        <f>IF(Table1[[#This Row],[Stress_Index]]&gt;=8,"High",IF(N833&gt;=5,"Medium","Low"))</f>
        <v>Low</v>
      </c>
      <c r="P833" s="3">
        <v>4</v>
      </c>
      <c r="Q833" s="2">
        <v>3.86</v>
      </c>
      <c r="R833" s="3">
        <v>3.78</v>
      </c>
      <c r="S833" s="3" t="str">
        <f>IF(Table1[[#This Row],[CGPA]]&gt;=3,"High",IF(R832&gt;=2,"Medium","Low"))</f>
        <v>High</v>
      </c>
      <c r="T833" s="2" t="s">
        <v>12</v>
      </c>
      <c r="U833" s="2" t="s">
        <v>14</v>
      </c>
      <c r="V833" s="2" t="s">
        <v>15</v>
      </c>
      <c r="W833" s="7">
        <v>0</v>
      </c>
      <c r="X833" t="str">
        <f t="shared" si="25"/>
        <v>Active</v>
      </c>
    </row>
    <row r="834" spans="1:24" x14ac:dyDescent="0.3">
      <c r="A834" s="2">
        <v>833</v>
      </c>
      <c r="B834" s="7">
        <v>18.8</v>
      </c>
      <c r="C834" s="2" t="s">
        <v>5</v>
      </c>
      <c r="D834" s="7">
        <f>IF(ISBLANK('Raw sheet'!D834),AVERAGE('Raw sheet'!$D$2:'Raw sheet'!$D$1500),'Raw sheet'!D834)</f>
        <v>32740</v>
      </c>
      <c r="E834" s="7" t="str">
        <f>IF(Table1[[#This Row],[Family_Income]]&gt;=100000,"Upper",IF(D834&gt;=50000,"Middle","Lower"))</f>
        <v>Lower</v>
      </c>
      <c r="F834" s="2" t="s">
        <v>4</v>
      </c>
      <c r="G834" s="3">
        <f>IF(ISBLANK('Raw sheet'!F834),AVERAGE('Raw sheet'!$F$2:'Raw sheet'!$F$1500),'Raw sheet'!F834)</f>
        <v>5.75</v>
      </c>
      <c r="H834" s="18">
        <v>72</v>
      </c>
      <c r="I834" s="9" t="str">
        <f t="shared" ref="I834:I897" si="26">IF(H834&gt;=75,"Good","Low")</f>
        <v>Low</v>
      </c>
      <c r="J834" s="2">
        <v>2</v>
      </c>
      <c r="K834" s="2">
        <v>40.5</v>
      </c>
      <c r="L834" s="2" t="s">
        <v>3</v>
      </c>
      <c r="M834" s="2" t="s">
        <v>3</v>
      </c>
      <c r="N834" s="5">
        <f>IF(ISBLANK('Raw sheet'!L834),AVERAGE('Raw sheet'!$L$2:'Raw sheet'!$L$1500),'Raw sheet'!L834)</f>
        <v>4.9000000000000004</v>
      </c>
      <c r="O834" s="5" t="str">
        <f>IF(Table1[[#This Row],[Stress_Index]]&gt;=8,"High",IF(N834&gt;=5,"Medium","Low"))</f>
        <v>Low</v>
      </c>
      <c r="P834" s="3">
        <v>3.83</v>
      </c>
      <c r="Q834" s="2">
        <v>3.67</v>
      </c>
      <c r="R834" s="3">
        <v>3.63</v>
      </c>
      <c r="S834" s="3" t="str">
        <f>IF(Table1[[#This Row],[CGPA]]&gt;=3,"High",IF(R833&gt;=2,"Medium","Low"))</f>
        <v>High</v>
      </c>
      <c r="T834" s="2" t="s">
        <v>7</v>
      </c>
      <c r="U834" s="2" t="s">
        <v>13</v>
      </c>
      <c r="V834" s="2" t="s">
        <v>9</v>
      </c>
      <c r="W834" s="7">
        <v>0</v>
      </c>
      <c r="X834" t="str">
        <f t="shared" ref="X834:X897" si="27">IF(W834=1,"Dropped Out","Active")</f>
        <v>Active</v>
      </c>
    </row>
    <row r="835" spans="1:24" x14ac:dyDescent="0.3">
      <c r="A835" s="2">
        <v>834</v>
      </c>
      <c r="B835" s="7">
        <v>19.3</v>
      </c>
      <c r="C835" s="2" t="s">
        <v>11</v>
      </c>
      <c r="D835" s="7">
        <f>IF(ISBLANK('Raw sheet'!D835),AVERAGE('Raw sheet'!$D$2:'Raw sheet'!$D$1500),'Raw sheet'!D835)</f>
        <v>29410</v>
      </c>
      <c r="E835" s="7" t="str">
        <f>IF(Table1[[#This Row],[Family_Income]]&gt;=100000,"Upper",IF(D835&gt;=50000,"Middle","Lower"))</f>
        <v>Lower</v>
      </c>
      <c r="F835" s="2" t="s">
        <v>4</v>
      </c>
      <c r="G835" s="3">
        <f>IF(ISBLANK('Raw sheet'!F835),AVERAGE('Raw sheet'!$F$2:'Raw sheet'!$F$1500),'Raw sheet'!F835)</f>
        <v>3.63</v>
      </c>
      <c r="H835" s="18">
        <v>92.8</v>
      </c>
      <c r="I835" s="9" t="str">
        <f t="shared" si="26"/>
        <v>Good</v>
      </c>
      <c r="J835" s="2">
        <v>1</v>
      </c>
      <c r="K835" s="2">
        <v>50.9</v>
      </c>
      <c r="L835" s="2" t="s">
        <v>3</v>
      </c>
      <c r="M835" s="2" t="s">
        <v>3</v>
      </c>
      <c r="N835" s="5">
        <f>IF(ISBLANK('Raw sheet'!L835),AVERAGE('Raw sheet'!$L$2:'Raw sheet'!$L$1500),'Raw sheet'!L835)</f>
        <v>9</v>
      </c>
      <c r="O835" s="5" t="str">
        <f>IF(Table1[[#This Row],[Stress_Index]]&gt;=8,"High",IF(N835&gt;=5,"Medium","Low"))</f>
        <v>High</v>
      </c>
      <c r="P835" s="3">
        <v>2.87</v>
      </c>
      <c r="Q835" s="2">
        <v>3.55</v>
      </c>
      <c r="R835" s="3">
        <v>3.56</v>
      </c>
      <c r="S835" s="3" t="str">
        <f>IF(Table1[[#This Row],[CGPA]]&gt;=3,"High",IF(R834&gt;=2,"Medium","Low"))</f>
        <v>High</v>
      </c>
      <c r="T835" s="2" t="s">
        <v>10</v>
      </c>
      <c r="U835" s="2" t="s">
        <v>14</v>
      </c>
      <c r="V835" s="2" t="s">
        <v>9</v>
      </c>
      <c r="W835" s="7">
        <v>0</v>
      </c>
      <c r="X835" t="str">
        <f t="shared" si="27"/>
        <v>Active</v>
      </c>
    </row>
    <row r="836" spans="1:24" x14ac:dyDescent="0.3">
      <c r="A836" s="2">
        <v>835</v>
      </c>
      <c r="B836" s="7">
        <v>20.9</v>
      </c>
      <c r="C836" s="2" t="s">
        <v>5</v>
      </c>
      <c r="D836" s="7">
        <f>IF(ISBLANK('Raw sheet'!D836),AVERAGE('Raw sheet'!$D$2:'Raw sheet'!$D$1500),'Raw sheet'!D836)</f>
        <v>173323</v>
      </c>
      <c r="E836" s="7" t="str">
        <f>IF(Table1[[#This Row],[Family_Income]]&gt;=100000,"Upper",IF(D836&gt;=50000,"Middle","Lower"))</f>
        <v>Upper</v>
      </c>
      <c r="F836" s="2" t="s">
        <v>4</v>
      </c>
      <c r="G836" s="3">
        <f>IF(ISBLANK('Raw sheet'!F836),AVERAGE('Raw sheet'!$F$2:'Raw sheet'!$F$1500),'Raw sheet'!F836)</f>
        <v>5.42</v>
      </c>
      <c r="H836" s="18">
        <v>84.8</v>
      </c>
      <c r="I836" s="9" t="str">
        <f t="shared" si="26"/>
        <v>Good</v>
      </c>
      <c r="J836" s="2">
        <v>2</v>
      </c>
      <c r="K836" s="2">
        <v>42.8</v>
      </c>
      <c r="L836" s="2" t="s">
        <v>4</v>
      </c>
      <c r="M836" s="2" t="s">
        <v>3</v>
      </c>
      <c r="N836" s="5">
        <f>IF(ISBLANK('Raw sheet'!L836),AVERAGE('Raw sheet'!$L$2:'Raw sheet'!$L$1500),'Raw sheet'!L836)</f>
        <v>5.6</v>
      </c>
      <c r="O836" s="5" t="str">
        <f>IF(Table1[[#This Row],[Stress_Index]]&gt;=8,"High",IF(N836&gt;=5,"Medium","Low"))</f>
        <v>Medium</v>
      </c>
      <c r="P836" s="3">
        <v>3.87</v>
      </c>
      <c r="Q836" s="2">
        <v>4</v>
      </c>
      <c r="R836" s="3">
        <v>3.83</v>
      </c>
      <c r="S836" s="3" t="str">
        <f>IF(Table1[[#This Row],[CGPA]]&gt;=3,"High",IF(R835&gt;=2,"Medium","Low"))</f>
        <v>High</v>
      </c>
      <c r="T836" s="2" t="s">
        <v>10</v>
      </c>
      <c r="U836" s="2" t="s">
        <v>8</v>
      </c>
      <c r="V836" s="2" t="s">
        <v>0</v>
      </c>
      <c r="W836" s="7">
        <v>0</v>
      </c>
      <c r="X836" t="str">
        <f t="shared" si="27"/>
        <v>Active</v>
      </c>
    </row>
    <row r="837" spans="1:24" x14ac:dyDescent="0.3">
      <c r="A837" s="2">
        <v>836</v>
      </c>
      <c r="B837" s="7">
        <v>21.5</v>
      </c>
      <c r="C837" s="2" t="s">
        <v>5</v>
      </c>
      <c r="D837" s="7">
        <f>IF(ISBLANK('Raw sheet'!D837),AVERAGE('Raw sheet'!$D$2:'Raw sheet'!$D$1500),'Raw sheet'!D837)</f>
        <v>25000</v>
      </c>
      <c r="E837" s="7" t="str">
        <f>IF(Table1[[#This Row],[Family_Income]]&gt;=100000,"Upper",IF(D837&gt;=50000,"Middle","Lower"))</f>
        <v>Lower</v>
      </c>
      <c r="F837" s="2" t="s">
        <v>4</v>
      </c>
      <c r="G837" s="3">
        <f>IF(ISBLANK('Raw sheet'!F837),AVERAGE('Raw sheet'!$F$2:'Raw sheet'!$F$1500),'Raw sheet'!F837)</f>
        <v>2.88</v>
      </c>
      <c r="H837" s="18">
        <v>85.6</v>
      </c>
      <c r="I837" s="9" t="str">
        <f t="shared" si="26"/>
        <v>Good</v>
      </c>
      <c r="J837" s="2">
        <v>3</v>
      </c>
      <c r="K837" s="2">
        <v>11.5</v>
      </c>
      <c r="L837" s="2" t="s">
        <v>4</v>
      </c>
      <c r="M837" s="2" t="s">
        <v>3</v>
      </c>
      <c r="N837" s="5">
        <f>IF(ISBLANK('Raw sheet'!L837),AVERAGE('Raw sheet'!$L$2:'Raw sheet'!$L$1500),'Raw sheet'!L837)</f>
        <v>5.7</v>
      </c>
      <c r="O837" s="5" t="str">
        <f>IF(Table1[[#This Row],[Stress_Index]]&gt;=8,"High",IF(N837&gt;=5,"Medium","Low"))</f>
        <v>Medium</v>
      </c>
      <c r="P837" s="3">
        <v>0.48</v>
      </c>
      <c r="Q837" s="2">
        <v>0.46</v>
      </c>
      <c r="R837" s="3">
        <v>0.46</v>
      </c>
      <c r="S837" s="3" t="str">
        <f>IF(Table1[[#This Row],[CGPA]]&gt;=3,"High",IF(R836&gt;=2,"Medium","Low"))</f>
        <v>Medium</v>
      </c>
      <c r="T837" s="2" t="s">
        <v>2</v>
      </c>
      <c r="U837" s="2" t="s">
        <v>14</v>
      </c>
      <c r="V837" s="2" t="s">
        <v>0</v>
      </c>
      <c r="W837" s="7">
        <v>0</v>
      </c>
      <c r="X837" t="str">
        <f t="shared" si="27"/>
        <v>Active</v>
      </c>
    </row>
    <row r="838" spans="1:24" x14ac:dyDescent="0.3">
      <c r="A838" s="2">
        <v>837</v>
      </c>
      <c r="B838" s="7">
        <v>24.4</v>
      </c>
      <c r="C838" s="2" t="s">
        <v>5</v>
      </c>
      <c r="D838" s="7">
        <f>IF(ISBLANK('Raw sheet'!D838),AVERAGE('Raw sheet'!$D$2:'Raw sheet'!$D$1500),'Raw sheet'!D838)</f>
        <v>25000</v>
      </c>
      <c r="E838" s="7" t="str">
        <f>IF(Table1[[#This Row],[Family_Income]]&gt;=100000,"Upper",IF(D838&gt;=50000,"Middle","Lower"))</f>
        <v>Lower</v>
      </c>
      <c r="F838" s="2" t="s">
        <v>4</v>
      </c>
      <c r="G838" s="3">
        <f>IF(ISBLANK('Raw sheet'!F838),AVERAGE('Raw sheet'!$F$2:'Raw sheet'!$F$1500),'Raw sheet'!F838)</f>
        <v>3.68</v>
      </c>
      <c r="H838" s="18">
        <v>90.6</v>
      </c>
      <c r="I838" s="9" t="str">
        <f t="shared" si="26"/>
        <v>Good</v>
      </c>
      <c r="J838" s="2">
        <v>1</v>
      </c>
      <c r="K838" s="2">
        <v>36.299999999999997</v>
      </c>
      <c r="L838" s="2" t="s">
        <v>3</v>
      </c>
      <c r="M838" s="2" t="s">
        <v>3</v>
      </c>
      <c r="N838" s="5">
        <f>IF(ISBLANK('Raw sheet'!L838),AVERAGE('Raw sheet'!$L$2:'Raw sheet'!$L$1500),'Raw sheet'!L838)</f>
        <v>5.4</v>
      </c>
      <c r="O838" s="5" t="str">
        <f>IF(Table1[[#This Row],[Stress_Index]]&gt;=8,"High",IF(N838&gt;=5,"Medium","Low"))</f>
        <v>Medium</v>
      </c>
      <c r="P838" s="3">
        <v>1.52</v>
      </c>
      <c r="Q838" s="2">
        <v>1.25</v>
      </c>
      <c r="R838" s="3">
        <v>1.28</v>
      </c>
      <c r="S838" s="3" t="str">
        <f>IF(Table1[[#This Row],[CGPA]]&gt;=3,"High",IF(R837&gt;=2,"Medium","Low"))</f>
        <v>Low</v>
      </c>
      <c r="T838" s="2" t="s">
        <v>10</v>
      </c>
      <c r="U838" s="2" t="s">
        <v>8</v>
      </c>
      <c r="V838" s="2" t="s">
        <v>0</v>
      </c>
      <c r="W838" s="7">
        <v>0</v>
      </c>
      <c r="X838" t="str">
        <f t="shared" si="27"/>
        <v>Active</v>
      </c>
    </row>
    <row r="839" spans="1:24" x14ac:dyDescent="0.3">
      <c r="A839" s="2">
        <v>838</v>
      </c>
      <c r="B839" s="7">
        <v>18.8</v>
      </c>
      <c r="C839" s="2" t="s">
        <v>11</v>
      </c>
      <c r="D839" s="7">
        <f>IF(ISBLANK('Raw sheet'!D839),AVERAGE('Raw sheet'!$D$2:'Raw sheet'!$D$1500),'Raw sheet'!D839)</f>
        <v>45092</v>
      </c>
      <c r="E839" s="7" t="str">
        <f>IF(Table1[[#This Row],[Family_Income]]&gt;=100000,"Upper",IF(D839&gt;=50000,"Middle","Lower"))</f>
        <v>Lower</v>
      </c>
      <c r="F839" s="2" t="s">
        <v>4</v>
      </c>
      <c r="G839" s="3">
        <f>IF(ISBLANK('Raw sheet'!F839),AVERAGE('Raw sheet'!$F$2:'Raw sheet'!$F$1500),'Raw sheet'!F839)</f>
        <v>3.88</v>
      </c>
      <c r="H839" s="18">
        <v>88.8</v>
      </c>
      <c r="I839" s="9" t="str">
        <f t="shared" si="26"/>
        <v>Good</v>
      </c>
      <c r="J839" s="2">
        <v>0</v>
      </c>
      <c r="K839" s="2">
        <v>24.5</v>
      </c>
      <c r="L839" s="2" t="s">
        <v>4</v>
      </c>
      <c r="M839" s="2" t="s">
        <v>3</v>
      </c>
      <c r="N839" s="5">
        <f>IF(ISBLANK('Raw sheet'!L839),AVERAGE('Raw sheet'!$L$2:'Raw sheet'!$L$1500),'Raw sheet'!L839)</f>
        <v>7.3</v>
      </c>
      <c r="O839" s="5" t="str">
        <f>IF(Table1[[#This Row],[Stress_Index]]&gt;=8,"High",IF(N839&gt;=5,"Medium","Low"))</f>
        <v>Medium</v>
      </c>
      <c r="P839" s="3">
        <v>2.61</v>
      </c>
      <c r="Q839" s="2">
        <v>3.07</v>
      </c>
      <c r="R839" s="3">
        <v>3.07</v>
      </c>
      <c r="S839" s="3" t="str">
        <f>IF(Table1[[#This Row],[CGPA]]&gt;=3,"High",IF(R838&gt;=2,"Medium","Low"))</f>
        <v>High</v>
      </c>
      <c r="T839" s="2" t="s">
        <v>7</v>
      </c>
      <c r="U839" s="2" t="s">
        <v>14</v>
      </c>
      <c r="V839" s="2" t="s">
        <v>9</v>
      </c>
      <c r="W839" s="7">
        <v>0</v>
      </c>
      <c r="X839" t="str">
        <f t="shared" si="27"/>
        <v>Active</v>
      </c>
    </row>
    <row r="840" spans="1:24" x14ac:dyDescent="0.3">
      <c r="A840" s="2">
        <v>839</v>
      </c>
      <c r="B840" s="7">
        <v>23.2</v>
      </c>
      <c r="C840" s="2" t="s">
        <v>11</v>
      </c>
      <c r="D840" s="7">
        <f>IF(ISBLANK('Raw sheet'!D840),AVERAGE('Raw sheet'!$D$2:'Raw sheet'!$D$1500),'Raw sheet'!D840)</f>
        <v>25000</v>
      </c>
      <c r="E840" s="7" t="str">
        <f>IF(Table1[[#This Row],[Family_Income]]&gt;=100000,"Upper",IF(D840&gt;=50000,"Middle","Lower"))</f>
        <v>Lower</v>
      </c>
      <c r="F840" s="2" t="s">
        <v>4</v>
      </c>
      <c r="G840" s="3">
        <f>IF(ISBLANK('Raw sheet'!F840),AVERAGE('Raw sheet'!$F$2:'Raw sheet'!$F$1500),'Raw sheet'!F840)</f>
        <v>3.82</v>
      </c>
      <c r="H840" s="18">
        <v>87.8</v>
      </c>
      <c r="I840" s="9" t="str">
        <f t="shared" si="26"/>
        <v>Good</v>
      </c>
      <c r="J840" s="2">
        <v>1</v>
      </c>
      <c r="K840" s="2">
        <v>30.6</v>
      </c>
      <c r="L840" s="2" t="s">
        <v>4</v>
      </c>
      <c r="M840" s="2" t="s">
        <v>4</v>
      </c>
      <c r="N840" s="5">
        <f>IF(ISBLANK('Raw sheet'!L840),AVERAGE('Raw sheet'!$L$2:'Raw sheet'!$L$1500),'Raw sheet'!L840)</f>
        <v>5.6</v>
      </c>
      <c r="O840" s="5" t="str">
        <f>IF(Table1[[#This Row],[Stress_Index]]&gt;=8,"High",IF(N840&gt;=5,"Medium","Low"))</f>
        <v>Medium</v>
      </c>
      <c r="P840" s="3">
        <v>2.69</v>
      </c>
      <c r="Q840" s="2">
        <v>2.71</v>
      </c>
      <c r="R840" s="3">
        <v>2.7</v>
      </c>
      <c r="S840" s="3" t="str">
        <f>IF(Table1[[#This Row],[CGPA]]&gt;=3,"High",IF(R839&gt;=2,"Medium","Low"))</f>
        <v>Medium</v>
      </c>
      <c r="T840" s="2" t="s">
        <v>10</v>
      </c>
      <c r="U840" s="2" t="s">
        <v>13</v>
      </c>
      <c r="V840" s="2" t="s">
        <v>0</v>
      </c>
      <c r="W840" s="7">
        <v>1</v>
      </c>
      <c r="X840" t="str">
        <f t="shared" si="27"/>
        <v>Dropped Out</v>
      </c>
    </row>
    <row r="841" spans="1:24" x14ac:dyDescent="0.3">
      <c r="A841" s="2">
        <v>840</v>
      </c>
      <c r="B841" s="7">
        <v>20.5</v>
      </c>
      <c r="C841" s="2" t="s">
        <v>11</v>
      </c>
      <c r="D841" s="7">
        <f>IF(ISBLANK('Raw sheet'!D841),AVERAGE('Raw sheet'!$D$2:'Raw sheet'!$D$1500),'Raw sheet'!D841)</f>
        <v>25000</v>
      </c>
      <c r="E841" s="7" t="str">
        <f>IF(Table1[[#This Row],[Family_Income]]&gt;=100000,"Upper",IF(D841&gt;=50000,"Middle","Lower"))</f>
        <v>Lower</v>
      </c>
      <c r="F841" s="2" t="s">
        <v>4</v>
      </c>
      <c r="G841" s="3">
        <f>IF(ISBLANK('Raw sheet'!F841),AVERAGE('Raw sheet'!$F$2:'Raw sheet'!$F$1500),'Raw sheet'!F841)</f>
        <v>2.88</v>
      </c>
      <c r="H841" s="18">
        <v>87.1</v>
      </c>
      <c r="I841" s="9" t="str">
        <f t="shared" si="26"/>
        <v>Good</v>
      </c>
      <c r="J841" s="2">
        <v>1</v>
      </c>
      <c r="K841" s="2">
        <v>25.5</v>
      </c>
      <c r="L841" s="2" t="s">
        <v>4</v>
      </c>
      <c r="M841" s="2" t="s">
        <v>3</v>
      </c>
      <c r="N841" s="5">
        <f>IF(ISBLANK('Raw sheet'!L841),AVERAGE('Raw sheet'!$L$2:'Raw sheet'!$L$1500),'Raw sheet'!L841)</f>
        <v>5.0999999999999996</v>
      </c>
      <c r="O841" s="5" t="str">
        <f>IF(Table1[[#This Row],[Stress_Index]]&gt;=8,"High",IF(N841&gt;=5,"Medium","Low"))</f>
        <v>Medium</v>
      </c>
      <c r="P841" s="3">
        <v>1.36</v>
      </c>
      <c r="Q841" s="2">
        <v>0.93</v>
      </c>
      <c r="R841" s="3">
        <v>0.93</v>
      </c>
      <c r="S841" s="3" t="str">
        <f>IF(Table1[[#This Row],[CGPA]]&gt;=3,"High",IF(R840&gt;=2,"Medium","Low"))</f>
        <v>Medium</v>
      </c>
      <c r="T841" s="2" t="s">
        <v>2</v>
      </c>
      <c r="U841" s="2" t="s">
        <v>1</v>
      </c>
      <c r="V841" s="2" t="s">
        <v>9</v>
      </c>
      <c r="W841" s="7">
        <v>0</v>
      </c>
      <c r="X841" t="str">
        <f t="shared" si="27"/>
        <v>Active</v>
      </c>
    </row>
    <row r="842" spans="1:24" x14ac:dyDescent="0.3">
      <c r="A842" s="2">
        <v>841</v>
      </c>
      <c r="B842" s="7">
        <v>20.9</v>
      </c>
      <c r="C842" s="2" t="s">
        <v>5</v>
      </c>
      <c r="D842" s="7">
        <f>IF(ISBLANK('Raw sheet'!D842),AVERAGE('Raw sheet'!$D$2:'Raw sheet'!$D$1500),'Raw sheet'!D842)</f>
        <v>25000</v>
      </c>
      <c r="E842" s="7" t="str">
        <f>IF(Table1[[#This Row],[Family_Income]]&gt;=100000,"Upper",IF(D842&gt;=50000,"Middle","Lower"))</f>
        <v>Lower</v>
      </c>
      <c r="F842" s="2" t="s">
        <v>3</v>
      </c>
      <c r="G842" s="3">
        <f>IF(ISBLANK('Raw sheet'!F842),AVERAGE('Raw sheet'!$F$2:'Raw sheet'!$F$1500),'Raw sheet'!F842)</f>
        <v>3.56</v>
      </c>
      <c r="H842" s="18">
        <v>83.1</v>
      </c>
      <c r="I842" s="9" t="str">
        <f t="shared" si="26"/>
        <v>Good</v>
      </c>
      <c r="J842" s="2">
        <v>1</v>
      </c>
      <c r="K842" s="2">
        <v>38.9</v>
      </c>
      <c r="L842" s="2" t="s">
        <v>3</v>
      </c>
      <c r="M842" s="2" t="s">
        <v>3</v>
      </c>
      <c r="N842" s="5">
        <f>IF(ISBLANK('Raw sheet'!L842),AVERAGE('Raw sheet'!$L$2:'Raw sheet'!$L$1500),'Raw sheet'!L842)</f>
        <v>5.8</v>
      </c>
      <c r="O842" s="5" t="str">
        <f>IF(Table1[[#This Row],[Stress_Index]]&gt;=8,"High",IF(N842&gt;=5,"Medium","Low"))</f>
        <v>Medium</v>
      </c>
      <c r="P842" s="3">
        <v>2.59</v>
      </c>
      <c r="Q842" s="2">
        <v>2.36</v>
      </c>
      <c r="R842" s="3">
        <v>2.31</v>
      </c>
      <c r="S842" s="3" t="str">
        <f>IF(Table1[[#This Row],[CGPA]]&gt;=3,"High",IF(R841&gt;=2,"Medium","Low"))</f>
        <v>Low</v>
      </c>
      <c r="T842" s="2" t="s">
        <v>7</v>
      </c>
      <c r="U842" s="2" t="s">
        <v>14</v>
      </c>
      <c r="V842" s="2" t="s">
        <v>16</v>
      </c>
      <c r="W842" s="7">
        <v>0</v>
      </c>
      <c r="X842" t="str">
        <f t="shared" si="27"/>
        <v>Active</v>
      </c>
    </row>
    <row r="843" spans="1:24" x14ac:dyDescent="0.3">
      <c r="A843" s="2">
        <v>842</v>
      </c>
      <c r="B843" s="7">
        <v>22.5</v>
      </c>
      <c r="C843" s="2" t="s">
        <v>11</v>
      </c>
      <c r="D843" s="7">
        <f>IF(ISBLANK('Raw sheet'!D843),AVERAGE('Raw sheet'!$D$2:'Raw sheet'!$D$1500),'Raw sheet'!D843)</f>
        <v>39932</v>
      </c>
      <c r="E843" s="7" t="str">
        <f>IF(Table1[[#This Row],[Family_Income]]&gt;=100000,"Upper",IF(D843&gt;=50000,"Middle","Lower"))</f>
        <v>Lower</v>
      </c>
      <c r="F843" s="2" t="s">
        <v>4</v>
      </c>
      <c r="G843" s="3">
        <f>IF(ISBLANK('Raw sheet'!F843),AVERAGE('Raw sheet'!$F$2:'Raw sheet'!$F$1500),'Raw sheet'!F843)</f>
        <v>1.44</v>
      </c>
      <c r="H843" s="18">
        <v>83.7</v>
      </c>
      <c r="I843" s="9" t="str">
        <f t="shared" si="26"/>
        <v>Good</v>
      </c>
      <c r="J843" s="2">
        <v>1</v>
      </c>
      <c r="K843" s="2">
        <v>25.8</v>
      </c>
      <c r="L843" s="2" t="s">
        <v>3</v>
      </c>
      <c r="M843" s="2" t="s">
        <v>3</v>
      </c>
      <c r="N843" s="5">
        <f>IF(ISBLANK('Raw sheet'!L843),AVERAGE('Raw sheet'!$L$2:'Raw sheet'!$L$1500),'Raw sheet'!L843)</f>
        <v>7.9</v>
      </c>
      <c r="O843" s="5" t="str">
        <f>IF(Table1[[#This Row],[Stress_Index]]&gt;=8,"High",IF(N843&gt;=5,"Medium","Low"))</f>
        <v>Medium</v>
      </c>
      <c r="P843" s="3">
        <v>1.63</v>
      </c>
      <c r="Q843" s="2">
        <v>1.51</v>
      </c>
      <c r="R843" s="3">
        <v>1.48</v>
      </c>
      <c r="S843" s="3" t="str">
        <f>IF(Table1[[#This Row],[CGPA]]&gt;=3,"High",IF(R842&gt;=2,"Medium","Low"))</f>
        <v>Medium</v>
      </c>
      <c r="T843" s="2" t="s">
        <v>12</v>
      </c>
      <c r="U843" s="2" t="s">
        <v>8</v>
      </c>
      <c r="V843" s="2" t="s">
        <v>9</v>
      </c>
      <c r="W843" s="7">
        <v>0</v>
      </c>
      <c r="X843" t="str">
        <f t="shared" si="27"/>
        <v>Active</v>
      </c>
    </row>
    <row r="844" spans="1:24" x14ac:dyDescent="0.3">
      <c r="A844" s="2">
        <v>843</v>
      </c>
      <c r="B844" s="7">
        <v>18.5</v>
      </c>
      <c r="C844" s="2" t="s">
        <v>5</v>
      </c>
      <c r="D844" s="7">
        <f>IF(ISBLANK('Raw sheet'!D844),AVERAGE('Raw sheet'!$D$2:'Raw sheet'!$D$1500),'Raw sheet'!D844)</f>
        <v>40237</v>
      </c>
      <c r="E844" s="7" t="str">
        <f>IF(Table1[[#This Row],[Family_Income]]&gt;=100000,"Upper",IF(D844&gt;=50000,"Middle","Lower"))</f>
        <v>Lower</v>
      </c>
      <c r="F844" s="2" t="s">
        <v>4</v>
      </c>
      <c r="G844" s="3">
        <f>IF(ISBLANK('Raw sheet'!F844),AVERAGE('Raw sheet'!$F$2:'Raw sheet'!$F$1500),'Raw sheet'!F844)</f>
        <v>4.9000000000000004</v>
      </c>
      <c r="H844" s="18">
        <v>89.3</v>
      </c>
      <c r="I844" s="9" t="str">
        <f t="shared" si="26"/>
        <v>Good</v>
      </c>
      <c r="J844" s="2">
        <v>2</v>
      </c>
      <c r="K844" s="2">
        <v>47</v>
      </c>
      <c r="L844" s="2" t="s">
        <v>4</v>
      </c>
      <c r="M844" s="2" t="s">
        <v>4</v>
      </c>
      <c r="N844" s="5">
        <f>IF(ISBLANK('Raw sheet'!L844),AVERAGE('Raw sheet'!$L$2:'Raw sheet'!$L$1500),'Raw sheet'!L844)</f>
        <v>6.2</v>
      </c>
      <c r="O844" s="5" t="str">
        <f>IF(Table1[[#This Row],[Stress_Index]]&gt;=8,"High",IF(N844&gt;=5,"Medium","Low"))</f>
        <v>Medium</v>
      </c>
      <c r="P844" s="3">
        <v>2.1800000000000002</v>
      </c>
      <c r="Q844" s="2">
        <v>2.12</v>
      </c>
      <c r="R844" s="3">
        <v>2.15</v>
      </c>
      <c r="S844" s="3" t="str">
        <f>IF(Table1[[#This Row],[CGPA]]&gt;=3,"High",IF(R843&gt;=2,"Medium","Low"))</f>
        <v>Low</v>
      </c>
      <c r="T844" s="2" t="s">
        <v>12</v>
      </c>
      <c r="U844" s="2" t="s">
        <v>1</v>
      </c>
      <c r="V844" s="2" t="s">
        <v>16</v>
      </c>
      <c r="W844" s="7">
        <v>0</v>
      </c>
      <c r="X844" t="str">
        <f t="shared" si="27"/>
        <v>Active</v>
      </c>
    </row>
    <row r="845" spans="1:24" x14ac:dyDescent="0.3">
      <c r="A845" s="2">
        <v>844</v>
      </c>
      <c r="B845" s="7">
        <v>21.8</v>
      </c>
      <c r="C845" s="2" t="s">
        <v>11</v>
      </c>
      <c r="D845" s="7">
        <f>IF(ISBLANK('Raw sheet'!D845),AVERAGE('Raw sheet'!$D$2:'Raw sheet'!$D$1500),'Raw sheet'!D845)</f>
        <v>25000</v>
      </c>
      <c r="E845" s="7" t="str">
        <f>IF(Table1[[#This Row],[Family_Income]]&gt;=100000,"Upper",IF(D845&gt;=50000,"Middle","Lower"))</f>
        <v>Lower</v>
      </c>
      <c r="F845" s="2" t="s">
        <v>4</v>
      </c>
      <c r="G845" s="3">
        <f>IF(ISBLANK('Raw sheet'!F845),AVERAGE('Raw sheet'!$F$2:'Raw sheet'!$F$1500),'Raw sheet'!F845)</f>
        <v>4.05</v>
      </c>
      <c r="H845" s="18">
        <v>74.5</v>
      </c>
      <c r="I845" s="9" t="str">
        <f t="shared" si="26"/>
        <v>Low</v>
      </c>
      <c r="J845" s="2">
        <v>1</v>
      </c>
      <c r="K845" s="2">
        <v>30</v>
      </c>
      <c r="L845" s="2" t="s">
        <v>3</v>
      </c>
      <c r="M845" s="2" t="s">
        <v>3</v>
      </c>
      <c r="N845" s="5">
        <f>IF(ISBLANK('Raw sheet'!L845),AVERAGE('Raw sheet'!$L$2:'Raw sheet'!$L$1500),'Raw sheet'!L845)</f>
        <v>5.6</v>
      </c>
      <c r="O845" s="5" t="str">
        <f>IF(Table1[[#This Row],[Stress_Index]]&gt;=8,"High",IF(N845&gt;=5,"Medium","Low"))</f>
        <v>Medium</v>
      </c>
      <c r="P845" s="3">
        <v>1.52</v>
      </c>
      <c r="Q845" s="2">
        <v>1.31</v>
      </c>
      <c r="R845" s="3">
        <v>1.25</v>
      </c>
      <c r="S845" s="3" t="str">
        <f>IF(Table1[[#This Row],[CGPA]]&gt;=3,"High",IF(R844&gt;=2,"Medium","Low"))</f>
        <v>Medium</v>
      </c>
      <c r="T845" s="2" t="s">
        <v>10</v>
      </c>
      <c r="U845" s="2" t="s">
        <v>14</v>
      </c>
      <c r="V845" s="2" t="s">
        <v>9</v>
      </c>
      <c r="W845" s="7">
        <v>1</v>
      </c>
      <c r="X845" t="str">
        <f t="shared" si="27"/>
        <v>Dropped Out</v>
      </c>
    </row>
    <row r="846" spans="1:24" x14ac:dyDescent="0.3">
      <c r="A846" s="2">
        <v>845</v>
      </c>
      <c r="B846" s="7">
        <v>21.4</v>
      </c>
      <c r="C846" s="2" t="s">
        <v>11</v>
      </c>
      <c r="D846" s="7">
        <f>IF(ISBLANK('Raw sheet'!D846),AVERAGE('Raw sheet'!$D$2:'Raw sheet'!$D$1500),'Raw sheet'!D846)</f>
        <v>45656</v>
      </c>
      <c r="E846" s="7" t="str">
        <f>IF(Table1[[#This Row],[Family_Income]]&gt;=100000,"Upper",IF(D846&gt;=50000,"Middle","Lower"))</f>
        <v>Lower</v>
      </c>
      <c r="F846" s="2" t="s">
        <v>3</v>
      </c>
      <c r="G846" s="3">
        <f>IF(ISBLANK('Raw sheet'!F846),AVERAGE('Raw sheet'!$F$2:'Raw sheet'!$F$1500),'Raw sheet'!F846)</f>
        <v>5.49</v>
      </c>
      <c r="H846" s="18">
        <v>73.599999999999994</v>
      </c>
      <c r="I846" s="9" t="str">
        <f t="shared" si="26"/>
        <v>Low</v>
      </c>
      <c r="J846" s="2">
        <v>3</v>
      </c>
      <c r="K846" s="2">
        <v>27.3</v>
      </c>
      <c r="L846" s="2" t="s">
        <v>3</v>
      </c>
      <c r="M846" s="2" t="s">
        <v>3</v>
      </c>
      <c r="N846" s="5">
        <f>IF(ISBLANK('Raw sheet'!L846),AVERAGE('Raw sheet'!$L$2:'Raw sheet'!$L$1500),'Raw sheet'!L846)</f>
        <v>7.6</v>
      </c>
      <c r="O846" s="5" t="str">
        <f>IF(Table1[[#This Row],[Stress_Index]]&gt;=8,"High",IF(N846&gt;=5,"Medium","Low"))</f>
        <v>Medium</v>
      </c>
      <c r="P846" s="3">
        <v>0.74</v>
      </c>
      <c r="Q846" s="2">
        <v>0.82</v>
      </c>
      <c r="R846" s="3">
        <v>0.85</v>
      </c>
      <c r="S846" s="3" t="str">
        <f>IF(Table1[[#This Row],[CGPA]]&gt;=3,"High",IF(R845&gt;=2,"Medium","Low"))</f>
        <v>Low</v>
      </c>
      <c r="T846" s="2" t="s">
        <v>7</v>
      </c>
      <c r="U846" s="2" t="s">
        <v>8</v>
      </c>
      <c r="V846" s="2" t="s">
        <v>0</v>
      </c>
      <c r="W846" s="7">
        <v>1</v>
      </c>
      <c r="X846" t="str">
        <f t="shared" si="27"/>
        <v>Dropped Out</v>
      </c>
    </row>
    <row r="847" spans="1:24" x14ac:dyDescent="0.3">
      <c r="A847" s="2">
        <v>846</v>
      </c>
      <c r="B847" s="7">
        <v>22.1</v>
      </c>
      <c r="C847" s="2" t="s">
        <v>11</v>
      </c>
      <c r="D847" s="7">
        <f>IF(ISBLANK('Raw sheet'!D847),AVERAGE('Raw sheet'!$D$2:'Raw sheet'!$D$1500),'Raw sheet'!D847)</f>
        <v>25000</v>
      </c>
      <c r="E847" s="7" t="str">
        <f>IF(Table1[[#This Row],[Family_Income]]&gt;=100000,"Upper",IF(D847&gt;=50000,"Middle","Lower"))</f>
        <v>Lower</v>
      </c>
      <c r="F847" s="2" t="s">
        <v>4</v>
      </c>
      <c r="G847" s="3">
        <f>IF(ISBLANK('Raw sheet'!F847),AVERAGE('Raw sheet'!$F$2:'Raw sheet'!$F$1500),'Raw sheet'!F847)</f>
        <v>3.88</v>
      </c>
      <c r="H847" s="18">
        <v>82.7</v>
      </c>
      <c r="I847" s="9" t="str">
        <f t="shared" si="26"/>
        <v>Good</v>
      </c>
      <c r="J847" s="2">
        <v>0</v>
      </c>
      <c r="K847" s="2">
        <v>36.9</v>
      </c>
      <c r="L847" s="2" t="s">
        <v>3</v>
      </c>
      <c r="M847" s="2" t="s">
        <v>3</v>
      </c>
      <c r="N847" s="5">
        <f>IF(ISBLANK('Raw sheet'!L847),AVERAGE('Raw sheet'!$L$2:'Raw sheet'!$L$1500),'Raw sheet'!L847)</f>
        <v>4.5999999999999996</v>
      </c>
      <c r="O847" s="5" t="str">
        <f>IF(Table1[[#This Row],[Stress_Index]]&gt;=8,"High",IF(N847&gt;=5,"Medium","Low"))</f>
        <v>Low</v>
      </c>
      <c r="P847" s="3">
        <v>4</v>
      </c>
      <c r="Q847" s="2">
        <v>3.86</v>
      </c>
      <c r="R847" s="3">
        <v>3.86</v>
      </c>
      <c r="S847" s="3" t="str">
        <f>IF(Table1[[#This Row],[CGPA]]&gt;=3,"High",IF(R846&gt;=2,"Medium","Low"))</f>
        <v>High</v>
      </c>
      <c r="T847" s="2" t="s">
        <v>2</v>
      </c>
      <c r="U847" s="2" t="s">
        <v>1</v>
      </c>
      <c r="V847" s="2" t="s">
        <v>15</v>
      </c>
      <c r="W847" s="7">
        <v>0</v>
      </c>
      <c r="X847" t="str">
        <f t="shared" si="27"/>
        <v>Active</v>
      </c>
    </row>
    <row r="848" spans="1:24" x14ac:dyDescent="0.3">
      <c r="A848" s="2">
        <v>847</v>
      </c>
      <c r="B848" s="7">
        <v>21.6</v>
      </c>
      <c r="C848" s="2" t="s">
        <v>5</v>
      </c>
      <c r="D848" s="7">
        <f>IF(ISBLANK('Raw sheet'!D848),AVERAGE('Raw sheet'!$D$2:'Raw sheet'!$D$1500),'Raw sheet'!D848)</f>
        <v>25000</v>
      </c>
      <c r="E848" s="7" t="str">
        <f>IF(Table1[[#This Row],[Family_Income]]&gt;=100000,"Upper",IF(D848&gt;=50000,"Middle","Lower"))</f>
        <v>Lower</v>
      </c>
      <c r="F848" s="2" t="s">
        <v>4</v>
      </c>
      <c r="G848" s="3">
        <f>IF(ISBLANK('Raw sheet'!F848),AVERAGE('Raw sheet'!$F$2:'Raw sheet'!$F$1500),'Raw sheet'!F848)</f>
        <v>1.66</v>
      </c>
      <c r="H848" s="18">
        <v>83.2</v>
      </c>
      <c r="I848" s="9" t="str">
        <f t="shared" si="26"/>
        <v>Good</v>
      </c>
      <c r="J848" s="2">
        <v>1</v>
      </c>
      <c r="K848" s="2">
        <v>34.299999999999997</v>
      </c>
      <c r="L848" s="2" t="s">
        <v>3</v>
      </c>
      <c r="M848" s="2" t="s">
        <v>3</v>
      </c>
      <c r="N848" s="5">
        <f>IF(ISBLANK('Raw sheet'!L848),AVERAGE('Raw sheet'!$L$2:'Raw sheet'!$L$1500),'Raw sheet'!L848)</f>
        <v>1</v>
      </c>
      <c r="O848" s="5" t="str">
        <f>IF(Table1[[#This Row],[Stress_Index]]&gt;=8,"High",IF(N848&gt;=5,"Medium","Low"))</f>
        <v>Low</v>
      </c>
      <c r="P848" s="3">
        <v>4</v>
      </c>
      <c r="Q848" s="2">
        <v>3.84</v>
      </c>
      <c r="R848" s="3">
        <v>3.9</v>
      </c>
      <c r="S848" s="3" t="str">
        <f>IF(Table1[[#This Row],[CGPA]]&gt;=3,"High",IF(R847&gt;=2,"Medium","Low"))</f>
        <v>High</v>
      </c>
      <c r="T848" s="2" t="s">
        <v>10</v>
      </c>
      <c r="U848" s="2" t="s">
        <v>8</v>
      </c>
      <c r="V848" s="2" t="s">
        <v>9</v>
      </c>
      <c r="W848" s="7">
        <v>0</v>
      </c>
      <c r="X848" t="str">
        <f t="shared" si="27"/>
        <v>Active</v>
      </c>
    </row>
    <row r="849" spans="1:24" x14ac:dyDescent="0.3">
      <c r="A849" s="2">
        <v>848</v>
      </c>
      <c r="B849" s="7">
        <v>26.4</v>
      </c>
      <c r="C849" s="2" t="s">
        <v>11</v>
      </c>
      <c r="D849" s="7">
        <f>IF(ISBLANK('Raw sheet'!D849),AVERAGE('Raw sheet'!$D$2:'Raw sheet'!$D$1500),'Raw sheet'!D849)</f>
        <v>26850</v>
      </c>
      <c r="E849" s="7" t="str">
        <f>IF(Table1[[#This Row],[Family_Income]]&gt;=100000,"Upper",IF(D849&gt;=50000,"Middle","Lower"))</f>
        <v>Lower</v>
      </c>
      <c r="F849" s="2" t="s">
        <v>3</v>
      </c>
      <c r="G849" s="3">
        <f>IF(ISBLANK('Raw sheet'!F849),AVERAGE('Raw sheet'!$F$2:'Raw sheet'!$F$1500),'Raw sheet'!F849)</f>
        <v>4.41</v>
      </c>
      <c r="H849" s="18">
        <v>87.8</v>
      </c>
      <c r="I849" s="9" t="str">
        <f t="shared" si="26"/>
        <v>Good</v>
      </c>
      <c r="J849" s="2">
        <v>4</v>
      </c>
      <c r="K849" s="2">
        <v>37.200000000000003</v>
      </c>
      <c r="L849" s="2" t="s">
        <v>3</v>
      </c>
      <c r="M849" s="2" t="s">
        <v>3</v>
      </c>
      <c r="N849" s="5">
        <f>IF(ISBLANK('Raw sheet'!L849),AVERAGE('Raw sheet'!$L$2:'Raw sheet'!$L$1500),'Raw sheet'!L849)</f>
        <v>6.3</v>
      </c>
      <c r="O849" s="5" t="str">
        <f>IF(Table1[[#This Row],[Stress_Index]]&gt;=8,"High",IF(N849&gt;=5,"Medium","Low"))</f>
        <v>Medium</v>
      </c>
      <c r="P849" s="3">
        <v>2.34</v>
      </c>
      <c r="Q849" s="2">
        <v>1.84</v>
      </c>
      <c r="R849" s="3">
        <v>1.79</v>
      </c>
      <c r="S849" s="3" t="str">
        <f>IF(Table1[[#This Row],[CGPA]]&gt;=3,"High",IF(R848&gt;=2,"Medium","Low"))</f>
        <v>Medium</v>
      </c>
      <c r="T849" s="2" t="s">
        <v>10</v>
      </c>
      <c r="U849" s="2" t="s">
        <v>14</v>
      </c>
      <c r="V849" s="2" t="s">
        <v>9</v>
      </c>
      <c r="W849" s="7">
        <v>0</v>
      </c>
      <c r="X849" t="str">
        <f t="shared" si="27"/>
        <v>Active</v>
      </c>
    </row>
    <row r="850" spans="1:24" x14ac:dyDescent="0.3">
      <c r="A850" s="2">
        <v>849</v>
      </c>
      <c r="B850" s="7">
        <v>19.600000000000001</v>
      </c>
      <c r="C850" s="2" t="s">
        <v>5</v>
      </c>
      <c r="D850" s="7">
        <f>IF(ISBLANK('Raw sheet'!D850),AVERAGE('Raw sheet'!$D$2:'Raw sheet'!$D$1500),'Raw sheet'!D850)</f>
        <v>25000</v>
      </c>
      <c r="E850" s="7" t="str">
        <f>IF(Table1[[#This Row],[Family_Income]]&gt;=100000,"Upper",IF(D850&gt;=50000,"Middle","Lower"))</f>
        <v>Lower</v>
      </c>
      <c r="F850" s="2" t="s">
        <v>4</v>
      </c>
      <c r="G850" s="3">
        <f>IF(ISBLANK('Raw sheet'!F850),AVERAGE('Raw sheet'!$F$2:'Raw sheet'!$F$1500),'Raw sheet'!F850)</f>
        <v>3.14</v>
      </c>
      <c r="H850" s="18">
        <v>80.2</v>
      </c>
      <c r="I850" s="9" t="str">
        <f t="shared" si="26"/>
        <v>Good</v>
      </c>
      <c r="J850" s="2">
        <v>1</v>
      </c>
      <c r="K850" s="2">
        <v>28.4</v>
      </c>
      <c r="L850" s="2" t="s">
        <v>3</v>
      </c>
      <c r="M850" s="2" t="s">
        <v>3</v>
      </c>
      <c r="N850" s="5">
        <f>IF(ISBLANK('Raw sheet'!L850),AVERAGE('Raw sheet'!$L$2:'Raw sheet'!$L$1500),'Raw sheet'!L850)</f>
        <v>6.3</v>
      </c>
      <c r="O850" s="5" t="str">
        <f>IF(Table1[[#This Row],[Stress_Index]]&gt;=8,"High",IF(N850&gt;=5,"Medium","Low"))</f>
        <v>Medium</v>
      </c>
      <c r="P850" s="3">
        <v>1.77</v>
      </c>
      <c r="Q850" s="2">
        <v>1.76</v>
      </c>
      <c r="R850" s="3">
        <v>1.76</v>
      </c>
      <c r="S850" s="3" t="str">
        <f>IF(Table1[[#This Row],[CGPA]]&gt;=3,"High",IF(R849&gt;=2,"Medium","Low"))</f>
        <v>Low</v>
      </c>
      <c r="T850" s="2" t="s">
        <v>2</v>
      </c>
      <c r="U850" s="2" t="s">
        <v>14</v>
      </c>
      <c r="V850" s="2" t="s">
        <v>9</v>
      </c>
      <c r="W850" s="7">
        <v>0</v>
      </c>
      <c r="X850" t="str">
        <f t="shared" si="27"/>
        <v>Active</v>
      </c>
    </row>
    <row r="851" spans="1:24" x14ac:dyDescent="0.3">
      <c r="A851" s="2">
        <v>850</v>
      </c>
      <c r="B851" s="7">
        <v>19.8</v>
      </c>
      <c r="C851" s="2" t="s">
        <v>11</v>
      </c>
      <c r="D851" s="7">
        <f>IF(ISBLANK('Raw sheet'!D851),AVERAGE('Raw sheet'!$D$2:'Raw sheet'!$D$1500),'Raw sheet'!D851)</f>
        <v>25000</v>
      </c>
      <c r="E851" s="7" t="str">
        <f>IF(Table1[[#This Row],[Family_Income]]&gt;=100000,"Upper",IF(D851&gt;=50000,"Middle","Lower"))</f>
        <v>Lower</v>
      </c>
      <c r="F851" s="2" t="s">
        <v>4</v>
      </c>
      <c r="G851" s="3">
        <f>IF(ISBLANK('Raw sheet'!F851),AVERAGE('Raw sheet'!$F$2:'Raw sheet'!$F$1500),'Raw sheet'!F851)</f>
        <v>5.39</v>
      </c>
      <c r="H851" s="18">
        <v>75.8</v>
      </c>
      <c r="I851" s="9" t="str">
        <f t="shared" si="26"/>
        <v>Good</v>
      </c>
      <c r="J851" s="2">
        <v>0</v>
      </c>
      <c r="K851" s="2">
        <v>46</v>
      </c>
      <c r="L851" s="2" t="s">
        <v>3</v>
      </c>
      <c r="M851" s="2" t="s">
        <v>3</v>
      </c>
      <c r="N851" s="5">
        <f>IF(ISBLANK('Raw sheet'!L851),AVERAGE('Raw sheet'!$L$2:'Raw sheet'!$L$1500),'Raw sheet'!L851)</f>
        <v>4.4000000000000004</v>
      </c>
      <c r="O851" s="5" t="str">
        <f>IF(Table1[[#This Row],[Stress_Index]]&gt;=8,"High",IF(N851&gt;=5,"Medium","Low"))</f>
        <v>Low</v>
      </c>
      <c r="P851" s="3">
        <v>4</v>
      </c>
      <c r="Q851" s="2">
        <v>3.58</v>
      </c>
      <c r="R851" s="3">
        <v>3.58</v>
      </c>
      <c r="S851" s="3" t="str">
        <f>IF(Table1[[#This Row],[CGPA]]&gt;=3,"High",IF(R850&gt;=2,"Medium","Low"))</f>
        <v>High</v>
      </c>
      <c r="T851" s="2" t="s">
        <v>2</v>
      </c>
      <c r="U851" s="2" t="s">
        <v>8</v>
      </c>
      <c r="V851" s="2" t="s">
        <v>9</v>
      </c>
      <c r="W851" s="7">
        <v>0</v>
      </c>
      <c r="X851" t="str">
        <f t="shared" si="27"/>
        <v>Active</v>
      </c>
    </row>
    <row r="852" spans="1:24" x14ac:dyDescent="0.3">
      <c r="A852" s="2">
        <v>851</v>
      </c>
      <c r="B852" s="7">
        <v>19.600000000000001</v>
      </c>
      <c r="C852" s="2" t="s">
        <v>5</v>
      </c>
      <c r="D852" s="7">
        <f>IF(ISBLANK('Raw sheet'!D852),AVERAGE('Raw sheet'!$D$2:'Raw sheet'!$D$1500),'Raw sheet'!D852)</f>
        <v>25000</v>
      </c>
      <c r="E852" s="7" t="str">
        <f>IF(Table1[[#This Row],[Family_Income]]&gt;=100000,"Upper",IF(D852&gt;=50000,"Middle","Lower"))</f>
        <v>Lower</v>
      </c>
      <c r="F852" s="2" t="s">
        <v>4</v>
      </c>
      <c r="G852" s="3">
        <f>IF(ISBLANK('Raw sheet'!F852),AVERAGE('Raw sheet'!$F$2:'Raw sheet'!$F$1500),'Raw sheet'!F852)</f>
        <v>3.72</v>
      </c>
      <c r="H852" s="18">
        <v>86.8</v>
      </c>
      <c r="I852" s="9" t="str">
        <f t="shared" si="26"/>
        <v>Good</v>
      </c>
      <c r="J852" s="2">
        <v>1</v>
      </c>
      <c r="K852" s="2">
        <v>41.9</v>
      </c>
      <c r="L852" s="2" t="s">
        <v>3</v>
      </c>
      <c r="M852" s="2" t="s">
        <v>3</v>
      </c>
      <c r="N852" s="5">
        <f>IF(ISBLANK('Raw sheet'!L852),AVERAGE('Raw sheet'!$L$2:'Raw sheet'!$L$1500),'Raw sheet'!L852)</f>
        <v>5</v>
      </c>
      <c r="O852" s="5" t="str">
        <f>IF(Table1[[#This Row],[Stress_Index]]&gt;=8,"High",IF(N852&gt;=5,"Medium","Low"))</f>
        <v>Medium</v>
      </c>
      <c r="P852" s="3">
        <v>2.99</v>
      </c>
      <c r="Q852" s="2">
        <v>3.4</v>
      </c>
      <c r="R852" s="3">
        <v>3.31</v>
      </c>
      <c r="S852" s="3" t="str">
        <f>IF(Table1[[#This Row],[CGPA]]&gt;=3,"High",IF(R851&gt;=2,"Medium","Low"))</f>
        <v>High</v>
      </c>
      <c r="T852" s="2" t="s">
        <v>7</v>
      </c>
      <c r="U852" s="2" t="s">
        <v>13</v>
      </c>
      <c r="V852" s="2" t="s">
        <v>9</v>
      </c>
      <c r="W852" s="7">
        <v>0</v>
      </c>
      <c r="X852" t="str">
        <f t="shared" si="27"/>
        <v>Active</v>
      </c>
    </row>
    <row r="853" spans="1:24" x14ac:dyDescent="0.3">
      <c r="A853" s="2">
        <v>852</v>
      </c>
      <c r="B853" s="7">
        <v>19.8</v>
      </c>
      <c r="C853" s="2" t="s">
        <v>5</v>
      </c>
      <c r="D853" s="7">
        <f>IF(ISBLANK('Raw sheet'!D853),AVERAGE('Raw sheet'!$D$2:'Raw sheet'!$D$1500),'Raw sheet'!D853)</f>
        <v>45090</v>
      </c>
      <c r="E853" s="7" t="str">
        <f>IF(Table1[[#This Row],[Family_Income]]&gt;=100000,"Upper",IF(D853&gt;=50000,"Middle","Lower"))</f>
        <v>Lower</v>
      </c>
      <c r="F853" s="2" t="s">
        <v>4</v>
      </c>
      <c r="G853" s="3">
        <f>IF(ISBLANK('Raw sheet'!F853),AVERAGE('Raw sheet'!$F$2:'Raw sheet'!$F$1500),'Raw sheet'!F853)</f>
        <v>6.62</v>
      </c>
      <c r="H853" s="18">
        <v>92.8</v>
      </c>
      <c r="I853" s="9" t="str">
        <f t="shared" si="26"/>
        <v>Good</v>
      </c>
      <c r="J853" s="2">
        <v>4</v>
      </c>
      <c r="K853" s="2">
        <v>29.9</v>
      </c>
      <c r="L853" s="2" t="s">
        <v>4</v>
      </c>
      <c r="M853" s="2" t="s">
        <v>3</v>
      </c>
      <c r="N853" s="5">
        <f>IF(ISBLANK('Raw sheet'!L853),AVERAGE('Raw sheet'!$L$2:'Raw sheet'!$L$1500),'Raw sheet'!L853)</f>
        <v>7.8</v>
      </c>
      <c r="O853" s="5" t="str">
        <f>IF(Table1[[#This Row],[Stress_Index]]&gt;=8,"High",IF(N853&gt;=5,"Medium","Low"))</f>
        <v>Medium</v>
      </c>
      <c r="P853" s="3">
        <v>2.25</v>
      </c>
      <c r="Q853" s="2">
        <v>2.15</v>
      </c>
      <c r="R853" s="3">
        <v>2.11</v>
      </c>
      <c r="S853" s="3" t="str">
        <f>IF(Table1[[#This Row],[CGPA]]&gt;=3,"High",IF(R852&gt;=2,"Medium","Low"))</f>
        <v>Medium</v>
      </c>
      <c r="T853" s="2" t="s">
        <v>7</v>
      </c>
      <c r="U853" s="2" t="s">
        <v>1</v>
      </c>
      <c r="V853" s="2" t="s">
        <v>9</v>
      </c>
      <c r="W853" s="7">
        <v>0</v>
      </c>
      <c r="X853" t="str">
        <f t="shared" si="27"/>
        <v>Active</v>
      </c>
    </row>
    <row r="854" spans="1:24" x14ac:dyDescent="0.3">
      <c r="A854" s="2">
        <v>853</v>
      </c>
      <c r="B854" s="7">
        <v>19.600000000000001</v>
      </c>
      <c r="C854" s="2" t="s">
        <v>5</v>
      </c>
      <c r="D854" s="7">
        <f>IF(ISBLANK('Raw sheet'!D854),AVERAGE('Raw sheet'!$D$2:'Raw sheet'!$D$1500),'Raw sheet'!D854)</f>
        <v>64168</v>
      </c>
      <c r="E854" s="7" t="str">
        <f>IF(Table1[[#This Row],[Family_Income]]&gt;=100000,"Upper",IF(D854&gt;=50000,"Middle","Lower"))</f>
        <v>Middle</v>
      </c>
      <c r="F854" s="2" t="s">
        <v>4</v>
      </c>
      <c r="G854" s="3">
        <f>IF(ISBLANK('Raw sheet'!F854),AVERAGE('Raw sheet'!$F$2:'Raw sheet'!$F$1500),'Raw sheet'!F854)</f>
        <v>2.84</v>
      </c>
      <c r="H854" s="18">
        <v>84.9</v>
      </c>
      <c r="I854" s="9" t="str">
        <f t="shared" si="26"/>
        <v>Good</v>
      </c>
      <c r="J854" s="2">
        <v>1</v>
      </c>
      <c r="K854" s="2">
        <v>39.9</v>
      </c>
      <c r="L854" s="2" t="s">
        <v>3</v>
      </c>
      <c r="M854" s="2" t="s">
        <v>3</v>
      </c>
      <c r="N854" s="5">
        <f>IF(ISBLANK('Raw sheet'!L854),AVERAGE('Raw sheet'!$L$2:'Raw sheet'!$L$1500),'Raw sheet'!L854)</f>
        <v>6.3</v>
      </c>
      <c r="O854" s="5" t="str">
        <f>IF(Table1[[#This Row],[Stress_Index]]&gt;=8,"High",IF(N854&gt;=5,"Medium","Low"))</f>
        <v>Medium</v>
      </c>
      <c r="P854" s="3">
        <v>0.39</v>
      </c>
      <c r="Q854" s="2">
        <v>0.75</v>
      </c>
      <c r="R854" s="3">
        <v>0.83</v>
      </c>
      <c r="S854" s="3" t="str">
        <f>IF(Table1[[#This Row],[CGPA]]&gt;=3,"High",IF(R853&gt;=2,"Medium","Low"))</f>
        <v>Medium</v>
      </c>
      <c r="T854" s="2" t="s">
        <v>7</v>
      </c>
      <c r="U854" s="2" t="s">
        <v>13</v>
      </c>
      <c r="V854" s="2" t="s">
        <v>15</v>
      </c>
      <c r="W854" s="7">
        <v>1</v>
      </c>
      <c r="X854" t="str">
        <f t="shared" si="27"/>
        <v>Dropped Out</v>
      </c>
    </row>
    <row r="855" spans="1:24" x14ac:dyDescent="0.3">
      <c r="A855" s="2">
        <v>854</v>
      </c>
      <c r="B855" s="7">
        <v>23.6</v>
      </c>
      <c r="C855" s="2" t="s">
        <v>5</v>
      </c>
      <c r="D855" s="7">
        <f>IF(ISBLANK('Raw sheet'!D855),AVERAGE('Raw sheet'!$D$2:'Raw sheet'!$D$1500),'Raw sheet'!D855)</f>
        <v>25000</v>
      </c>
      <c r="E855" s="7" t="str">
        <f>IF(Table1[[#This Row],[Family_Income]]&gt;=100000,"Upper",IF(D855&gt;=50000,"Middle","Lower"))</f>
        <v>Lower</v>
      </c>
      <c r="F855" s="2" t="s">
        <v>3</v>
      </c>
      <c r="G855" s="3">
        <f>IF(ISBLANK('Raw sheet'!F855),AVERAGE('Raw sheet'!$F$2:'Raw sheet'!$F$1500),'Raw sheet'!F855)</f>
        <v>4.32</v>
      </c>
      <c r="H855" s="18">
        <v>70.400000000000006</v>
      </c>
      <c r="I855" s="9" t="str">
        <f t="shared" si="26"/>
        <v>Low</v>
      </c>
      <c r="J855" s="2">
        <v>2</v>
      </c>
      <c r="K855" s="2">
        <v>26.8</v>
      </c>
      <c r="L855" s="2" t="s">
        <v>4</v>
      </c>
      <c r="M855" s="2" t="s">
        <v>3</v>
      </c>
      <c r="N855" s="5">
        <f>IF(ISBLANK('Raw sheet'!L855),AVERAGE('Raw sheet'!$L$2:'Raw sheet'!$L$1500),'Raw sheet'!L855)</f>
        <v>8.1999999999999993</v>
      </c>
      <c r="O855" s="5" t="str">
        <f>IF(Table1[[#This Row],[Stress_Index]]&gt;=8,"High",IF(N855&gt;=5,"Medium","Low"))</f>
        <v>High</v>
      </c>
      <c r="P855" s="3">
        <v>3.12</v>
      </c>
      <c r="Q855" s="2">
        <v>3.01</v>
      </c>
      <c r="R855" s="3">
        <v>3.02</v>
      </c>
      <c r="S855" s="3" t="str">
        <f>IF(Table1[[#This Row],[CGPA]]&gt;=3,"High",IF(R854&gt;=2,"Medium","Low"))</f>
        <v>High</v>
      </c>
      <c r="T855" s="2" t="s">
        <v>10</v>
      </c>
      <c r="U855" s="2" t="s">
        <v>8</v>
      </c>
      <c r="V855" s="2" t="s">
        <v>0</v>
      </c>
      <c r="W855" s="7">
        <v>0</v>
      </c>
      <c r="X855" t="str">
        <f t="shared" si="27"/>
        <v>Active</v>
      </c>
    </row>
    <row r="856" spans="1:24" x14ac:dyDescent="0.3">
      <c r="A856" s="2">
        <v>855</v>
      </c>
      <c r="B856" s="7">
        <v>24.1</v>
      </c>
      <c r="C856" s="2" t="s">
        <v>5</v>
      </c>
      <c r="D856" s="7">
        <f>IF(ISBLANK('Raw sheet'!D856),AVERAGE('Raw sheet'!$D$2:'Raw sheet'!$D$1500),'Raw sheet'!D856)</f>
        <v>46163</v>
      </c>
      <c r="E856" s="7" t="str">
        <f>IF(Table1[[#This Row],[Family_Income]]&gt;=100000,"Upper",IF(D856&gt;=50000,"Middle","Lower"))</f>
        <v>Lower</v>
      </c>
      <c r="F856" s="2" t="s">
        <v>3</v>
      </c>
      <c r="G856" s="3">
        <f>IF(ISBLANK('Raw sheet'!F856),AVERAGE('Raw sheet'!$F$2:'Raw sheet'!$F$1500),'Raw sheet'!F856)</f>
        <v>4.78</v>
      </c>
      <c r="H856" s="18">
        <v>84.2</v>
      </c>
      <c r="I856" s="9" t="str">
        <f t="shared" si="26"/>
        <v>Good</v>
      </c>
      <c r="J856" s="2">
        <v>1</v>
      </c>
      <c r="K856" s="2">
        <v>36.799999999999997</v>
      </c>
      <c r="L856" s="2" t="s">
        <v>3</v>
      </c>
      <c r="M856" s="2" t="s">
        <v>3</v>
      </c>
      <c r="N856" s="5">
        <f>IF(ISBLANK('Raw sheet'!L856),AVERAGE('Raw sheet'!$L$2:'Raw sheet'!$L$1500),'Raw sheet'!L856)</f>
        <v>6</v>
      </c>
      <c r="O856" s="5" t="str">
        <f>IF(Table1[[#This Row],[Stress_Index]]&gt;=8,"High",IF(N856&gt;=5,"Medium","Low"))</f>
        <v>Medium</v>
      </c>
      <c r="P856" s="3">
        <v>1.21</v>
      </c>
      <c r="Q856" s="2">
        <v>1</v>
      </c>
      <c r="R856" s="3">
        <v>1.06</v>
      </c>
      <c r="S856" s="3" t="str">
        <f>IF(Table1[[#This Row],[CGPA]]&gt;=3,"High",IF(R855&gt;=2,"Medium","Low"))</f>
        <v>Medium</v>
      </c>
      <c r="T856" s="2" t="s">
        <v>12</v>
      </c>
      <c r="U856" s="2" t="s">
        <v>14</v>
      </c>
      <c r="V856" s="2" t="s">
        <v>9</v>
      </c>
      <c r="W856" s="7">
        <v>1</v>
      </c>
      <c r="X856" t="str">
        <f t="shared" si="27"/>
        <v>Dropped Out</v>
      </c>
    </row>
    <row r="857" spans="1:24" x14ac:dyDescent="0.3">
      <c r="A857" s="2">
        <v>856</v>
      </c>
      <c r="B857" s="7">
        <v>19.7</v>
      </c>
      <c r="C857" s="2" t="s">
        <v>11</v>
      </c>
      <c r="D857" s="7">
        <f>IF(ISBLANK('Raw sheet'!D857),AVERAGE('Raw sheet'!$D$2:'Raw sheet'!$D$1500),'Raw sheet'!D857)</f>
        <v>43561</v>
      </c>
      <c r="E857" s="7" t="str">
        <f>IF(Table1[[#This Row],[Family_Income]]&gt;=100000,"Upper",IF(D857&gt;=50000,"Middle","Lower"))</f>
        <v>Lower</v>
      </c>
      <c r="F857" s="2" t="s">
        <v>4</v>
      </c>
      <c r="G857" s="3">
        <f>IF(ISBLANK('Raw sheet'!F857),AVERAGE('Raw sheet'!$F$2:'Raw sheet'!$F$1500),'Raw sheet'!F857)</f>
        <v>3.57</v>
      </c>
      <c r="H857" s="18">
        <v>66.5</v>
      </c>
      <c r="I857" s="9" t="str">
        <f t="shared" si="26"/>
        <v>Low</v>
      </c>
      <c r="J857" s="2">
        <v>1</v>
      </c>
      <c r="K857" s="2">
        <v>39.9</v>
      </c>
      <c r="L857" s="2" t="s">
        <v>4</v>
      </c>
      <c r="M857" s="2" t="s">
        <v>3</v>
      </c>
      <c r="N857" s="5">
        <f>IF(ISBLANK('Raw sheet'!L857),AVERAGE('Raw sheet'!$L$2:'Raw sheet'!$L$1500),'Raw sheet'!L857)</f>
        <v>5.2</v>
      </c>
      <c r="O857" s="5" t="str">
        <f>IF(Table1[[#This Row],[Stress_Index]]&gt;=8,"High",IF(N857&gt;=5,"Medium","Low"))</f>
        <v>Medium</v>
      </c>
      <c r="P857" s="3">
        <v>1.18</v>
      </c>
      <c r="Q857" s="2">
        <v>1.5</v>
      </c>
      <c r="R857" s="3">
        <v>1.5</v>
      </c>
      <c r="S857" s="3" t="str">
        <f>IF(Table1[[#This Row],[CGPA]]&gt;=3,"High",IF(R856&gt;=2,"Medium","Low"))</f>
        <v>Low</v>
      </c>
      <c r="T857" s="2" t="s">
        <v>2</v>
      </c>
      <c r="U857" s="2" t="s">
        <v>13</v>
      </c>
      <c r="V857" s="2" t="s">
        <v>15</v>
      </c>
      <c r="W857" s="7">
        <v>1</v>
      </c>
      <c r="X857" t="str">
        <f t="shared" si="27"/>
        <v>Dropped Out</v>
      </c>
    </row>
    <row r="858" spans="1:24" x14ac:dyDescent="0.3">
      <c r="A858" s="2">
        <v>857</v>
      </c>
      <c r="B858" s="7">
        <v>19.2</v>
      </c>
      <c r="C858" s="2" t="s">
        <v>11</v>
      </c>
      <c r="D858" s="7">
        <f>IF(ISBLANK('Raw sheet'!D858),AVERAGE('Raw sheet'!$D$2:'Raw sheet'!$D$1500),'Raw sheet'!D858)</f>
        <v>38587.00282087447</v>
      </c>
      <c r="E858" s="7" t="str">
        <f>IF(Table1[[#This Row],[Family_Income]]&gt;=100000,"Upper",IF(D858&gt;=50000,"Middle","Lower"))</f>
        <v>Lower</v>
      </c>
      <c r="F858" s="2" t="s">
        <v>4</v>
      </c>
      <c r="G858" s="3">
        <f>IF(ISBLANK('Raw sheet'!F858),AVERAGE('Raw sheet'!$F$2:'Raw sheet'!$F$1500),'Raw sheet'!F858)</f>
        <v>4.0178702397743278</v>
      </c>
      <c r="H858" s="18">
        <v>81.7</v>
      </c>
      <c r="I858" s="9" t="str">
        <f t="shared" si="26"/>
        <v>Good</v>
      </c>
      <c r="J858" s="2">
        <v>3</v>
      </c>
      <c r="K858" s="2">
        <v>33</v>
      </c>
      <c r="L858" s="2" t="s">
        <v>4</v>
      </c>
      <c r="M858" s="2" t="s">
        <v>3</v>
      </c>
      <c r="N858" s="5">
        <f>IF(ISBLANK('Raw sheet'!L858),AVERAGE('Raw sheet'!$L$2:'Raw sheet'!$L$1500),'Raw sheet'!L858)</f>
        <v>5.5242595204513369</v>
      </c>
      <c r="O858" s="5" t="str">
        <f>IF(Table1[[#This Row],[Stress_Index]]&gt;=8,"High",IF(N858&gt;=5,"Medium","Low"))</f>
        <v>Medium</v>
      </c>
      <c r="P858" s="3">
        <v>0</v>
      </c>
      <c r="Q858" s="2">
        <v>0</v>
      </c>
      <c r="R858" s="3">
        <v>7.0000000000000007E-2</v>
      </c>
      <c r="S858" s="3" t="str">
        <f>IF(Table1[[#This Row],[CGPA]]&gt;=3,"High",IF(R857&gt;=2,"Medium","Low"))</f>
        <v>Low</v>
      </c>
      <c r="T858" s="2" t="s">
        <v>10</v>
      </c>
      <c r="U858" s="2" t="s">
        <v>8</v>
      </c>
      <c r="V858" s="2" t="s">
        <v>9</v>
      </c>
      <c r="W858" s="7">
        <v>1</v>
      </c>
      <c r="X858" t="str">
        <f t="shared" si="27"/>
        <v>Dropped Out</v>
      </c>
    </row>
    <row r="859" spans="1:24" x14ac:dyDescent="0.3">
      <c r="A859" s="2">
        <v>858</v>
      </c>
      <c r="B859" s="7">
        <v>22</v>
      </c>
      <c r="C859" s="2" t="s">
        <v>11</v>
      </c>
      <c r="D859" s="7">
        <f>IF(ISBLANK('Raw sheet'!D859),AVERAGE('Raw sheet'!$D$2:'Raw sheet'!$D$1500),'Raw sheet'!D859)</f>
        <v>25000</v>
      </c>
      <c r="E859" s="7" t="str">
        <f>IF(Table1[[#This Row],[Family_Income]]&gt;=100000,"Upper",IF(D859&gt;=50000,"Middle","Lower"))</f>
        <v>Lower</v>
      </c>
      <c r="F859" s="2" t="s">
        <v>4</v>
      </c>
      <c r="G859" s="3">
        <f>IF(ISBLANK('Raw sheet'!F859),AVERAGE('Raw sheet'!$F$2:'Raw sheet'!$F$1500),'Raw sheet'!F859)</f>
        <v>3.74</v>
      </c>
      <c r="H859" s="18">
        <v>65.900000000000006</v>
      </c>
      <c r="I859" s="9" t="str">
        <f t="shared" si="26"/>
        <v>Low</v>
      </c>
      <c r="J859" s="2">
        <v>1</v>
      </c>
      <c r="K859" s="2">
        <v>20.2</v>
      </c>
      <c r="L859" s="2" t="s">
        <v>4</v>
      </c>
      <c r="M859" s="2" t="s">
        <v>3</v>
      </c>
      <c r="N859" s="5">
        <f>IF(ISBLANK('Raw sheet'!L859),AVERAGE('Raw sheet'!$L$2:'Raw sheet'!$L$1500),'Raw sheet'!L859)</f>
        <v>6.2</v>
      </c>
      <c r="O859" s="5" t="str">
        <f>IF(Table1[[#This Row],[Stress_Index]]&gt;=8,"High",IF(N859&gt;=5,"Medium","Low"))</f>
        <v>Medium</v>
      </c>
      <c r="P859" s="3">
        <v>1.71</v>
      </c>
      <c r="Q859" s="2">
        <v>1.39</v>
      </c>
      <c r="R859" s="3">
        <v>1.35</v>
      </c>
      <c r="S859" s="3" t="str">
        <f>IF(Table1[[#This Row],[CGPA]]&gt;=3,"High",IF(R858&gt;=2,"Medium","Low"))</f>
        <v>Low</v>
      </c>
      <c r="T859" s="2" t="s">
        <v>7</v>
      </c>
      <c r="U859" s="2" t="s">
        <v>14</v>
      </c>
      <c r="V859" s="2" t="s">
        <v>15</v>
      </c>
      <c r="W859" s="7">
        <v>1</v>
      </c>
      <c r="X859" t="str">
        <f t="shared" si="27"/>
        <v>Dropped Out</v>
      </c>
    </row>
    <row r="860" spans="1:24" x14ac:dyDescent="0.3">
      <c r="A860" s="2">
        <v>859</v>
      </c>
      <c r="B860" s="7">
        <v>19.8</v>
      </c>
      <c r="C860" s="2" t="s">
        <v>11</v>
      </c>
      <c r="D860" s="7">
        <f>IF(ISBLANK('Raw sheet'!D860),AVERAGE('Raw sheet'!$D$2:'Raw sheet'!$D$1500),'Raw sheet'!D860)</f>
        <v>25000</v>
      </c>
      <c r="E860" s="7" t="str">
        <f>IF(Table1[[#This Row],[Family_Income]]&gt;=100000,"Upper",IF(D860&gt;=50000,"Middle","Lower"))</f>
        <v>Lower</v>
      </c>
      <c r="F860" s="2" t="s">
        <v>4</v>
      </c>
      <c r="G860" s="3">
        <f>IF(ISBLANK('Raw sheet'!F860),AVERAGE('Raw sheet'!$F$2:'Raw sheet'!$F$1500),'Raw sheet'!F860)</f>
        <v>1.64</v>
      </c>
      <c r="H860" s="18">
        <v>78.599999999999994</v>
      </c>
      <c r="I860" s="9" t="str">
        <f t="shared" si="26"/>
        <v>Good</v>
      </c>
      <c r="J860" s="2">
        <v>3</v>
      </c>
      <c r="K860" s="2">
        <v>15.7</v>
      </c>
      <c r="L860" s="2" t="s">
        <v>3</v>
      </c>
      <c r="M860" s="2" t="s">
        <v>3</v>
      </c>
      <c r="N860" s="5">
        <f>IF(ISBLANK('Raw sheet'!L860),AVERAGE('Raw sheet'!$L$2:'Raw sheet'!$L$1500),'Raw sheet'!L860)</f>
        <v>6.3</v>
      </c>
      <c r="O860" s="5" t="str">
        <f>IF(Table1[[#This Row],[Stress_Index]]&gt;=8,"High",IF(N860&gt;=5,"Medium","Low"))</f>
        <v>Medium</v>
      </c>
      <c r="P860" s="3">
        <v>0.92</v>
      </c>
      <c r="Q860" s="2">
        <v>1.23</v>
      </c>
      <c r="R860" s="3">
        <v>1.23</v>
      </c>
      <c r="S860" s="3" t="str">
        <f>IF(Table1[[#This Row],[CGPA]]&gt;=3,"High",IF(R859&gt;=2,"Medium","Low"))</f>
        <v>Low</v>
      </c>
      <c r="T860" s="2" t="s">
        <v>2</v>
      </c>
      <c r="U860" s="2" t="s">
        <v>8</v>
      </c>
      <c r="V860" s="2" t="s">
        <v>15</v>
      </c>
      <c r="W860" s="7">
        <v>1</v>
      </c>
      <c r="X860" t="str">
        <f t="shared" si="27"/>
        <v>Dropped Out</v>
      </c>
    </row>
    <row r="861" spans="1:24" x14ac:dyDescent="0.3">
      <c r="A861" s="2">
        <v>860</v>
      </c>
      <c r="B861" s="7">
        <v>22.4</v>
      </c>
      <c r="C861" s="2" t="s">
        <v>5</v>
      </c>
      <c r="D861" s="7">
        <f>IF(ISBLANK('Raw sheet'!D861),AVERAGE('Raw sheet'!$D$2:'Raw sheet'!$D$1500),'Raw sheet'!D861)</f>
        <v>31011</v>
      </c>
      <c r="E861" s="7" t="str">
        <f>IF(Table1[[#This Row],[Family_Income]]&gt;=100000,"Upper",IF(D861&gt;=50000,"Middle","Lower"))</f>
        <v>Lower</v>
      </c>
      <c r="F861" s="2" t="s">
        <v>4</v>
      </c>
      <c r="G861" s="3">
        <f>IF(ISBLANK('Raw sheet'!F861),AVERAGE('Raw sheet'!$F$2:'Raw sheet'!$F$1500),'Raw sheet'!F861)</f>
        <v>3.09</v>
      </c>
      <c r="H861" s="18">
        <v>86.1</v>
      </c>
      <c r="I861" s="9" t="str">
        <f t="shared" si="26"/>
        <v>Good</v>
      </c>
      <c r="J861" s="2">
        <v>1</v>
      </c>
      <c r="K861" s="2">
        <v>33.5</v>
      </c>
      <c r="L861" s="2" t="s">
        <v>4</v>
      </c>
      <c r="M861" s="2" t="s">
        <v>3</v>
      </c>
      <c r="N861" s="5">
        <f>IF(ISBLANK('Raw sheet'!L861),AVERAGE('Raw sheet'!$L$2:'Raw sheet'!$L$1500),'Raw sheet'!L861)</f>
        <v>5.0999999999999996</v>
      </c>
      <c r="O861" s="5" t="str">
        <f>IF(Table1[[#This Row],[Stress_Index]]&gt;=8,"High",IF(N861&gt;=5,"Medium","Low"))</f>
        <v>Medium</v>
      </c>
      <c r="P861" s="3">
        <v>0.71</v>
      </c>
      <c r="Q861" s="2">
        <v>0.35</v>
      </c>
      <c r="R861" s="3">
        <v>0.35</v>
      </c>
      <c r="S861" s="3" t="str">
        <f>IF(Table1[[#This Row],[CGPA]]&gt;=3,"High",IF(R860&gt;=2,"Medium","Low"))</f>
        <v>Low</v>
      </c>
      <c r="T861" s="2" t="s">
        <v>2</v>
      </c>
      <c r="U861" s="2" t="s">
        <v>13</v>
      </c>
      <c r="V861" s="2" t="s">
        <v>9</v>
      </c>
      <c r="W861" s="7">
        <v>0</v>
      </c>
      <c r="X861" t="str">
        <f t="shared" si="27"/>
        <v>Active</v>
      </c>
    </row>
    <row r="862" spans="1:24" x14ac:dyDescent="0.3">
      <c r="A862" s="2">
        <v>861</v>
      </c>
      <c r="B862" s="7">
        <v>21.4</v>
      </c>
      <c r="C862" s="2" t="s">
        <v>11</v>
      </c>
      <c r="D862" s="7">
        <f>IF(ISBLANK('Raw sheet'!D862),AVERAGE('Raw sheet'!$D$2:'Raw sheet'!$D$1500),'Raw sheet'!D862)</f>
        <v>25000</v>
      </c>
      <c r="E862" s="7" t="str">
        <f>IF(Table1[[#This Row],[Family_Income]]&gt;=100000,"Upper",IF(D862&gt;=50000,"Middle","Lower"))</f>
        <v>Lower</v>
      </c>
      <c r="F862" s="2" t="s">
        <v>4</v>
      </c>
      <c r="G862" s="3">
        <f>IF(ISBLANK('Raw sheet'!F862),AVERAGE('Raw sheet'!$F$2:'Raw sheet'!$F$1500),'Raw sheet'!F862)</f>
        <v>3.77</v>
      </c>
      <c r="H862" s="18">
        <v>79.7</v>
      </c>
      <c r="I862" s="9" t="str">
        <f t="shared" si="26"/>
        <v>Good</v>
      </c>
      <c r="J862" s="2">
        <v>3</v>
      </c>
      <c r="K862" s="2">
        <v>21.3</v>
      </c>
      <c r="L862" s="2" t="s">
        <v>3</v>
      </c>
      <c r="M862" s="2" t="s">
        <v>3</v>
      </c>
      <c r="N862" s="5">
        <f>IF(ISBLANK('Raw sheet'!L862),AVERAGE('Raw sheet'!$L$2:'Raw sheet'!$L$1500),'Raw sheet'!L862)</f>
        <v>4.5</v>
      </c>
      <c r="O862" s="5" t="str">
        <f>IF(Table1[[#This Row],[Stress_Index]]&gt;=8,"High",IF(N862&gt;=5,"Medium","Low"))</f>
        <v>Low</v>
      </c>
      <c r="P862" s="3">
        <v>2.4900000000000002</v>
      </c>
      <c r="Q862" s="2">
        <v>2.83</v>
      </c>
      <c r="R862" s="3">
        <v>2.87</v>
      </c>
      <c r="S862" s="3" t="str">
        <f>IF(Table1[[#This Row],[CGPA]]&gt;=3,"High",IF(R861&gt;=2,"Medium","Low"))</f>
        <v>Low</v>
      </c>
      <c r="T862" s="2" t="s">
        <v>10</v>
      </c>
      <c r="U862" s="2" t="s">
        <v>1</v>
      </c>
      <c r="V862" s="2" t="s">
        <v>9</v>
      </c>
      <c r="W862" s="7">
        <v>0</v>
      </c>
      <c r="X862" t="str">
        <f t="shared" si="27"/>
        <v>Active</v>
      </c>
    </row>
    <row r="863" spans="1:24" x14ac:dyDescent="0.3">
      <c r="A863" s="2">
        <v>862</v>
      </c>
      <c r="B863" s="7">
        <v>17.7</v>
      </c>
      <c r="C863" s="2" t="s">
        <v>5</v>
      </c>
      <c r="D863" s="7">
        <f>IF(ISBLANK('Raw sheet'!D863),AVERAGE('Raw sheet'!$D$2:'Raw sheet'!$D$1500),'Raw sheet'!D863)</f>
        <v>25000</v>
      </c>
      <c r="E863" s="7" t="str">
        <f>IF(Table1[[#This Row],[Family_Income]]&gt;=100000,"Upper",IF(D863&gt;=50000,"Middle","Lower"))</f>
        <v>Lower</v>
      </c>
      <c r="F863" s="2" t="s">
        <v>4</v>
      </c>
      <c r="G863" s="3">
        <f>IF(ISBLANK('Raw sheet'!F863),AVERAGE('Raw sheet'!$F$2:'Raw sheet'!$F$1500),'Raw sheet'!F863)</f>
        <v>5.3</v>
      </c>
      <c r="H863" s="18">
        <v>91.2</v>
      </c>
      <c r="I863" s="9" t="str">
        <f t="shared" si="26"/>
        <v>Good</v>
      </c>
      <c r="J863" s="2">
        <v>1</v>
      </c>
      <c r="K863" s="2">
        <v>42.7</v>
      </c>
      <c r="L863" s="2" t="s">
        <v>4</v>
      </c>
      <c r="M863" s="2" t="s">
        <v>3</v>
      </c>
      <c r="N863" s="5">
        <f>IF(ISBLANK('Raw sheet'!L863),AVERAGE('Raw sheet'!$L$2:'Raw sheet'!$L$1500),'Raw sheet'!L863)</f>
        <v>4.5</v>
      </c>
      <c r="O863" s="5" t="str">
        <f>IF(Table1[[#This Row],[Stress_Index]]&gt;=8,"High",IF(N863&gt;=5,"Medium","Low"))</f>
        <v>Low</v>
      </c>
      <c r="P863" s="3">
        <v>3.14</v>
      </c>
      <c r="Q863" s="2">
        <v>3.23</v>
      </c>
      <c r="R863" s="3">
        <v>3.25</v>
      </c>
      <c r="S863" s="3" t="str">
        <f>IF(Table1[[#This Row],[CGPA]]&gt;=3,"High",IF(R862&gt;=2,"Medium","Low"))</f>
        <v>High</v>
      </c>
      <c r="T863" s="2" t="s">
        <v>10</v>
      </c>
      <c r="U863" s="2" t="s">
        <v>14</v>
      </c>
      <c r="V863" s="2" t="s">
        <v>9</v>
      </c>
      <c r="W863" s="7">
        <v>0</v>
      </c>
      <c r="X863" t="str">
        <f t="shared" si="27"/>
        <v>Active</v>
      </c>
    </row>
    <row r="864" spans="1:24" x14ac:dyDescent="0.3">
      <c r="A864" s="2">
        <v>863</v>
      </c>
      <c r="B864" s="7">
        <v>24.4</v>
      </c>
      <c r="C864" s="2" t="s">
        <v>11</v>
      </c>
      <c r="D864" s="7">
        <f>IF(ISBLANK('Raw sheet'!D864),AVERAGE('Raw sheet'!$D$2:'Raw sheet'!$D$1500),'Raw sheet'!D864)</f>
        <v>25000</v>
      </c>
      <c r="E864" s="7" t="str">
        <f>IF(Table1[[#This Row],[Family_Income]]&gt;=100000,"Upper",IF(D864&gt;=50000,"Middle","Lower"))</f>
        <v>Lower</v>
      </c>
      <c r="F864" s="2" t="s">
        <v>4</v>
      </c>
      <c r="G864" s="3">
        <f>IF(ISBLANK('Raw sheet'!F864),AVERAGE('Raw sheet'!$F$2:'Raw sheet'!$F$1500),'Raw sheet'!F864)</f>
        <v>4.3600000000000003</v>
      </c>
      <c r="H864" s="18">
        <v>83.8</v>
      </c>
      <c r="I864" s="9" t="str">
        <f t="shared" si="26"/>
        <v>Good</v>
      </c>
      <c r="J864" s="2">
        <v>0</v>
      </c>
      <c r="K864" s="2">
        <v>11.9</v>
      </c>
      <c r="L864" s="2" t="s">
        <v>3</v>
      </c>
      <c r="M864" s="2" t="s">
        <v>3</v>
      </c>
      <c r="N864" s="5">
        <f>IF(ISBLANK('Raw sheet'!L864),AVERAGE('Raw sheet'!$L$2:'Raw sheet'!$L$1500),'Raw sheet'!L864)</f>
        <v>6.4</v>
      </c>
      <c r="O864" s="5" t="str">
        <f>IF(Table1[[#This Row],[Stress_Index]]&gt;=8,"High",IF(N864&gt;=5,"Medium","Low"))</f>
        <v>Medium</v>
      </c>
      <c r="P864" s="3">
        <v>2.4500000000000002</v>
      </c>
      <c r="Q864" s="2">
        <v>2.85</v>
      </c>
      <c r="R864" s="3">
        <v>2.83</v>
      </c>
      <c r="S864" s="3" t="str">
        <f>IF(Table1[[#This Row],[CGPA]]&gt;=3,"High",IF(R863&gt;=2,"Medium","Low"))</f>
        <v>Medium</v>
      </c>
      <c r="T864" s="2" t="s">
        <v>12</v>
      </c>
      <c r="U864" s="2" t="s">
        <v>8</v>
      </c>
      <c r="V864" s="2" t="s">
        <v>0</v>
      </c>
      <c r="W864" s="7">
        <v>0</v>
      </c>
      <c r="X864" t="str">
        <f t="shared" si="27"/>
        <v>Active</v>
      </c>
    </row>
    <row r="865" spans="1:24" x14ac:dyDescent="0.3">
      <c r="A865" s="2">
        <v>864</v>
      </c>
      <c r="B865" s="7">
        <v>25</v>
      </c>
      <c r="C865" s="2" t="s">
        <v>5</v>
      </c>
      <c r="D865" s="7">
        <f>IF(ISBLANK('Raw sheet'!D865),AVERAGE('Raw sheet'!$D$2:'Raw sheet'!$D$1500),'Raw sheet'!D865)</f>
        <v>25000</v>
      </c>
      <c r="E865" s="7" t="str">
        <f>IF(Table1[[#This Row],[Family_Income]]&gt;=100000,"Upper",IF(D865&gt;=50000,"Middle","Lower"))</f>
        <v>Lower</v>
      </c>
      <c r="F865" s="2" t="s">
        <v>4</v>
      </c>
      <c r="G865" s="3">
        <f>IF(ISBLANK('Raw sheet'!F865),AVERAGE('Raw sheet'!$F$2:'Raw sheet'!$F$1500),'Raw sheet'!F865)</f>
        <v>3.47</v>
      </c>
      <c r="H865" s="18">
        <v>73</v>
      </c>
      <c r="I865" s="9" t="str">
        <f t="shared" si="26"/>
        <v>Low</v>
      </c>
      <c r="J865" s="2">
        <v>2</v>
      </c>
      <c r="K865" s="2">
        <v>45.8</v>
      </c>
      <c r="L865" s="2" t="s">
        <v>4</v>
      </c>
      <c r="M865" s="2" t="s">
        <v>4</v>
      </c>
      <c r="N865" s="5">
        <f>IF(ISBLANK('Raw sheet'!L865),AVERAGE('Raw sheet'!$L$2:'Raw sheet'!$L$1500),'Raw sheet'!L865)</f>
        <v>6.7</v>
      </c>
      <c r="O865" s="5" t="str">
        <f>IF(Table1[[#This Row],[Stress_Index]]&gt;=8,"High",IF(N865&gt;=5,"Medium","Low"))</f>
        <v>Medium</v>
      </c>
      <c r="P865" s="3">
        <v>2.21</v>
      </c>
      <c r="Q865" s="2">
        <v>2.39</v>
      </c>
      <c r="R865" s="3">
        <v>2.39</v>
      </c>
      <c r="S865" s="3" t="str">
        <f>IF(Table1[[#This Row],[CGPA]]&gt;=3,"High",IF(R864&gt;=2,"Medium","Low"))</f>
        <v>Medium</v>
      </c>
      <c r="T865" s="2" t="s">
        <v>2</v>
      </c>
      <c r="U865" s="2" t="s">
        <v>6</v>
      </c>
      <c r="V865" s="2" t="s">
        <v>9</v>
      </c>
      <c r="W865" s="7">
        <v>1</v>
      </c>
      <c r="X865" t="str">
        <f t="shared" si="27"/>
        <v>Dropped Out</v>
      </c>
    </row>
    <row r="866" spans="1:24" x14ac:dyDescent="0.3">
      <c r="A866" s="2">
        <v>865</v>
      </c>
      <c r="B866" s="7">
        <v>19.7</v>
      </c>
      <c r="C866" s="2" t="s">
        <v>5</v>
      </c>
      <c r="D866" s="7">
        <f>IF(ISBLANK('Raw sheet'!D866),AVERAGE('Raw sheet'!$D$2:'Raw sheet'!$D$1500),'Raw sheet'!D866)</f>
        <v>32368</v>
      </c>
      <c r="E866" s="7" t="str">
        <f>IF(Table1[[#This Row],[Family_Income]]&gt;=100000,"Upper",IF(D866&gt;=50000,"Middle","Lower"))</f>
        <v>Lower</v>
      </c>
      <c r="F866" s="2" t="s">
        <v>3</v>
      </c>
      <c r="G866" s="3">
        <f>IF(ISBLANK('Raw sheet'!F866),AVERAGE('Raw sheet'!$F$2:'Raw sheet'!$F$1500),'Raw sheet'!F866)</f>
        <v>3.39</v>
      </c>
      <c r="H866" s="18">
        <v>89.2</v>
      </c>
      <c r="I866" s="9" t="str">
        <f t="shared" si="26"/>
        <v>Good</v>
      </c>
      <c r="J866" s="2">
        <v>2</v>
      </c>
      <c r="K866" s="2">
        <v>30.6</v>
      </c>
      <c r="L866" s="2" t="s">
        <v>4</v>
      </c>
      <c r="M866" s="2" t="s">
        <v>3</v>
      </c>
      <c r="N866" s="5">
        <f>IF(ISBLANK('Raw sheet'!L866),AVERAGE('Raw sheet'!$L$2:'Raw sheet'!$L$1500),'Raw sheet'!L866)</f>
        <v>1</v>
      </c>
      <c r="O866" s="5" t="str">
        <f>IF(Table1[[#This Row],[Stress_Index]]&gt;=8,"High",IF(N866&gt;=5,"Medium","Low"))</f>
        <v>Low</v>
      </c>
      <c r="P866" s="3">
        <v>3.13</v>
      </c>
      <c r="Q866" s="2">
        <v>2.98</v>
      </c>
      <c r="R866" s="3">
        <v>3</v>
      </c>
      <c r="S866" s="3" t="str">
        <f>IF(Table1[[#This Row],[CGPA]]&gt;=3,"High",IF(R865&gt;=2,"Medium","Low"))</f>
        <v>High</v>
      </c>
      <c r="T866" s="2" t="s">
        <v>10</v>
      </c>
      <c r="U866" s="2" t="s">
        <v>13</v>
      </c>
      <c r="V866" s="2" t="s">
        <v>15</v>
      </c>
      <c r="W866" s="7">
        <v>0</v>
      </c>
      <c r="X866" t="str">
        <f t="shared" si="27"/>
        <v>Active</v>
      </c>
    </row>
    <row r="867" spans="1:24" x14ac:dyDescent="0.3">
      <c r="A867" s="2">
        <v>866</v>
      </c>
      <c r="B867" s="7">
        <v>20.100000000000001</v>
      </c>
      <c r="C867" s="2" t="s">
        <v>5</v>
      </c>
      <c r="D867" s="7">
        <f>IF(ISBLANK('Raw sheet'!D867),AVERAGE('Raw sheet'!$D$2:'Raw sheet'!$D$1500),'Raw sheet'!D867)</f>
        <v>45338</v>
      </c>
      <c r="E867" s="7" t="str">
        <f>IF(Table1[[#This Row],[Family_Income]]&gt;=100000,"Upper",IF(D867&gt;=50000,"Middle","Lower"))</f>
        <v>Lower</v>
      </c>
      <c r="F867" s="2" t="s">
        <v>4</v>
      </c>
      <c r="G867" s="3">
        <f>IF(ISBLANK('Raw sheet'!F867),AVERAGE('Raw sheet'!$F$2:'Raw sheet'!$F$1500),'Raw sheet'!F867)</f>
        <v>3.28</v>
      </c>
      <c r="H867" s="18">
        <v>87.5</v>
      </c>
      <c r="I867" s="9" t="str">
        <f t="shared" si="26"/>
        <v>Good</v>
      </c>
      <c r="J867" s="2">
        <v>0</v>
      </c>
      <c r="K867" s="2">
        <v>19.7</v>
      </c>
      <c r="L867" s="2" t="s">
        <v>3</v>
      </c>
      <c r="M867" s="2" t="s">
        <v>3</v>
      </c>
      <c r="N867" s="5">
        <f>IF(ISBLANK('Raw sheet'!L867),AVERAGE('Raw sheet'!$L$2:'Raw sheet'!$L$1500),'Raw sheet'!L867)</f>
        <v>4.2</v>
      </c>
      <c r="O867" s="5" t="str">
        <f>IF(Table1[[#This Row],[Stress_Index]]&gt;=8,"High",IF(N867&gt;=5,"Medium","Low"))</f>
        <v>Low</v>
      </c>
      <c r="P867" s="3">
        <v>2.66</v>
      </c>
      <c r="Q867" s="2">
        <v>2.3199999999999998</v>
      </c>
      <c r="R867" s="3">
        <v>2.3199999999999998</v>
      </c>
      <c r="S867" s="3" t="str">
        <f>IF(Table1[[#This Row],[CGPA]]&gt;=3,"High",IF(R866&gt;=2,"Medium","Low"))</f>
        <v>Medium</v>
      </c>
      <c r="T867" s="2" t="s">
        <v>12</v>
      </c>
      <c r="U867" s="2" t="s">
        <v>8</v>
      </c>
      <c r="V867" s="2" t="s">
        <v>9</v>
      </c>
      <c r="W867" s="7">
        <v>0</v>
      </c>
      <c r="X867" t="str">
        <f t="shared" si="27"/>
        <v>Active</v>
      </c>
    </row>
    <row r="868" spans="1:24" x14ac:dyDescent="0.3">
      <c r="A868" s="2">
        <v>867</v>
      </c>
      <c r="B868" s="7">
        <v>21.6</v>
      </c>
      <c r="C868" s="2" t="s">
        <v>5</v>
      </c>
      <c r="D868" s="7">
        <f>IF(ISBLANK('Raw sheet'!D868),AVERAGE('Raw sheet'!$D$2:'Raw sheet'!$D$1500),'Raw sheet'!D868)</f>
        <v>25000</v>
      </c>
      <c r="E868" s="7" t="str">
        <f>IF(Table1[[#This Row],[Family_Income]]&gt;=100000,"Upper",IF(D868&gt;=50000,"Middle","Lower"))</f>
        <v>Lower</v>
      </c>
      <c r="F868" s="2" t="s">
        <v>4</v>
      </c>
      <c r="G868" s="3">
        <f>IF(ISBLANK('Raw sheet'!F868),AVERAGE('Raw sheet'!$F$2:'Raw sheet'!$F$1500),'Raw sheet'!F868)</f>
        <v>5.2</v>
      </c>
      <c r="H868" s="18">
        <v>92.2</v>
      </c>
      <c r="I868" s="9" t="str">
        <f t="shared" si="26"/>
        <v>Good</v>
      </c>
      <c r="J868" s="2">
        <v>3</v>
      </c>
      <c r="K868" s="2">
        <v>24.6</v>
      </c>
      <c r="L868" s="2" t="s">
        <v>4</v>
      </c>
      <c r="M868" s="2" t="s">
        <v>3</v>
      </c>
      <c r="N868" s="5">
        <f>IF(ISBLANK('Raw sheet'!L868),AVERAGE('Raw sheet'!$L$2:'Raw sheet'!$L$1500),'Raw sheet'!L868)</f>
        <v>2.6</v>
      </c>
      <c r="O868" s="5" t="str">
        <f>IF(Table1[[#This Row],[Stress_Index]]&gt;=8,"High",IF(N868&gt;=5,"Medium","Low"))</f>
        <v>Low</v>
      </c>
      <c r="P868" s="3">
        <v>2.76</v>
      </c>
      <c r="Q868" s="2">
        <v>2.3199999999999998</v>
      </c>
      <c r="R868" s="3">
        <v>2.38</v>
      </c>
      <c r="S868" s="3" t="str">
        <f>IF(Table1[[#This Row],[CGPA]]&gt;=3,"High",IF(R867&gt;=2,"Medium","Low"))</f>
        <v>Medium</v>
      </c>
      <c r="T868" s="2" t="s">
        <v>7</v>
      </c>
      <c r="U868" s="2" t="s">
        <v>13</v>
      </c>
      <c r="V868" s="2" t="s">
        <v>0</v>
      </c>
      <c r="W868" s="7">
        <v>0</v>
      </c>
      <c r="X868" t="str">
        <f t="shared" si="27"/>
        <v>Active</v>
      </c>
    </row>
    <row r="869" spans="1:24" x14ac:dyDescent="0.3">
      <c r="A869" s="2">
        <v>868</v>
      </c>
      <c r="B869" s="7">
        <v>21.7</v>
      </c>
      <c r="C869" s="2" t="s">
        <v>5</v>
      </c>
      <c r="D869" s="7">
        <f>IF(ISBLANK('Raw sheet'!D869),AVERAGE('Raw sheet'!$D$2:'Raw sheet'!$D$1500),'Raw sheet'!D869)</f>
        <v>37700</v>
      </c>
      <c r="E869" s="7" t="str">
        <f>IF(Table1[[#This Row],[Family_Income]]&gt;=100000,"Upper",IF(D869&gt;=50000,"Middle","Lower"))</f>
        <v>Lower</v>
      </c>
      <c r="F869" s="2" t="s">
        <v>4</v>
      </c>
      <c r="G869" s="3">
        <f>IF(ISBLANK('Raw sheet'!F869),AVERAGE('Raw sheet'!$F$2:'Raw sheet'!$F$1500),'Raw sheet'!F869)</f>
        <v>2.0699999999999998</v>
      </c>
      <c r="H869" s="18">
        <v>87.7</v>
      </c>
      <c r="I869" s="9" t="str">
        <f t="shared" si="26"/>
        <v>Good</v>
      </c>
      <c r="J869" s="2">
        <v>1</v>
      </c>
      <c r="K869" s="2">
        <v>27.6</v>
      </c>
      <c r="L869" s="2" t="s">
        <v>4</v>
      </c>
      <c r="M869" s="2" t="s">
        <v>4</v>
      </c>
      <c r="N869" s="5">
        <f>IF(ISBLANK('Raw sheet'!L869),AVERAGE('Raw sheet'!$L$2:'Raw sheet'!$L$1500),'Raw sheet'!L869)</f>
        <v>4.5999999999999996</v>
      </c>
      <c r="O869" s="5" t="str">
        <f>IF(Table1[[#This Row],[Stress_Index]]&gt;=8,"High",IF(N869&gt;=5,"Medium","Low"))</f>
        <v>Low</v>
      </c>
      <c r="P869" s="3">
        <v>1.7</v>
      </c>
      <c r="Q869" s="2">
        <v>1.62</v>
      </c>
      <c r="R869" s="3">
        <v>1.67</v>
      </c>
      <c r="S869" s="3" t="str">
        <f>IF(Table1[[#This Row],[CGPA]]&gt;=3,"High",IF(R868&gt;=2,"Medium","Low"))</f>
        <v>Medium</v>
      </c>
      <c r="T869" s="2" t="s">
        <v>7</v>
      </c>
      <c r="U869" s="2" t="s">
        <v>14</v>
      </c>
      <c r="V869" s="2" t="s">
        <v>15</v>
      </c>
      <c r="W869" s="7">
        <v>1</v>
      </c>
      <c r="X869" t="str">
        <f t="shared" si="27"/>
        <v>Dropped Out</v>
      </c>
    </row>
    <row r="870" spans="1:24" x14ac:dyDescent="0.3">
      <c r="A870" s="2">
        <v>869</v>
      </c>
      <c r="B870" s="7">
        <v>22.4</v>
      </c>
      <c r="C870" s="2" t="s">
        <v>5</v>
      </c>
      <c r="D870" s="7">
        <f>IF(ISBLANK('Raw sheet'!D870),AVERAGE('Raw sheet'!$D$2:'Raw sheet'!$D$1500),'Raw sheet'!D870)</f>
        <v>29998</v>
      </c>
      <c r="E870" s="7" t="str">
        <f>IF(Table1[[#This Row],[Family_Income]]&gt;=100000,"Upper",IF(D870&gt;=50000,"Middle","Lower"))</f>
        <v>Lower</v>
      </c>
      <c r="F870" s="2" t="s">
        <v>4</v>
      </c>
      <c r="G870" s="3">
        <f>IF(ISBLANK('Raw sheet'!F870),AVERAGE('Raw sheet'!$F$2:'Raw sheet'!$F$1500),'Raw sheet'!F870)</f>
        <v>2.9</v>
      </c>
      <c r="H870" s="18">
        <v>85.8</v>
      </c>
      <c r="I870" s="9" t="str">
        <f t="shared" si="26"/>
        <v>Good</v>
      </c>
      <c r="J870" s="2">
        <v>3</v>
      </c>
      <c r="K870" s="2">
        <v>35.799999999999997</v>
      </c>
      <c r="L870" s="2" t="s">
        <v>3</v>
      </c>
      <c r="M870" s="2" t="s">
        <v>3</v>
      </c>
      <c r="N870" s="5">
        <f>IF(ISBLANK('Raw sheet'!L870),AVERAGE('Raw sheet'!$L$2:'Raw sheet'!$L$1500),'Raw sheet'!L870)</f>
        <v>4.4000000000000004</v>
      </c>
      <c r="O870" s="5" t="str">
        <f>IF(Table1[[#This Row],[Stress_Index]]&gt;=8,"High",IF(N870&gt;=5,"Medium","Low"))</f>
        <v>Low</v>
      </c>
      <c r="P870" s="3">
        <v>2.5099999999999998</v>
      </c>
      <c r="Q870" s="2">
        <v>2.2999999999999998</v>
      </c>
      <c r="R870" s="3">
        <v>2.2200000000000002</v>
      </c>
      <c r="S870" s="3" t="str">
        <f>IF(Table1[[#This Row],[CGPA]]&gt;=3,"High",IF(R869&gt;=2,"Medium","Low"))</f>
        <v>Low</v>
      </c>
      <c r="T870" s="2" t="s">
        <v>12</v>
      </c>
      <c r="U870" s="2" t="s">
        <v>14</v>
      </c>
      <c r="V870" s="2" t="s">
        <v>9</v>
      </c>
      <c r="W870" s="7">
        <v>0</v>
      </c>
      <c r="X870" t="str">
        <f t="shared" si="27"/>
        <v>Active</v>
      </c>
    </row>
    <row r="871" spans="1:24" x14ac:dyDescent="0.3">
      <c r="A871" s="2">
        <v>870</v>
      </c>
      <c r="B871" s="7">
        <v>25.4</v>
      </c>
      <c r="C871" s="2" t="s">
        <v>11</v>
      </c>
      <c r="D871" s="7">
        <f>IF(ISBLANK('Raw sheet'!D871),AVERAGE('Raw sheet'!$D$2:'Raw sheet'!$D$1500),'Raw sheet'!D871)</f>
        <v>52120</v>
      </c>
      <c r="E871" s="7" t="str">
        <f>IF(Table1[[#This Row],[Family_Income]]&gt;=100000,"Upper",IF(D871&gt;=50000,"Middle","Lower"))</f>
        <v>Middle</v>
      </c>
      <c r="F871" s="2" t="s">
        <v>4</v>
      </c>
      <c r="G871" s="3">
        <f>IF(ISBLANK('Raw sheet'!F871),AVERAGE('Raw sheet'!$F$2:'Raw sheet'!$F$1500),'Raw sheet'!F871)</f>
        <v>2.06</v>
      </c>
      <c r="H871" s="18">
        <v>74.099999999999994</v>
      </c>
      <c r="I871" s="9" t="str">
        <f t="shared" si="26"/>
        <v>Low</v>
      </c>
      <c r="J871" s="2">
        <v>5</v>
      </c>
      <c r="K871" s="2">
        <v>15.3</v>
      </c>
      <c r="L871" s="2" t="s">
        <v>3</v>
      </c>
      <c r="M871" s="2" t="s">
        <v>3</v>
      </c>
      <c r="N871" s="5">
        <f>IF(ISBLANK('Raw sheet'!L871),AVERAGE('Raw sheet'!$L$2:'Raw sheet'!$L$1500),'Raw sheet'!L871)</f>
        <v>5.8</v>
      </c>
      <c r="O871" s="5" t="str">
        <f>IF(Table1[[#This Row],[Stress_Index]]&gt;=8,"High",IF(N871&gt;=5,"Medium","Low"))</f>
        <v>Medium</v>
      </c>
      <c r="P871" s="3">
        <v>2.17</v>
      </c>
      <c r="Q871" s="2">
        <v>1.94</v>
      </c>
      <c r="R871" s="3">
        <v>1.94</v>
      </c>
      <c r="S871" s="3" t="str">
        <f>IF(Table1[[#This Row],[CGPA]]&gt;=3,"High",IF(R870&gt;=2,"Medium","Low"))</f>
        <v>Medium</v>
      </c>
      <c r="T871" s="2" t="s">
        <v>2</v>
      </c>
      <c r="U871" s="2" t="s">
        <v>8</v>
      </c>
      <c r="V871" s="2" t="s">
        <v>9</v>
      </c>
      <c r="W871" s="7">
        <v>1</v>
      </c>
      <c r="X871" t="str">
        <f t="shared" si="27"/>
        <v>Dropped Out</v>
      </c>
    </row>
    <row r="872" spans="1:24" x14ac:dyDescent="0.3">
      <c r="A872" s="2">
        <v>871</v>
      </c>
      <c r="B872" s="7">
        <v>20.6</v>
      </c>
      <c r="C872" s="2" t="s">
        <v>11</v>
      </c>
      <c r="D872" s="7">
        <f>IF(ISBLANK('Raw sheet'!D872),AVERAGE('Raw sheet'!$D$2:'Raw sheet'!$D$1500),'Raw sheet'!D872)</f>
        <v>26552</v>
      </c>
      <c r="E872" s="7" t="str">
        <f>IF(Table1[[#This Row],[Family_Income]]&gt;=100000,"Upper",IF(D872&gt;=50000,"Middle","Lower"))</f>
        <v>Lower</v>
      </c>
      <c r="F872" s="2" t="s">
        <v>4</v>
      </c>
      <c r="G872" s="3">
        <f>IF(ISBLANK('Raw sheet'!F872),AVERAGE('Raw sheet'!$F$2:'Raw sheet'!$F$1500),'Raw sheet'!F872)</f>
        <v>4.76</v>
      </c>
      <c r="H872" s="18">
        <v>88.5</v>
      </c>
      <c r="I872" s="9" t="str">
        <f t="shared" si="26"/>
        <v>Good</v>
      </c>
      <c r="J872" s="2">
        <v>0</v>
      </c>
      <c r="K872" s="2">
        <v>18.5</v>
      </c>
      <c r="L872" s="2" t="s">
        <v>3</v>
      </c>
      <c r="M872" s="2" t="s">
        <v>3</v>
      </c>
      <c r="N872" s="5">
        <f>IF(ISBLANK('Raw sheet'!L872),AVERAGE('Raw sheet'!$L$2:'Raw sheet'!$L$1500),'Raw sheet'!L872)</f>
        <v>5.8</v>
      </c>
      <c r="O872" s="5" t="str">
        <f>IF(Table1[[#This Row],[Stress_Index]]&gt;=8,"High",IF(N872&gt;=5,"Medium","Low"))</f>
        <v>Medium</v>
      </c>
      <c r="P872" s="3">
        <v>2.59</v>
      </c>
      <c r="Q872" s="2">
        <v>2.11</v>
      </c>
      <c r="R872" s="3">
        <v>2.11</v>
      </c>
      <c r="S872" s="3" t="str">
        <f>IF(Table1[[#This Row],[CGPA]]&gt;=3,"High",IF(R871&gt;=2,"Medium","Low"))</f>
        <v>Low</v>
      </c>
      <c r="T872" s="2" t="s">
        <v>2</v>
      </c>
      <c r="U872" s="2" t="s">
        <v>8</v>
      </c>
      <c r="V872" s="2" t="s">
        <v>15</v>
      </c>
      <c r="W872" s="7">
        <v>0</v>
      </c>
      <c r="X872" t="str">
        <f t="shared" si="27"/>
        <v>Active</v>
      </c>
    </row>
    <row r="873" spans="1:24" x14ac:dyDescent="0.3">
      <c r="A873" s="2">
        <v>872</v>
      </c>
      <c r="B873" s="7">
        <v>19.2</v>
      </c>
      <c r="C873" s="2" t="s">
        <v>5</v>
      </c>
      <c r="D873" s="7">
        <f>IF(ISBLANK('Raw sheet'!D873),AVERAGE('Raw sheet'!$D$2:'Raw sheet'!$D$1500),'Raw sheet'!D873)</f>
        <v>28357</v>
      </c>
      <c r="E873" s="7" t="str">
        <f>IF(Table1[[#This Row],[Family_Income]]&gt;=100000,"Upper",IF(D873&gt;=50000,"Middle","Lower"))</f>
        <v>Lower</v>
      </c>
      <c r="F873" s="2" t="s">
        <v>4</v>
      </c>
      <c r="G873" s="3">
        <f>IF(ISBLANK('Raw sheet'!F873),AVERAGE('Raw sheet'!$F$2:'Raw sheet'!$F$1500),'Raw sheet'!F873)</f>
        <v>5.97</v>
      </c>
      <c r="H873" s="18">
        <v>80.8</v>
      </c>
      <c r="I873" s="9" t="str">
        <f t="shared" si="26"/>
        <v>Good</v>
      </c>
      <c r="J873" s="2">
        <v>1</v>
      </c>
      <c r="K873" s="2">
        <v>26.1</v>
      </c>
      <c r="L873" s="2" t="s">
        <v>3</v>
      </c>
      <c r="M873" s="2" t="s">
        <v>3</v>
      </c>
      <c r="N873" s="5">
        <f>IF(ISBLANK('Raw sheet'!L873),AVERAGE('Raw sheet'!$L$2:'Raw sheet'!$L$1500),'Raw sheet'!L873)</f>
        <v>9.3000000000000007</v>
      </c>
      <c r="O873" s="5" t="str">
        <f>IF(Table1[[#This Row],[Stress_Index]]&gt;=8,"High",IF(N873&gt;=5,"Medium","Low"))</f>
        <v>High</v>
      </c>
      <c r="P873" s="3">
        <v>1.55</v>
      </c>
      <c r="Q873" s="2">
        <v>1.62</v>
      </c>
      <c r="R873" s="3">
        <v>1.62</v>
      </c>
      <c r="S873" s="3" t="str">
        <f>IF(Table1[[#This Row],[CGPA]]&gt;=3,"High",IF(R872&gt;=2,"Medium","Low"))</f>
        <v>Medium</v>
      </c>
      <c r="T873" s="2" t="s">
        <v>2</v>
      </c>
      <c r="U873" s="2" t="s">
        <v>14</v>
      </c>
      <c r="V873" s="2" t="s">
        <v>9</v>
      </c>
      <c r="W873" s="7">
        <v>1</v>
      </c>
      <c r="X873" t="str">
        <f t="shared" si="27"/>
        <v>Dropped Out</v>
      </c>
    </row>
    <row r="874" spans="1:24" x14ac:dyDescent="0.3">
      <c r="A874" s="2">
        <v>873</v>
      </c>
      <c r="B874" s="7">
        <v>18</v>
      </c>
      <c r="C874" s="2" t="s">
        <v>5</v>
      </c>
      <c r="D874" s="7">
        <f>IF(ISBLANK('Raw sheet'!D874),AVERAGE('Raw sheet'!$D$2:'Raw sheet'!$D$1500),'Raw sheet'!D874)</f>
        <v>25000</v>
      </c>
      <c r="E874" s="7" t="str">
        <f>IF(Table1[[#This Row],[Family_Income]]&gt;=100000,"Upper",IF(D874&gt;=50000,"Middle","Lower"))</f>
        <v>Lower</v>
      </c>
      <c r="F874" s="2" t="s">
        <v>4</v>
      </c>
      <c r="G874" s="3">
        <f>IF(ISBLANK('Raw sheet'!F874),AVERAGE('Raw sheet'!$F$2:'Raw sheet'!$F$1500),'Raw sheet'!F874)</f>
        <v>4.75</v>
      </c>
      <c r="H874" s="18">
        <v>88.4</v>
      </c>
      <c r="I874" s="9" t="str">
        <f t="shared" si="26"/>
        <v>Good</v>
      </c>
      <c r="J874" s="2">
        <v>0</v>
      </c>
      <c r="K874" s="2">
        <v>29.6</v>
      </c>
      <c r="L874" s="2" t="s">
        <v>3</v>
      </c>
      <c r="M874" s="2" t="s">
        <v>3</v>
      </c>
      <c r="N874" s="5">
        <f>IF(ISBLANK('Raw sheet'!L874),AVERAGE('Raw sheet'!$L$2:'Raw sheet'!$L$1500),'Raw sheet'!L874)</f>
        <v>6.2</v>
      </c>
      <c r="O874" s="5" t="str">
        <f>IF(Table1[[#This Row],[Stress_Index]]&gt;=8,"High",IF(N874&gt;=5,"Medium","Low"))</f>
        <v>Medium</v>
      </c>
      <c r="P874" s="3">
        <v>2.58</v>
      </c>
      <c r="Q874" s="2">
        <v>2.25</v>
      </c>
      <c r="R874" s="3">
        <v>2.21</v>
      </c>
      <c r="S874" s="3" t="str">
        <f>IF(Table1[[#This Row],[CGPA]]&gt;=3,"High",IF(R873&gt;=2,"Medium","Low"))</f>
        <v>Low</v>
      </c>
      <c r="T874" s="2" t="s">
        <v>12</v>
      </c>
      <c r="U874" s="2" t="s">
        <v>6</v>
      </c>
      <c r="V874" s="2" t="s">
        <v>15</v>
      </c>
      <c r="W874" s="7">
        <v>0</v>
      </c>
      <c r="X874" t="str">
        <f t="shared" si="27"/>
        <v>Active</v>
      </c>
    </row>
    <row r="875" spans="1:24" x14ac:dyDescent="0.3">
      <c r="A875" s="2">
        <v>874</v>
      </c>
      <c r="B875" s="7">
        <v>19.399999999999999</v>
      </c>
      <c r="C875" s="2" t="s">
        <v>11</v>
      </c>
      <c r="D875" s="7">
        <f>IF(ISBLANK('Raw sheet'!D875),AVERAGE('Raw sheet'!$D$2:'Raw sheet'!$D$1500),'Raw sheet'!D875)</f>
        <v>26975</v>
      </c>
      <c r="E875" s="7" t="str">
        <f>IF(Table1[[#This Row],[Family_Income]]&gt;=100000,"Upper",IF(D875&gt;=50000,"Middle","Lower"))</f>
        <v>Lower</v>
      </c>
      <c r="F875" s="2" t="s">
        <v>3</v>
      </c>
      <c r="G875" s="3">
        <f>IF(ISBLANK('Raw sheet'!F875),AVERAGE('Raw sheet'!$F$2:'Raw sheet'!$F$1500),'Raw sheet'!F875)</f>
        <v>4.84</v>
      </c>
      <c r="H875" s="18">
        <v>99.8</v>
      </c>
      <c r="I875" s="9" t="str">
        <f t="shared" si="26"/>
        <v>Good</v>
      </c>
      <c r="J875" s="2">
        <v>0</v>
      </c>
      <c r="K875" s="2">
        <v>38.6</v>
      </c>
      <c r="L875" s="2" t="s">
        <v>3</v>
      </c>
      <c r="M875" s="2" t="s">
        <v>3</v>
      </c>
      <c r="N875" s="5">
        <f>IF(ISBLANK('Raw sheet'!L875),AVERAGE('Raw sheet'!$L$2:'Raw sheet'!$L$1500),'Raw sheet'!L875)</f>
        <v>6.6</v>
      </c>
      <c r="O875" s="5" t="str">
        <f>IF(Table1[[#This Row],[Stress_Index]]&gt;=8,"High",IF(N875&gt;=5,"Medium","Low"))</f>
        <v>Medium</v>
      </c>
      <c r="P875" s="3">
        <v>3.79</v>
      </c>
      <c r="Q875" s="2">
        <v>3.09</v>
      </c>
      <c r="R875" s="3">
        <v>3.09</v>
      </c>
      <c r="S875" s="3" t="str">
        <f>IF(Table1[[#This Row],[CGPA]]&gt;=3,"High",IF(R874&gt;=2,"Medium","Low"))</f>
        <v>High</v>
      </c>
      <c r="T875" s="2" t="s">
        <v>2</v>
      </c>
      <c r="U875" s="2" t="s">
        <v>14</v>
      </c>
      <c r="V875" s="2" t="s">
        <v>15</v>
      </c>
      <c r="W875" s="7">
        <v>0</v>
      </c>
      <c r="X875" t="str">
        <f t="shared" si="27"/>
        <v>Active</v>
      </c>
    </row>
    <row r="876" spans="1:24" x14ac:dyDescent="0.3">
      <c r="A876" s="2">
        <v>875</v>
      </c>
      <c r="B876" s="7">
        <v>20.9</v>
      </c>
      <c r="C876" s="2" t="s">
        <v>5</v>
      </c>
      <c r="D876" s="7">
        <f>IF(ISBLANK('Raw sheet'!D876),AVERAGE('Raw sheet'!$D$2:'Raw sheet'!$D$1500),'Raw sheet'!D876)</f>
        <v>25000</v>
      </c>
      <c r="E876" s="7" t="str">
        <f>IF(Table1[[#This Row],[Family_Income]]&gt;=100000,"Upper",IF(D876&gt;=50000,"Middle","Lower"))</f>
        <v>Lower</v>
      </c>
      <c r="F876" s="2" t="s">
        <v>4</v>
      </c>
      <c r="G876" s="3">
        <f>IF(ISBLANK('Raw sheet'!F876),AVERAGE('Raw sheet'!$F$2:'Raw sheet'!$F$1500),'Raw sheet'!F876)</f>
        <v>3.32</v>
      </c>
      <c r="H876" s="18">
        <v>91.7</v>
      </c>
      <c r="I876" s="9" t="str">
        <f t="shared" si="26"/>
        <v>Good</v>
      </c>
      <c r="J876" s="2">
        <v>2</v>
      </c>
      <c r="K876" s="2">
        <v>33.200000000000003</v>
      </c>
      <c r="L876" s="2" t="s">
        <v>3</v>
      </c>
      <c r="M876" s="2" t="s">
        <v>3</v>
      </c>
      <c r="N876" s="5">
        <f>IF(ISBLANK('Raw sheet'!L876),AVERAGE('Raw sheet'!$L$2:'Raw sheet'!$L$1500),'Raw sheet'!L876)</f>
        <v>2.9</v>
      </c>
      <c r="O876" s="5" t="str">
        <f>IF(Table1[[#This Row],[Stress_Index]]&gt;=8,"High",IF(N876&gt;=5,"Medium","Low"))</f>
        <v>Low</v>
      </c>
      <c r="P876" s="3">
        <v>2.2200000000000002</v>
      </c>
      <c r="Q876" s="2">
        <v>1.95</v>
      </c>
      <c r="R876" s="3">
        <v>1.95</v>
      </c>
      <c r="S876" s="3" t="str">
        <f>IF(Table1[[#This Row],[CGPA]]&gt;=3,"High",IF(R875&gt;=2,"Medium","Low"))</f>
        <v>Medium</v>
      </c>
      <c r="T876" s="2" t="s">
        <v>2</v>
      </c>
      <c r="U876" s="2" t="s">
        <v>1</v>
      </c>
      <c r="V876" s="2" t="s">
        <v>15</v>
      </c>
      <c r="W876" s="7">
        <v>0</v>
      </c>
      <c r="X876" t="str">
        <f t="shared" si="27"/>
        <v>Active</v>
      </c>
    </row>
    <row r="877" spans="1:24" x14ac:dyDescent="0.3">
      <c r="A877" s="2">
        <v>876</v>
      </c>
      <c r="B877" s="7">
        <v>24.9</v>
      </c>
      <c r="C877" s="2" t="s">
        <v>11</v>
      </c>
      <c r="D877" s="7">
        <f>IF(ISBLANK('Raw sheet'!D877),AVERAGE('Raw sheet'!$D$2:'Raw sheet'!$D$1500),'Raw sheet'!D877)</f>
        <v>25000</v>
      </c>
      <c r="E877" s="7" t="str">
        <f>IF(Table1[[#This Row],[Family_Income]]&gt;=100000,"Upper",IF(D877&gt;=50000,"Middle","Lower"))</f>
        <v>Lower</v>
      </c>
      <c r="F877" s="2" t="s">
        <v>4</v>
      </c>
      <c r="G877" s="3">
        <f>IF(ISBLANK('Raw sheet'!F877),AVERAGE('Raw sheet'!$F$2:'Raw sheet'!$F$1500),'Raw sheet'!F877)</f>
        <v>4.63</v>
      </c>
      <c r="H877" s="18">
        <v>84.3</v>
      </c>
      <c r="I877" s="9" t="str">
        <f t="shared" si="26"/>
        <v>Good</v>
      </c>
      <c r="J877" s="2">
        <v>0</v>
      </c>
      <c r="K877" s="2">
        <v>25.3</v>
      </c>
      <c r="L877" s="2" t="s">
        <v>3</v>
      </c>
      <c r="M877" s="2" t="s">
        <v>4</v>
      </c>
      <c r="N877" s="5">
        <f>IF(ISBLANK('Raw sheet'!L877),AVERAGE('Raw sheet'!$L$2:'Raw sheet'!$L$1500),'Raw sheet'!L877)</f>
        <v>4.9000000000000004</v>
      </c>
      <c r="O877" s="5" t="str">
        <f>IF(Table1[[#This Row],[Stress_Index]]&gt;=8,"High",IF(N877&gt;=5,"Medium","Low"))</f>
        <v>Low</v>
      </c>
      <c r="P877" s="3">
        <v>1.92</v>
      </c>
      <c r="Q877" s="2">
        <v>2.06</v>
      </c>
      <c r="R877" s="3">
        <v>2.09</v>
      </c>
      <c r="S877" s="3" t="str">
        <f>IF(Table1[[#This Row],[CGPA]]&gt;=3,"High",IF(R876&gt;=2,"Medium","Low"))</f>
        <v>Low</v>
      </c>
      <c r="T877" s="2" t="s">
        <v>7</v>
      </c>
      <c r="U877" s="2" t="s">
        <v>13</v>
      </c>
      <c r="V877" s="2" t="s">
        <v>9</v>
      </c>
      <c r="W877" s="7">
        <v>0</v>
      </c>
      <c r="X877" t="str">
        <f t="shared" si="27"/>
        <v>Active</v>
      </c>
    </row>
    <row r="878" spans="1:24" x14ac:dyDescent="0.3">
      <c r="A878" s="2">
        <v>877</v>
      </c>
      <c r="B878" s="7">
        <v>19.899999999999999</v>
      </c>
      <c r="C878" s="2" t="s">
        <v>5</v>
      </c>
      <c r="D878" s="7">
        <f>IF(ISBLANK('Raw sheet'!D878),AVERAGE('Raw sheet'!$D$2:'Raw sheet'!$D$1500),'Raw sheet'!D878)</f>
        <v>47356</v>
      </c>
      <c r="E878" s="7" t="str">
        <f>IF(Table1[[#This Row],[Family_Income]]&gt;=100000,"Upper",IF(D878&gt;=50000,"Middle","Lower"))</f>
        <v>Lower</v>
      </c>
      <c r="F878" s="2" t="s">
        <v>4</v>
      </c>
      <c r="G878" s="3">
        <f>IF(ISBLANK('Raw sheet'!F878),AVERAGE('Raw sheet'!$F$2:'Raw sheet'!$F$1500),'Raw sheet'!F878)</f>
        <v>3.02</v>
      </c>
      <c r="H878" s="18">
        <v>82.6</v>
      </c>
      <c r="I878" s="9" t="str">
        <f t="shared" si="26"/>
        <v>Good</v>
      </c>
      <c r="J878" s="2">
        <v>0</v>
      </c>
      <c r="K878" s="2">
        <v>32.799999999999997</v>
      </c>
      <c r="L878" s="2" t="s">
        <v>4</v>
      </c>
      <c r="M878" s="2" t="s">
        <v>3</v>
      </c>
      <c r="N878" s="5">
        <f>IF(ISBLANK('Raw sheet'!L878),AVERAGE('Raw sheet'!$L$2:'Raw sheet'!$L$1500),'Raw sheet'!L878)</f>
        <v>3.6</v>
      </c>
      <c r="O878" s="5" t="str">
        <f>IF(Table1[[#This Row],[Stress_Index]]&gt;=8,"High",IF(N878&gt;=5,"Medium","Low"))</f>
        <v>Low</v>
      </c>
      <c r="P878" s="3">
        <v>1.64</v>
      </c>
      <c r="Q878" s="2">
        <v>1.26</v>
      </c>
      <c r="R878" s="3">
        <v>1.28</v>
      </c>
      <c r="S878" s="3" t="str">
        <f>IF(Table1[[#This Row],[CGPA]]&gt;=3,"High",IF(R877&gt;=2,"Medium","Low"))</f>
        <v>Medium</v>
      </c>
      <c r="T878" s="2" t="s">
        <v>7</v>
      </c>
      <c r="U878" s="2" t="s">
        <v>8</v>
      </c>
      <c r="V878" s="2" t="s">
        <v>15</v>
      </c>
      <c r="W878" s="7">
        <v>1</v>
      </c>
      <c r="X878" t="str">
        <f t="shared" si="27"/>
        <v>Dropped Out</v>
      </c>
    </row>
    <row r="879" spans="1:24" x14ac:dyDescent="0.3">
      <c r="A879" s="2">
        <v>878</v>
      </c>
      <c r="B879" s="7">
        <v>21.5</v>
      </c>
      <c r="C879" s="2" t="s">
        <v>11</v>
      </c>
      <c r="D879" s="7">
        <f>IF(ISBLANK('Raw sheet'!D879),AVERAGE('Raw sheet'!$D$2:'Raw sheet'!$D$1500),'Raw sheet'!D879)</f>
        <v>25000</v>
      </c>
      <c r="E879" s="7" t="str">
        <f>IF(Table1[[#This Row],[Family_Income]]&gt;=100000,"Upper",IF(D879&gt;=50000,"Middle","Lower"))</f>
        <v>Lower</v>
      </c>
      <c r="F879" s="2" t="s">
        <v>4</v>
      </c>
      <c r="G879" s="3">
        <f>IF(ISBLANK('Raw sheet'!F879),AVERAGE('Raw sheet'!$F$2:'Raw sheet'!$F$1500),'Raw sheet'!F879)</f>
        <v>3.25</v>
      </c>
      <c r="H879" s="18">
        <v>78.7</v>
      </c>
      <c r="I879" s="9" t="str">
        <f t="shared" si="26"/>
        <v>Good</v>
      </c>
      <c r="J879" s="2">
        <v>1</v>
      </c>
      <c r="K879" s="2">
        <v>32</v>
      </c>
      <c r="L879" s="2" t="s">
        <v>3</v>
      </c>
      <c r="M879" s="2" t="s">
        <v>3</v>
      </c>
      <c r="N879" s="5">
        <f>IF(ISBLANK('Raw sheet'!L879),AVERAGE('Raw sheet'!$L$2:'Raw sheet'!$L$1500),'Raw sheet'!L879)</f>
        <v>6.6</v>
      </c>
      <c r="O879" s="5" t="str">
        <f>IF(Table1[[#This Row],[Stress_Index]]&gt;=8,"High",IF(N879&gt;=5,"Medium","Low"))</f>
        <v>Medium</v>
      </c>
      <c r="P879" s="3">
        <v>1.93</v>
      </c>
      <c r="Q879" s="2">
        <v>2.88</v>
      </c>
      <c r="R879" s="3">
        <v>2.88</v>
      </c>
      <c r="S879" s="3" t="str">
        <f>IF(Table1[[#This Row],[CGPA]]&gt;=3,"High",IF(R878&gt;=2,"Medium","Low"))</f>
        <v>Low</v>
      </c>
      <c r="T879" s="2" t="s">
        <v>2</v>
      </c>
      <c r="U879" s="2" t="s">
        <v>8</v>
      </c>
      <c r="V879" s="2" t="s">
        <v>0</v>
      </c>
      <c r="W879" s="7">
        <v>0</v>
      </c>
      <c r="X879" t="str">
        <f t="shared" si="27"/>
        <v>Active</v>
      </c>
    </row>
    <row r="880" spans="1:24" x14ac:dyDescent="0.3">
      <c r="A880" s="2">
        <v>879</v>
      </c>
      <c r="B880" s="7">
        <v>21</v>
      </c>
      <c r="C880" s="2" t="s">
        <v>11</v>
      </c>
      <c r="D880" s="7">
        <f>IF(ISBLANK('Raw sheet'!D880),AVERAGE('Raw sheet'!$D$2:'Raw sheet'!$D$1500),'Raw sheet'!D880)</f>
        <v>25000</v>
      </c>
      <c r="E880" s="7" t="str">
        <f>IF(Table1[[#This Row],[Family_Income]]&gt;=100000,"Upper",IF(D880&gt;=50000,"Middle","Lower"))</f>
        <v>Lower</v>
      </c>
      <c r="F880" s="2" t="s">
        <v>4</v>
      </c>
      <c r="G880" s="3">
        <f>IF(ISBLANK('Raw sheet'!F880),AVERAGE('Raw sheet'!$F$2:'Raw sheet'!$F$1500),'Raw sheet'!F880)</f>
        <v>3.95</v>
      </c>
      <c r="H880" s="18">
        <v>63.4</v>
      </c>
      <c r="I880" s="9" t="str">
        <f t="shared" si="26"/>
        <v>Low</v>
      </c>
      <c r="J880" s="2">
        <v>0</v>
      </c>
      <c r="K880" s="2">
        <v>27</v>
      </c>
      <c r="L880" s="2" t="s">
        <v>4</v>
      </c>
      <c r="M880" s="2" t="s">
        <v>3</v>
      </c>
      <c r="N880" s="5">
        <f>IF(ISBLANK('Raw sheet'!L880),AVERAGE('Raw sheet'!$L$2:'Raw sheet'!$L$1500),'Raw sheet'!L880)</f>
        <v>5.6</v>
      </c>
      <c r="O880" s="5" t="str">
        <f>IF(Table1[[#This Row],[Stress_Index]]&gt;=8,"High",IF(N880&gt;=5,"Medium","Low"))</f>
        <v>Medium</v>
      </c>
      <c r="P880" s="3">
        <v>1.88</v>
      </c>
      <c r="Q880" s="2">
        <v>1.74</v>
      </c>
      <c r="R880" s="3">
        <v>1.68</v>
      </c>
      <c r="S880" s="3" t="str">
        <f>IF(Table1[[#This Row],[CGPA]]&gt;=3,"High",IF(R879&gt;=2,"Medium","Low"))</f>
        <v>Medium</v>
      </c>
      <c r="T880" s="2" t="s">
        <v>12</v>
      </c>
      <c r="U880" s="2" t="s">
        <v>13</v>
      </c>
      <c r="V880" s="2" t="s">
        <v>9</v>
      </c>
      <c r="W880" s="7">
        <v>0</v>
      </c>
      <c r="X880" t="str">
        <f t="shared" si="27"/>
        <v>Active</v>
      </c>
    </row>
    <row r="881" spans="1:24" x14ac:dyDescent="0.3">
      <c r="A881" s="2">
        <v>880</v>
      </c>
      <c r="B881" s="7">
        <v>23.6</v>
      </c>
      <c r="C881" s="2" t="s">
        <v>11</v>
      </c>
      <c r="D881" s="7">
        <f>IF(ISBLANK('Raw sheet'!D881),AVERAGE('Raw sheet'!$D$2:'Raw sheet'!$D$1500),'Raw sheet'!D881)</f>
        <v>54677</v>
      </c>
      <c r="E881" s="7" t="str">
        <f>IF(Table1[[#This Row],[Family_Income]]&gt;=100000,"Upper",IF(D881&gt;=50000,"Middle","Lower"))</f>
        <v>Middle</v>
      </c>
      <c r="F881" s="2" t="s">
        <v>3</v>
      </c>
      <c r="G881" s="3">
        <f>IF(ISBLANK('Raw sheet'!F881),AVERAGE('Raw sheet'!$F$2:'Raw sheet'!$F$1500),'Raw sheet'!F881)</f>
        <v>4.05</v>
      </c>
      <c r="H881" s="18">
        <v>82.4</v>
      </c>
      <c r="I881" s="9" t="str">
        <f t="shared" si="26"/>
        <v>Good</v>
      </c>
      <c r="J881" s="2">
        <v>0</v>
      </c>
      <c r="K881" s="2">
        <v>31.4</v>
      </c>
      <c r="L881" s="2" t="s">
        <v>3</v>
      </c>
      <c r="M881" s="2" t="s">
        <v>4</v>
      </c>
      <c r="N881" s="5">
        <f>IF(ISBLANK('Raw sheet'!L881),AVERAGE('Raw sheet'!$L$2:'Raw sheet'!$L$1500),'Raw sheet'!L881)</f>
        <v>4.9000000000000004</v>
      </c>
      <c r="O881" s="5" t="str">
        <f>IF(Table1[[#This Row],[Stress_Index]]&gt;=8,"High",IF(N881&gt;=5,"Medium","Low"))</f>
        <v>Low</v>
      </c>
      <c r="P881" s="3">
        <v>2.16</v>
      </c>
      <c r="Q881" s="2">
        <v>2.31</v>
      </c>
      <c r="R881" s="3">
        <v>2.4500000000000002</v>
      </c>
      <c r="S881" s="3" t="str">
        <f>IF(Table1[[#This Row],[CGPA]]&gt;=3,"High",IF(R880&gt;=2,"Medium","Low"))</f>
        <v>Low</v>
      </c>
      <c r="T881" s="2" t="s">
        <v>7</v>
      </c>
      <c r="U881" s="2" t="s">
        <v>14</v>
      </c>
      <c r="V881" s="2" t="s">
        <v>15</v>
      </c>
      <c r="W881" s="7">
        <v>0</v>
      </c>
      <c r="X881" t="str">
        <f t="shared" si="27"/>
        <v>Active</v>
      </c>
    </row>
    <row r="882" spans="1:24" x14ac:dyDescent="0.3">
      <c r="A882" s="2">
        <v>881</v>
      </c>
      <c r="B882" s="7">
        <v>26.6</v>
      </c>
      <c r="C882" s="2" t="s">
        <v>11</v>
      </c>
      <c r="D882" s="7">
        <f>IF(ISBLANK('Raw sheet'!D882),AVERAGE('Raw sheet'!$D$2:'Raw sheet'!$D$1500),'Raw sheet'!D882)</f>
        <v>25000</v>
      </c>
      <c r="E882" s="7" t="str">
        <f>IF(Table1[[#This Row],[Family_Income]]&gt;=100000,"Upper",IF(D882&gt;=50000,"Middle","Lower"))</f>
        <v>Lower</v>
      </c>
      <c r="F882" s="2" t="s">
        <v>4</v>
      </c>
      <c r="G882" s="3">
        <f>IF(ISBLANK('Raw sheet'!F882),AVERAGE('Raw sheet'!$F$2:'Raw sheet'!$F$1500),'Raw sheet'!F882)</f>
        <v>6.33</v>
      </c>
      <c r="H882" s="18">
        <v>77.900000000000006</v>
      </c>
      <c r="I882" s="9" t="str">
        <f t="shared" si="26"/>
        <v>Good</v>
      </c>
      <c r="J882" s="2">
        <v>1</v>
      </c>
      <c r="K882" s="2">
        <v>5</v>
      </c>
      <c r="L882" s="2" t="s">
        <v>4</v>
      </c>
      <c r="M882" s="2" t="s">
        <v>4</v>
      </c>
      <c r="N882" s="5">
        <f>IF(ISBLANK('Raw sheet'!L882),AVERAGE('Raw sheet'!$L$2:'Raw sheet'!$L$1500),'Raw sheet'!L882)</f>
        <v>7.2</v>
      </c>
      <c r="O882" s="5" t="str">
        <f>IF(Table1[[#This Row],[Stress_Index]]&gt;=8,"High",IF(N882&gt;=5,"Medium","Low"))</f>
        <v>Medium</v>
      </c>
      <c r="P882" s="3">
        <v>2.98</v>
      </c>
      <c r="Q882" s="2">
        <v>3.32</v>
      </c>
      <c r="R882" s="3">
        <v>3.28</v>
      </c>
      <c r="S882" s="3" t="str">
        <f>IF(Table1[[#This Row],[CGPA]]&gt;=3,"High",IF(R881&gt;=2,"Medium","Low"))</f>
        <v>High</v>
      </c>
      <c r="T882" s="2" t="s">
        <v>10</v>
      </c>
      <c r="U882" s="2" t="s">
        <v>13</v>
      </c>
      <c r="V882" s="2" t="s">
        <v>15</v>
      </c>
      <c r="W882" s="7">
        <v>0</v>
      </c>
      <c r="X882" t="str">
        <f t="shared" si="27"/>
        <v>Active</v>
      </c>
    </row>
    <row r="883" spans="1:24" x14ac:dyDescent="0.3">
      <c r="A883" s="2">
        <v>882</v>
      </c>
      <c r="B883" s="7">
        <v>19.8</v>
      </c>
      <c r="C883" s="2" t="s">
        <v>5</v>
      </c>
      <c r="D883" s="7">
        <f>IF(ISBLANK('Raw sheet'!D883),AVERAGE('Raw sheet'!$D$2:'Raw sheet'!$D$1500),'Raw sheet'!D883)</f>
        <v>48886</v>
      </c>
      <c r="E883" s="7" t="str">
        <f>IF(Table1[[#This Row],[Family_Income]]&gt;=100000,"Upper",IF(D883&gt;=50000,"Middle","Lower"))</f>
        <v>Lower</v>
      </c>
      <c r="F883" s="2" t="s">
        <v>4</v>
      </c>
      <c r="G883" s="3">
        <f>IF(ISBLANK('Raw sheet'!F883),AVERAGE('Raw sheet'!$F$2:'Raw sheet'!$F$1500),'Raw sheet'!F883)</f>
        <v>5.13</v>
      </c>
      <c r="H883" s="18">
        <v>84.6</v>
      </c>
      <c r="I883" s="9" t="str">
        <f t="shared" si="26"/>
        <v>Good</v>
      </c>
      <c r="J883" s="2">
        <v>2</v>
      </c>
      <c r="K883" s="2">
        <v>41.2</v>
      </c>
      <c r="L883" s="2" t="s">
        <v>4</v>
      </c>
      <c r="M883" s="2" t="s">
        <v>3</v>
      </c>
      <c r="N883" s="5">
        <f>IF(ISBLANK('Raw sheet'!L883),AVERAGE('Raw sheet'!$L$2:'Raw sheet'!$L$1500),'Raw sheet'!L883)</f>
        <v>5</v>
      </c>
      <c r="O883" s="5" t="str">
        <f>IF(Table1[[#This Row],[Stress_Index]]&gt;=8,"High",IF(N883&gt;=5,"Medium","Low"))</f>
        <v>Medium</v>
      </c>
      <c r="P883" s="3">
        <v>2.48</v>
      </c>
      <c r="Q883" s="2">
        <v>2.0699999999999998</v>
      </c>
      <c r="R883" s="3">
        <v>2.06</v>
      </c>
      <c r="S883" s="3" t="str">
        <f>IF(Table1[[#This Row],[CGPA]]&gt;=3,"High",IF(R882&gt;=2,"Medium","Low"))</f>
        <v>Medium</v>
      </c>
      <c r="T883" s="2" t="s">
        <v>7</v>
      </c>
      <c r="U883" s="2" t="s">
        <v>1</v>
      </c>
      <c r="V883" s="2" t="s">
        <v>0</v>
      </c>
      <c r="W883" s="7">
        <v>0</v>
      </c>
      <c r="X883" t="str">
        <f t="shared" si="27"/>
        <v>Active</v>
      </c>
    </row>
    <row r="884" spans="1:24" x14ac:dyDescent="0.3">
      <c r="A884" s="2">
        <v>883</v>
      </c>
      <c r="B884" s="7">
        <v>19.899999999999999</v>
      </c>
      <c r="C884" s="2" t="s">
        <v>5</v>
      </c>
      <c r="D884" s="7">
        <f>IF(ISBLANK('Raw sheet'!D884),AVERAGE('Raw sheet'!$D$2:'Raw sheet'!$D$1500),'Raw sheet'!D884)</f>
        <v>25000</v>
      </c>
      <c r="E884" s="7" t="str">
        <f>IF(Table1[[#This Row],[Family_Income]]&gt;=100000,"Upper",IF(D884&gt;=50000,"Middle","Lower"))</f>
        <v>Lower</v>
      </c>
      <c r="F884" s="2" t="s">
        <v>4</v>
      </c>
      <c r="G884" s="3">
        <f>IF(ISBLANK('Raw sheet'!F884),AVERAGE('Raw sheet'!$F$2:'Raw sheet'!$F$1500),'Raw sheet'!F884)</f>
        <v>4.1500000000000004</v>
      </c>
      <c r="H884" s="18">
        <v>77.900000000000006</v>
      </c>
      <c r="I884" s="9" t="str">
        <f t="shared" si="26"/>
        <v>Good</v>
      </c>
      <c r="J884" s="2">
        <v>4</v>
      </c>
      <c r="K884" s="2">
        <v>36.6</v>
      </c>
      <c r="L884" s="2" t="s">
        <v>3</v>
      </c>
      <c r="M884" s="2" t="s">
        <v>3</v>
      </c>
      <c r="N884" s="5">
        <f>IF(ISBLANK('Raw sheet'!L884),AVERAGE('Raw sheet'!$L$2:'Raw sheet'!$L$1500),'Raw sheet'!L884)</f>
        <v>7.9</v>
      </c>
      <c r="O884" s="5" t="str">
        <f>IF(Table1[[#This Row],[Stress_Index]]&gt;=8,"High",IF(N884&gt;=5,"Medium","Low"))</f>
        <v>Medium</v>
      </c>
      <c r="P884" s="3">
        <v>0.28999999999999998</v>
      </c>
      <c r="Q884" s="2">
        <v>0.15</v>
      </c>
      <c r="R884" s="3">
        <v>0.21</v>
      </c>
      <c r="S884" s="3" t="str">
        <f>IF(Table1[[#This Row],[CGPA]]&gt;=3,"High",IF(R883&gt;=2,"Medium","Low"))</f>
        <v>Medium</v>
      </c>
      <c r="T884" s="2" t="s">
        <v>12</v>
      </c>
      <c r="U884" s="2" t="s">
        <v>8</v>
      </c>
      <c r="V884" s="2" t="s">
        <v>9</v>
      </c>
      <c r="W884" s="7">
        <v>1</v>
      </c>
      <c r="X884" t="str">
        <f t="shared" si="27"/>
        <v>Dropped Out</v>
      </c>
    </row>
    <row r="885" spans="1:24" x14ac:dyDescent="0.3">
      <c r="A885" s="2">
        <v>884</v>
      </c>
      <c r="B885" s="7">
        <v>23.3</v>
      </c>
      <c r="C885" s="2" t="s">
        <v>11</v>
      </c>
      <c r="D885" s="7">
        <f>IF(ISBLANK('Raw sheet'!D885),AVERAGE('Raw sheet'!$D$2:'Raw sheet'!$D$1500),'Raw sheet'!D885)</f>
        <v>25000</v>
      </c>
      <c r="E885" s="7" t="str">
        <f>IF(Table1[[#This Row],[Family_Income]]&gt;=100000,"Upper",IF(D885&gt;=50000,"Middle","Lower"))</f>
        <v>Lower</v>
      </c>
      <c r="F885" s="2" t="s">
        <v>4</v>
      </c>
      <c r="G885" s="3">
        <f>IF(ISBLANK('Raw sheet'!F885),AVERAGE('Raw sheet'!$F$2:'Raw sheet'!$F$1500),'Raw sheet'!F885)</f>
        <v>6.22</v>
      </c>
      <c r="H885" s="18">
        <v>83.8</v>
      </c>
      <c r="I885" s="9" t="str">
        <f t="shared" si="26"/>
        <v>Good</v>
      </c>
      <c r="J885" s="2">
        <v>1</v>
      </c>
      <c r="K885" s="2">
        <v>48</v>
      </c>
      <c r="L885" s="2" t="s">
        <v>4</v>
      </c>
      <c r="M885" s="2" t="s">
        <v>3</v>
      </c>
      <c r="N885" s="5">
        <f>IF(ISBLANK('Raw sheet'!L885),AVERAGE('Raw sheet'!$L$2:'Raw sheet'!$L$1500),'Raw sheet'!L885)</f>
        <v>7.9</v>
      </c>
      <c r="O885" s="5" t="str">
        <f>IF(Table1[[#This Row],[Stress_Index]]&gt;=8,"High",IF(N885&gt;=5,"Medium","Low"))</f>
        <v>Medium</v>
      </c>
      <c r="P885" s="3">
        <v>1.83</v>
      </c>
      <c r="Q885" s="2">
        <v>1.57</v>
      </c>
      <c r="R885" s="3">
        <v>1.64</v>
      </c>
      <c r="S885" s="3" t="str">
        <f>IF(Table1[[#This Row],[CGPA]]&gt;=3,"High",IF(R884&gt;=2,"Medium","Low"))</f>
        <v>Low</v>
      </c>
      <c r="T885" s="2" t="s">
        <v>7</v>
      </c>
      <c r="U885" s="2" t="s">
        <v>14</v>
      </c>
      <c r="V885" s="2" t="s">
        <v>9</v>
      </c>
      <c r="W885" s="7">
        <v>0</v>
      </c>
      <c r="X885" t="str">
        <f t="shared" si="27"/>
        <v>Active</v>
      </c>
    </row>
    <row r="886" spans="1:24" x14ac:dyDescent="0.3">
      <c r="A886" s="2">
        <v>885</v>
      </c>
      <c r="B886" s="7">
        <v>22.5</v>
      </c>
      <c r="C886" s="2" t="s">
        <v>11</v>
      </c>
      <c r="D886" s="7">
        <f>IF(ISBLANK('Raw sheet'!D886),AVERAGE('Raw sheet'!$D$2:'Raw sheet'!$D$1500),'Raw sheet'!D886)</f>
        <v>25000</v>
      </c>
      <c r="E886" s="7" t="str">
        <f>IF(Table1[[#This Row],[Family_Income]]&gt;=100000,"Upper",IF(D886&gt;=50000,"Middle","Lower"))</f>
        <v>Lower</v>
      </c>
      <c r="F886" s="2" t="s">
        <v>4</v>
      </c>
      <c r="G886" s="3">
        <f>IF(ISBLANK('Raw sheet'!F886),AVERAGE('Raw sheet'!$F$2:'Raw sheet'!$F$1500),'Raw sheet'!F886)</f>
        <v>7.12</v>
      </c>
      <c r="H886" s="18">
        <v>92</v>
      </c>
      <c r="I886" s="9" t="str">
        <f t="shared" si="26"/>
        <v>Good</v>
      </c>
      <c r="J886" s="2">
        <v>0</v>
      </c>
      <c r="K886" s="2">
        <v>20.3</v>
      </c>
      <c r="L886" s="2" t="s">
        <v>4</v>
      </c>
      <c r="M886" s="2" t="s">
        <v>3</v>
      </c>
      <c r="N886" s="5">
        <f>IF(ISBLANK('Raw sheet'!L886),AVERAGE('Raw sheet'!$L$2:'Raw sheet'!$L$1500),'Raw sheet'!L886)</f>
        <v>4.4000000000000004</v>
      </c>
      <c r="O886" s="5" t="str">
        <f>IF(Table1[[#This Row],[Stress_Index]]&gt;=8,"High",IF(N886&gt;=5,"Medium","Low"))</f>
        <v>Low</v>
      </c>
      <c r="P886" s="3">
        <v>4</v>
      </c>
      <c r="Q886" s="2">
        <v>4</v>
      </c>
      <c r="R886" s="3">
        <v>4</v>
      </c>
      <c r="S886" s="3" t="str">
        <f>IF(Table1[[#This Row],[CGPA]]&gt;=3,"High",IF(R885&gt;=2,"Medium","Low"))</f>
        <v>High</v>
      </c>
      <c r="T886" s="2" t="s">
        <v>2</v>
      </c>
      <c r="U886" s="2" t="s">
        <v>13</v>
      </c>
      <c r="V886" s="2" t="s">
        <v>0</v>
      </c>
      <c r="W886" s="7">
        <v>0</v>
      </c>
      <c r="X886" t="str">
        <f t="shared" si="27"/>
        <v>Active</v>
      </c>
    </row>
    <row r="887" spans="1:24" x14ac:dyDescent="0.3">
      <c r="A887" s="2">
        <v>886</v>
      </c>
      <c r="B887" s="7">
        <v>25.1</v>
      </c>
      <c r="C887" s="2" t="s">
        <v>5</v>
      </c>
      <c r="D887" s="7">
        <f>IF(ISBLANK('Raw sheet'!D887),AVERAGE('Raw sheet'!$D$2:'Raw sheet'!$D$1500),'Raw sheet'!D887)</f>
        <v>65358</v>
      </c>
      <c r="E887" s="7" t="str">
        <f>IF(Table1[[#This Row],[Family_Income]]&gt;=100000,"Upper",IF(D887&gt;=50000,"Middle","Lower"))</f>
        <v>Middle</v>
      </c>
      <c r="F887" s="2" t="s">
        <v>4</v>
      </c>
      <c r="G887" s="3">
        <f>IF(ISBLANK('Raw sheet'!F887),AVERAGE('Raw sheet'!$F$2:'Raw sheet'!$F$1500),'Raw sheet'!F887)</f>
        <v>4.03</v>
      </c>
      <c r="H887" s="18">
        <v>83.3</v>
      </c>
      <c r="I887" s="9" t="str">
        <f t="shared" si="26"/>
        <v>Good</v>
      </c>
      <c r="J887" s="2">
        <v>0</v>
      </c>
      <c r="K887" s="2">
        <v>36.9</v>
      </c>
      <c r="L887" s="2" t="s">
        <v>4</v>
      </c>
      <c r="M887" s="2" t="s">
        <v>4</v>
      </c>
      <c r="N887" s="5">
        <f>IF(ISBLANK('Raw sheet'!L887),AVERAGE('Raw sheet'!$L$2:'Raw sheet'!$L$1500),'Raw sheet'!L887)</f>
        <v>7.5</v>
      </c>
      <c r="O887" s="5" t="str">
        <f>IF(Table1[[#This Row],[Stress_Index]]&gt;=8,"High",IF(N887&gt;=5,"Medium","Low"))</f>
        <v>Medium</v>
      </c>
      <c r="P887" s="3">
        <v>0.71</v>
      </c>
      <c r="Q887" s="2">
        <v>1.05</v>
      </c>
      <c r="R887" s="3">
        <v>1.05</v>
      </c>
      <c r="S887" s="3" t="str">
        <f>IF(Table1[[#This Row],[CGPA]]&gt;=3,"High",IF(R886&gt;=2,"Medium","Low"))</f>
        <v>Medium</v>
      </c>
      <c r="T887" s="2" t="s">
        <v>10</v>
      </c>
      <c r="U887" s="2" t="s">
        <v>14</v>
      </c>
      <c r="V887" s="2" t="s">
        <v>15</v>
      </c>
      <c r="W887" s="7">
        <v>1</v>
      </c>
      <c r="X887" t="str">
        <f t="shared" si="27"/>
        <v>Dropped Out</v>
      </c>
    </row>
    <row r="888" spans="1:24" x14ac:dyDescent="0.3">
      <c r="A888" s="2">
        <v>887</v>
      </c>
      <c r="B888" s="7">
        <v>22.3</v>
      </c>
      <c r="C888" s="2" t="s">
        <v>11</v>
      </c>
      <c r="D888" s="7">
        <f>IF(ISBLANK('Raw sheet'!D888),AVERAGE('Raw sheet'!$D$2:'Raw sheet'!$D$1500),'Raw sheet'!D888)</f>
        <v>25000</v>
      </c>
      <c r="E888" s="7" t="str">
        <f>IF(Table1[[#This Row],[Family_Income]]&gt;=100000,"Upper",IF(D888&gt;=50000,"Middle","Lower"))</f>
        <v>Lower</v>
      </c>
      <c r="F888" s="2" t="s">
        <v>4</v>
      </c>
      <c r="G888" s="3">
        <f>IF(ISBLANK('Raw sheet'!F888),AVERAGE('Raw sheet'!$F$2:'Raw sheet'!$F$1500),'Raw sheet'!F888)</f>
        <v>4.5</v>
      </c>
      <c r="H888" s="18">
        <v>73.3</v>
      </c>
      <c r="I888" s="9" t="str">
        <f t="shared" si="26"/>
        <v>Low</v>
      </c>
      <c r="J888" s="2">
        <v>2</v>
      </c>
      <c r="K888" s="2">
        <v>7.1</v>
      </c>
      <c r="L888" s="2" t="s">
        <v>4</v>
      </c>
      <c r="M888" s="2" t="s">
        <v>3</v>
      </c>
      <c r="N888" s="5">
        <f>IF(ISBLANK('Raw sheet'!L888),AVERAGE('Raw sheet'!$L$2:'Raw sheet'!$L$1500),'Raw sheet'!L888)</f>
        <v>5.7</v>
      </c>
      <c r="O888" s="5" t="str">
        <f>IF(Table1[[#This Row],[Stress_Index]]&gt;=8,"High",IF(N888&gt;=5,"Medium","Low"))</f>
        <v>Medium</v>
      </c>
      <c r="P888" s="3">
        <v>2.2000000000000002</v>
      </c>
      <c r="Q888" s="2">
        <v>2.16</v>
      </c>
      <c r="R888" s="3">
        <v>2.16</v>
      </c>
      <c r="S888" s="3" t="str">
        <f>IF(Table1[[#This Row],[CGPA]]&gt;=3,"High",IF(R887&gt;=2,"Medium","Low"))</f>
        <v>Low</v>
      </c>
      <c r="T888" s="2" t="s">
        <v>2</v>
      </c>
      <c r="U888" s="2" t="s">
        <v>8</v>
      </c>
      <c r="V888" s="2" t="s">
        <v>15</v>
      </c>
      <c r="W888" s="7">
        <v>0</v>
      </c>
      <c r="X888" t="str">
        <f t="shared" si="27"/>
        <v>Active</v>
      </c>
    </row>
    <row r="889" spans="1:24" x14ac:dyDescent="0.3">
      <c r="A889" s="2">
        <v>888</v>
      </c>
      <c r="B889" s="7">
        <v>20.2</v>
      </c>
      <c r="C889" s="2" t="s">
        <v>5</v>
      </c>
      <c r="D889" s="7">
        <f>IF(ISBLANK('Raw sheet'!D889),AVERAGE('Raw sheet'!$D$2:'Raw sheet'!$D$1500),'Raw sheet'!D889)</f>
        <v>46551</v>
      </c>
      <c r="E889" s="7" t="str">
        <f>IF(Table1[[#This Row],[Family_Income]]&gt;=100000,"Upper",IF(D889&gt;=50000,"Middle","Lower"))</f>
        <v>Lower</v>
      </c>
      <c r="F889" s="2" t="s">
        <v>4</v>
      </c>
      <c r="G889" s="3">
        <f>IF(ISBLANK('Raw sheet'!F889),AVERAGE('Raw sheet'!$F$2:'Raw sheet'!$F$1500),'Raw sheet'!F889)</f>
        <v>2.39</v>
      </c>
      <c r="H889" s="18">
        <v>75.400000000000006</v>
      </c>
      <c r="I889" s="9" t="str">
        <f t="shared" si="26"/>
        <v>Good</v>
      </c>
      <c r="J889" s="2">
        <v>1</v>
      </c>
      <c r="K889" s="2">
        <v>8.8000000000000007</v>
      </c>
      <c r="L889" s="2" t="s">
        <v>4</v>
      </c>
      <c r="M889" s="2" t="s">
        <v>3</v>
      </c>
      <c r="N889" s="5">
        <f>IF(ISBLANK('Raw sheet'!L889),AVERAGE('Raw sheet'!$L$2:'Raw sheet'!$L$1500),'Raw sheet'!L889)</f>
        <v>4.8</v>
      </c>
      <c r="O889" s="5" t="str">
        <f>IF(Table1[[#This Row],[Stress_Index]]&gt;=8,"High",IF(N889&gt;=5,"Medium","Low"))</f>
        <v>Low</v>
      </c>
      <c r="P889" s="3">
        <v>2.5299999999999998</v>
      </c>
      <c r="Q889" s="2">
        <v>2.4700000000000002</v>
      </c>
      <c r="R889" s="3">
        <v>2.5</v>
      </c>
      <c r="S889" s="3" t="str">
        <f>IF(Table1[[#This Row],[CGPA]]&gt;=3,"High",IF(R888&gt;=2,"Medium","Low"))</f>
        <v>Medium</v>
      </c>
      <c r="T889" s="2" t="s">
        <v>12</v>
      </c>
      <c r="U889" s="2" t="s">
        <v>8</v>
      </c>
      <c r="V889" s="2" t="s">
        <v>0</v>
      </c>
      <c r="W889" s="7">
        <v>0</v>
      </c>
      <c r="X889" t="str">
        <f t="shared" si="27"/>
        <v>Active</v>
      </c>
    </row>
    <row r="890" spans="1:24" x14ac:dyDescent="0.3">
      <c r="A890" s="2">
        <v>889</v>
      </c>
      <c r="B890" s="7">
        <v>22.3</v>
      </c>
      <c r="C890" s="2" t="s">
        <v>5</v>
      </c>
      <c r="D890" s="7">
        <f>IF(ISBLANK('Raw sheet'!D890),AVERAGE('Raw sheet'!$D$2:'Raw sheet'!$D$1500),'Raw sheet'!D890)</f>
        <v>25000</v>
      </c>
      <c r="E890" s="7" t="str">
        <f>IF(Table1[[#This Row],[Family_Income]]&gt;=100000,"Upper",IF(D890&gt;=50000,"Middle","Lower"))</f>
        <v>Lower</v>
      </c>
      <c r="F890" s="2" t="s">
        <v>4</v>
      </c>
      <c r="G890" s="3">
        <f>IF(ISBLANK('Raw sheet'!F890),AVERAGE('Raw sheet'!$F$2:'Raw sheet'!$F$1500),'Raw sheet'!F890)</f>
        <v>4.21</v>
      </c>
      <c r="H890" s="18">
        <v>87.5</v>
      </c>
      <c r="I890" s="9" t="str">
        <f t="shared" si="26"/>
        <v>Good</v>
      </c>
      <c r="J890" s="2">
        <v>2</v>
      </c>
      <c r="K890" s="2">
        <v>27.2</v>
      </c>
      <c r="L890" s="2" t="s">
        <v>3</v>
      </c>
      <c r="M890" s="2" t="s">
        <v>4</v>
      </c>
      <c r="N890" s="5">
        <f>IF(ISBLANK('Raw sheet'!L890),AVERAGE('Raw sheet'!$L$2:'Raw sheet'!$L$1500),'Raw sheet'!L890)</f>
        <v>6.2</v>
      </c>
      <c r="O890" s="5" t="str">
        <f>IF(Table1[[#This Row],[Stress_Index]]&gt;=8,"High",IF(N890&gt;=5,"Medium","Low"))</f>
        <v>Medium</v>
      </c>
      <c r="P890" s="3">
        <v>3.53</v>
      </c>
      <c r="Q890" s="2">
        <v>3.35</v>
      </c>
      <c r="R890" s="3">
        <v>3.35</v>
      </c>
      <c r="S890" s="3" t="str">
        <f>IF(Table1[[#This Row],[CGPA]]&gt;=3,"High",IF(R889&gt;=2,"Medium","Low"))</f>
        <v>High</v>
      </c>
      <c r="T890" s="2" t="s">
        <v>2</v>
      </c>
      <c r="U890" s="2" t="s">
        <v>13</v>
      </c>
      <c r="V890" s="2" t="s">
        <v>0</v>
      </c>
      <c r="W890" s="7">
        <v>0</v>
      </c>
      <c r="X890" t="str">
        <f t="shared" si="27"/>
        <v>Active</v>
      </c>
    </row>
    <row r="891" spans="1:24" x14ac:dyDescent="0.3">
      <c r="A891" s="2">
        <v>890</v>
      </c>
      <c r="B891" s="7">
        <v>23.4</v>
      </c>
      <c r="C891" s="2" t="s">
        <v>11</v>
      </c>
      <c r="D891" s="7">
        <f>IF(ISBLANK('Raw sheet'!D891),AVERAGE('Raw sheet'!$D$2:'Raw sheet'!$D$1500),'Raw sheet'!D891)</f>
        <v>65541</v>
      </c>
      <c r="E891" s="7" t="str">
        <f>IF(Table1[[#This Row],[Family_Income]]&gt;=100000,"Upper",IF(D891&gt;=50000,"Middle","Lower"))</f>
        <v>Middle</v>
      </c>
      <c r="F891" s="2" t="s">
        <v>4</v>
      </c>
      <c r="G891" s="3">
        <f>IF(ISBLANK('Raw sheet'!F891),AVERAGE('Raw sheet'!$F$2:'Raw sheet'!$F$1500),'Raw sheet'!F891)</f>
        <v>3.12</v>
      </c>
      <c r="H891" s="18">
        <v>88</v>
      </c>
      <c r="I891" s="9" t="str">
        <f t="shared" si="26"/>
        <v>Good</v>
      </c>
      <c r="J891" s="2">
        <v>1</v>
      </c>
      <c r="K891" s="2">
        <v>23.1</v>
      </c>
      <c r="L891" s="2" t="s">
        <v>3</v>
      </c>
      <c r="M891" s="2" t="s">
        <v>4</v>
      </c>
      <c r="N891" s="5">
        <f>IF(ISBLANK('Raw sheet'!L891),AVERAGE('Raw sheet'!$L$2:'Raw sheet'!$L$1500),'Raw sheet'!L891)</f>
        <v>2.6</v>
      </c>
      <c r="O891" s="5" t="str">
        <f>IF(Table1[[#This Row],[Stress_Index]]&gt;=8,"High",IF(N891&gt;=5,"Medium","Low"))</f>
        <v>Low</v>
      </c>
      <c r="P891" s="3">
        <v>0.97</v>
      </c>
      <c r="Q891" s="2">
        <v>0.97</v>
      </c>
      <c r="R891" s="3">
        <v>0.93</v>
      </c>
      <c r="S891" s="3" t="str">
        <f>IF(Table1[[#This Row],[CGPA]]&gt;=3,"High",IF(R890&gt;=2,"Medium","Low"))</f>
        <v>Medium</v>
      </c>
      <c r="T891" s="2" t="s">
        <v>7</v>
      </c>
      <c r="U891" s="2" t="s">
        <v>6</v>
      </c>
      <c r="V891" s="2" t="s">
        <v>9</v>
      </c>
      <c r="W891" s="7">
        <v>0</v>
      </c>
      <c r="X891" t="str">
        <f t="shared" si="27"/>
        <v>Active</v>
      </c>
    </row>
    <row r="892" spans="1:24" x14ac:dyDescent="0.3">
      <c r="A892" s="2">
        <v>891</v>
      </c>
      <c r="B892" s="7">
        <v>22.8</v>
      </c>
      <c r="C892" s="2" t="s">
        <v>5</v>
      </c>
      <c r="D892" s="7">
        <f>IF(ISBLANK('Raw sheet'!D892),AVERAGE('Raw sheet'!$D$2:'Raw sheet'!$D$1500),'Raw sheet'!D892)</f>
        <v>111756</v>
      </c>
      <c r="E892" s="7" t="str">
        <f>IF(Table1[[#This Row],[Family_Income]]&gt;=100000,"Upper",IF(D892&gt;=50000,"Middle","Lower"))</f>
        <v>Upper</v>
      </c>
      <c r="F892" s="2" t="s">
        <v>4</v>
      </c>
      <c r="G892" s="3">
        <f>IF(ISBLANK('Raw sheet'!F892),AVERAGE('Raw sheet'!$F$2:'Raw sheet'!$F$1500),'Raw sheet'!F892)</f>
        <v>1.55</v>
      </c>
      <c r="H892" s="18">
        <v>75</v>
      </c>
      <c r="I892" s="9" t="str">
        <f t="shared" si="26"/>
        <v>Good</v>
      </c>
      <c r="J892" s="2">
        <v>1</v>
      </c>
      <c r="K892" s="2">
        <v>42.6</v>
      </c>
      <c r="L892" s="2" t="s">
        <v>3</v>
      </c>
      <c r="M892" s="2" t="s">
        <v>4</v>
      </c>
      <c r="N892" s="5">
        <f>IF(ISBLANK('Raw sheet'!L892),AVERAGE('Raw sheet'!$L$2:'Raw sheet'!$L$1500),'Raw sheet'!L892)</f>
        <v>4.5</v>
      </c>
      <c r="O892" s="5" t="str">
        <f>IF(Table1[[#This Row],[Stress_Index]]&gt;=8,"High",IF(N892&gt;=5,"Medium","Low"))</f>
        <v>Low</v>
      </c>
      <c r="P892" s="3">
        <v>1.82</v>
      </c>
      <c r="Q892" s="2">
        <v>1.7</v>
      </c>
      <c r="R892" s="3">
        <v>1.7</v>
      </c>
      <c r="S892" s="3" t="str">
        <f>IF(Table1[[#This Row],[CGPA]]&gt;=3,"High",IF(R891&gt;=2,"Medium","Low"))</f>
        <v>Low</v>
      </c>
      <c r="T892" s="2" t="s">
        <v>2</v>
      </c>
      <c r="U892" s="2" t="s">
        <v>8</v>
      </c>
      <c r="V892" s="2" t="s">
        <v>0</v>
      </c>
      <c r="W892" s="7">
        <v>0</v>
      </c>
      <c r="X892" t="str">
        <f t="shared" si="27"/>
        <v>Active</v>
      </c>
    </row>
    <row r="893" spans="1:24" x14ac:dyDescent="0.3">
      <c r="A893" s="2">
        <v>892</v>
      </c>
      <c r="B893" s="7">
        <v>22.1</v>
      </c>
      <c r="C893" s="2" t="s">
        <v>11</v>
      </c>
      <c r="D893" s="7">
        <f>IF(ISBLANK('Raw sheet'!D893),AVERAGE('Raw sheet'!$D$2:'Raw sheet'!$D$1500),'Raw sheet'!D893)</f>
        <v>25000</v>
      </c>
      <c r="E893" s="7" t="str">
        <f>IF(Table1[[#This Row],[Family_Income]]&gt;=100000,"Upper",IF(D893&gt;=50000,"Middle","Lower"))</f>
        <v>Lower</v>
      </c>
      <c r="F893" s="2" t="s">
        <v>4</v>
      </c>
      <c r="G893" s="3">
        <f>IF(ISBLANK('Raw sheet'!F893),AVERAGE('Raw sheet'!$F$2:'Raw sheet'!$F$1500),'Raw sheet'!F893)</f>
        <v>5.29</v>
      </c>
      <c r="H893" s="18">
        <v>81.8</v>
      </c>
      <c r="I893" s="9" t="str">
        <f t="shared" si="26"/>
        <v>Good</v>
      </c>
      <c r="J893" s="2">
        <v>4</v>
      </c>
      <c r="K893" s="2">
        <v>44.1</v>
      </c>
      <c r="L893" s="2" t="s">
        <v>3</v>
      </c>
      <c r="M893" s="2" t="s">
        <v>4</v>
      </c>
      <c r="N893" s="5">
        <f>IF(ISBLANK('Raw sheet'!L893),AVERAGE('Raw sheet'!$L$2:'Raw sheet'!$L$1500),'Raw sheet'!L893)</f>
        <v>6.3</v>
      </c>
      <c r="O893" s="5" t="str">
        <f>IF(Table1[[#This Row],[Stress_Index]]&gt;=8,"High",IF(N893&gt;=5,"Medium","Low"))</f>
        <v>Medium</v>
      </c>
      <c r="P893" s="3">
        <v>3.33</v>
      </c>
      <c r="Q893" s="2">
        <v>3</v>
      </c>
      <c r="R893" s="3">
        <v>3</v>
      </c>
      <c r="S893" s="3" t="str">
        <f>IF(Table1[[#This Row],[CGPA]]&gt;=3,"High",IF(R892&gt;=2,"Medium","Low"))</f>
        <v>High</v>
      </c>
      <c r="T893" s="2" t="s">
        <v>2</v>
      </c>
      <c r="U893" s="2" t="s">
        <v>1</v>
      </c>
      <c r="V893" s="2" t="s">
        <v>0</v>
      </c>
      <c r="W893" s="7">
        <v>1</v>
      </c>
      <c r="X893" t="str">
        <f t="shared" si="27"/>
        <v>Dropped Out</v>
      </c>
    </row>
    <row r="894" spans="1:24" x14ac:dyDescent="0.3">
      <c r="A894" s="2">
        <v>893</v>
      </c>
      <c r="B894" s="7">
        <v>23.3</v>
      </c>
      <c r="C894" s="2" t="s">
        <v>5</v>
      </c>
      <c r="D894" s="7">
        <f>IF(ISBLANK('Raw sheet'!D894),AVERAGE('Raw sheet'!$D$2:'Raw sheet'!$D$1500),'Raw sheet'!D894)</f>
        <v>25000</v>
      </c>
      <c r="E894" s="7" t="str">
        <f>IF(Table1[[#This Row],[Family_Income]]&gt;=100000,"Upper",IF(D894&gt;=50000,"Middle","Lower"))</f>
        <v>Lower</v>
      </c>
      <c r="F894" s="2" t="s">
        <v>4</v>
      </c>
      <c r="G894" s="3">
        <f>IF(ISBLANK('Raw sheet'!F894),AVERAGE('Raw sheet'!$F$2:'Raw sheet'!$F$1500),'Raw sheet'!F894)</f>
        <v>4.1399999999999997</v>
      </c>
      <c r="H894" s="18">
        <v>89.2</v>
      </c>
      <c r="I894" s="9" t="str">
        <f t="shared" si="26"/>
        <v>Good</v>
      </c>
      <c r="J894" s="2">
        <v>0</v>
      </c>
      <c r="K894" s="2">
        <v>45.4</v>
      </c>
      <c r="L894" s="2" t="s">
        <v>3</v>
      </c>
      <c r="M894" s="2" t="s">
        <v>3</v>
      </c>
      <c r="N894" s="5">
        <f>IF(ISBLANK('Raw sheet'!L894),AVERAGE('Raw sheet'!$L$2:'Raw sheet'!$L$1500),'Raw sheet'!L894)</f>
        <v>5</v>
      </c>
      <c r="O894" s="5" t="str">
        <f>IF(Table1[[#This Row],[Stress_Index]]&gt;=8,"High",IF(N894&gt;=5,"Medium","Low"))</f>
        <v>Medium</v>
      </c>
      <c r="P894" s="3">
        <v>1.43</v>
      </c>
      <c r="Q894" s="2">
        <v>1.18</v>
      </c>
      <c r="R894" s="3">
        <v>1.21</v>
      </c>
      <c r="S894" s="3" t="str">
        <f>IF(Table1[[#This Row],[CGPA]]&gt;=3,"High",IF(R893&gt;=2,"Medium","Low"))</f>
        <v>Medium</v>
      </c>
      <c r="T894" s="2" t="s">
        <v>7</v>
      </c>
      <c r="U894" s="2" t="s">
        <v>1</v>
      </c>
      <c r="V894" s="2" t="s">
        <v>15</v>
      </c>
      <c r="W894" s="7">
        <v>0</v>
      </c>
      <c r="X894" t="str">
        <f t="shared" si="27"/>
        <v>Active</v>
      </c>
    </row>
    <row r="895" spans="1:24" x14ac:dyDescent="0.3">
      <c r="A895" s="2">
        <v>894</v>
      </c>
      <c r="B895" s="7">
        <v>23.6</v>
      </c>
      <c r="C895" s="2" t="s">
        <v>5</v>
      </c>
      <c r="D895" s="7">
        <f>IF(ISBLANK('Raw sheet'!D895),AVERAGE('Raw sheet'!$D$2:'Raw sheet'!$D$1500),'Raw sheet'!D895)</f>
        <v>47282</v>
      </c>
      <c r="E895" s="7" t="str">
        <f>IF(Table1[[#This Row],[Family_Income]]&gt;=100000,"Upper",IF(D895&gt;=50000,"Middle","Lower"))</f>
        <v>Lower</v>
      </c>
      <c r="F895" s="2" t="s">
        <v>4</v>
      </c>
      <c r="G895" s="3">
        <f>IF(ISBLANK('Raw sheet'!F895),AVERAGE('Raw sheet'!$F$2:'Raw sheet'!$F$1500),'Raw sheet'!F895)</f>
        <v>2.87</v>
      </c>
      <c r="H895" s="18">
        <v>95.8</v>
      </c>
      <c r="I895" s="9" t="str">
        <f t="shared" si="26"/>
        <v>Good</v>
      </c>
      <c r="J895" s="2">
        <v>3</v>
      </c>
      <c r="K895" s="2">
        <v>37.200000000000003</v>
      </c>
      <c r="L895" s="2" t="s">
        <v>4</v>
      </c>
      <c r="M895" s="2" t="s">
        <v>3</v>
      </c>
      <c r="N895" s="5">
        <f>IF(ISBLANK('Raw sheet'!L895),AVERAGE('Raw sheet'!$L$2:'Raw sheet'!$L$1500),'Raw sheet'!L895)</f>
        <v>7.4</v>
      </c>
      <c r="O895" s="5" t="str">
        <f>IF(Table1[[#This Row],[Stress_Index]]&gt;=8,"High",IF(N895&gt;=5,"Medium","Low"))</f>
        <v>Medium</v>
      </c>
      <c r="P895" s="3">
        <v>1.1299999999999999</v>
      </c>
      <c r="Q895" s="2">
        <v>0.85</v>
      </c>
      <c r="R895" s="3">
        <v>0.84</v>
      </c>
      <c r="S895" s="3" t="str">
        <f>IF(Table1[[#This Row],[CGPA]]&gt;=3,"High",IF(R894&gt;=2,"Medium","Low"))</f>
        <v>Low</v>
      </c>
      <c r="T895" s="2" t="s">
        <v>12</v>
      </c>
      <c r="U895" s="2" t="s">
        <v>14</v>
      </c>
      <c r="V895" s="2" t="s">
        <v>15</v>
      </c>
      <c r="W895" s="7">
        <v>1</v>
      </c>
      <c r="X895" t="str">
        <f t="shared" si="27"/>
        <v>Dropped Out</v>
      </c>
    </row>
    <row r="896" spans="1:24" x14ac:dyDescent="0.3">
      <c r="A896" s="2">
        <v>895</v>
      </c>
      <c r="B896" s="7">
        <v>24</v>
      </c>
      <c r="C896" s="2" t="s">
        <v>11</v>
      </c>
      <c r="D896" s="7">
        <f>IF(ISBLANK('Raw sheet'!D896),AVERAGE('Raw sheet'!$D$2:'Raw sheet'!$D$1500),'Raw sheet'!D896)</f>
        <v>40450</v>
      </c>
      <c r="E896" s="7" t="str">
        <f>IF(Table1[[#This Row],[Family_Income]]&gt;=100000,"Upper",IF(D896&gt;=50000,"Middle","Lower"))</f>
        <v>Lower</v>
      </c>
      <c r="F896" s="2" t="s">
        <v>4</v>
      </c>
      <c r="G896" s="3">
        <f>IF(ISBLANK('Raw sheet'!F896),AVERAGE('Raw sheet'!$F$2:'Raw sheet'!$F$1500),'Raw sheet'!F896)</f>
        <v>1.62</v>
      </c>
      <c r="H896" s="18">
        <v>83.4</v>
      </c>
      <c r="I896" s="9" t="str">
        <f t="shared" si="26"/>
        <v>Good</v>
      </c>
      <c r="J896" s="2">
        <v>3</v>
      </c>
      <c r="K896" s="2">
        <v>37.700000000000003</v>
      </c>
      <c r="L896" s="2" t="s">
        <v>3</v>
      </c>
      <c r="M896" s="2" t="s">
        <v>4</v>
      </c>
      <c r="N896" s="5">
        <f>IF(ISBLANK('Raw sheet'!L896),AVERAGE('Raw sheet'!$L$2:'Raw sheet'!$L$1500),'Raw sheet'!L896)</f>
        <v>4.8</v>
      </c>
      <c r="O896" s="5" t="str">
        <f>IF(Table1[[#This Row],[Stress_Index]]&gt;=8,"High",IF(N896&gt;=5,"Medium","Low"))</f>
        <v>Low</v>
      </c>
      <c r="P896" s="3">
        <v>2.44</v>
      </c>
      <c r="Q896" s="2">
        <v>2.84</v>
      </c>
      <c r="R896" s="3">
        <v>2.82</v>
      </c>
      <c r="S896" s="3" t="str">
        <f>IF(Table1[[#This Row],[CGPA]]&gt;=3,"High",IF(R895&gt;=2,"Medium","Low"))</f>
        <v>Low</v>
      </c>
      <c r="T896" s="2" t="s">
        <v>10</v>
      </c>
      <c r="U896" s="2" t="s">
        <v>13</v>
      </c>
      <c r="V896" s="2" t="s">
        <v>9</v>
      </c>
      <c r="W896" s="7">
        <v>0</v>
      </c>
      <c r="X896" t="str">
        <f t="shared" si="27"/>
        <v>Active</v>
      </c>
    </row>
    <row r="897" spans="1:24" x14ac:dyDescent="0.3">
      <c r="A897" s="2">
        <v>896</v>
      </c>
      <c r="B897" s="7">
        <v>22.4</v>
      </c>
      <c r="C897" s="2" t="s">
        <v>11</v>
      </c>
      <c r="D897" s="7">
        <f>IF(ISBLANK('Raw sheet'!D897),AVERAGE('Raw sheet'!$D$2:'Raw sheet'!$D$1500),'Raw sheet'!D897)</f>
        <v>47389</v>
      </c>
      <c r="E897" s="7" t="str">
        <f>IF(Table1[[#This Row],[Family_Income]]&gt;=100000,"Upper",IF(D897&gt;=50000,"Middle","Lower"))</f>
        <v>Lower</v>
      </c>
      <c r="F897" s="2" t="s">
        <v>4</v>
      </c>
      <c r="G897" s="3">
        <f>IF(ISBLANK('Raw sheet'!F897),AVERAGE('Raw sheet'!$F$2:'Raw sheet'!$F$1500),'Raw sheet'!F897)</f>
        <v>3.21</v>
      </c>
      <c r="H897" s="18">
        <v>80.400000000000006</v>
      </c>
      <c r="I897" s="9" t="str">
        <f t="shared" si="26"/>
        <v>Good</v>
      </c>
      <c r="J897" s="2">
        <v>3</v>
      </c>
      <c r="K897" s="2">
        <v>14.6</v>
      </c>
      <c r="L897" s="2" t="s">
        <v>3</v>
      </c>
      <c r="M897" s="2" t="s">
        <v>3</v>
      </c>
      <c r="N897" s="5">
        <f>IF(ISBLANK('Raw sheet'!L897),AVERAGE('Raw sheet'!$L$2:'Raw sheet'!$L$1500),'Raw sheet'!L897)</f>
        <v>5.7</v>
      </c>
      <c r="O897" s="5" t="str">
        <f>IF(Table1[[#This Row],[Stress_Index]]&gt;=8,"High",IF(N897&gt;=5,"Medium","Low"))</f>
        <v>Medium</v>
      </c>
      <c r="P897" s="3">
        <v>1.32</v>
      </c>
      <c r="Q897" s="2">
        <v>0.96</v>
      </c>
      <c r="R897" s="3">
        <v>0.99</v>
      </c>
      <c r="S897" s="3" t="str">
        <f>IF(Table1[[#This Row],[CGPA]]&gt;=3,"High",IF(R896&gt;=2,"Medium","Low"))</f>
        <v>Medium</v>
      </c>
      <c r="T897" s="2" t="s">
        <v>7</v>
      </c>
      <c r="U897" s="2" t="s">
        <v>14</v>
      </c>
      <c r="V897" s="2" t="s">
        <v>17</v>
      </c>
      <c r="W897" s="7">
        <v>0</v>
      </c>
      <c r="X897" t="str">
        <f t="shared" si="27"/>
        <v>Active</v>
      </c>
    </row>
    <row r="898" spans="1:24" x14ac:dyDescent="0.3">
      <c r="A898" s="2">
        <v>897</v>
      </c>
      <c r="B898" s="7">
        <v>20.6</v>
      </c>
      <c r="C898" s="2" t="s">
        <v>5</v>
      </c>
      <c r="D898" s="7">
        <f>IF(ISBLANK('Raw sheet'!D898),AVERAGE('Raw sheet'!$D$2:'Raw sheet'!$D$1500),'Raw sheet'!D898)</f>
        <v>25000</v>
      </c>
      <c r="E898" s="7" t="str">
        <f>IF(Table1[[#This Row],[Family_Income]]&gt;=100000,"Upper",IF(D898&gt;=50000,"Middle","Lower"))</f>
        <v>Lower</v>
      </c>
      <c r="F898" s="2" t="s">
        <v>4</v>
      </c>
      <c r="G898" s="3">
        <f>IF(ISBLANK('Raw sheet'!F898),AVERAGE('Raw sheet'!$F$2:'Raw sheet'!$F$1500),'Raw sheet'!F898)</f>
        <v>3.12</v>
      </c>
      <c r="H898" s="18">
        <v>79</v>
      </c>
      <c r="I898" s="9" t="str">
        <f t="shared" ref="I898:I961" si="28">IF(H898&gt;=75,"Good","Low")</f>
        <v>Good</v>
      </c>
      <c r="J898" s="2">
        <v>5</v>
      </c>
      <c r="K898" s="2">
        <v>46.8</v>
      </c>
      <c r="L898" s="2" t="s">
        <v>4</v>
      </c>
      <c r="M898" s="2" t="s">
        <v>3</v>
      </c>
      <c r="N898" s="5">
        <f>IF(ISBLANK('Raw sheet'!L898),AVERAGE('Raw sheet'!$L$2:'Raw sheet'!$L$1500),'Raw sheet'!L898)</f>
        <v>5.3</v>
      </c>
      <c r="O898" s="5" t="str">
        <f>IF(Table1[[#This Row],[Stress_Index]]&gt;=8,"High",IF(N898&gt;=5,"Medium","Low"))</f>
        <v>Medium</v>
      </c>
      <c r="P898" s="3">
        <v>1.96</v>
      </c>
      <c r="Q898" s="2">
        <v>2.25</v>
      </c>
      <c r="R898" s="3">
        <v>2.2599999999999998</v>
      </c>
      <c r="S898" s="3" t="str">
        <f>IF(Table1[[#This Row],[CGPA]]&gt;=3,"High",IF(R897&gt;=2,"Medium","Low"))</f>
        <v>Low</v>
      </c>
      <c r="T898" s="2" t="s">
        <v>10</v>
      </c>
      <c r="U898" s="2" t="s">
        <v>8</v>
      </c>
      <c r="V898" s="2" t="s">
        <v>9</v>
      </c>
      <c r="W898" s="7">
        <v>0</v>
      </c>
      <c r="X898" t="str">
        <f t="shared" ref="X898:X961" si="29">IF(W898=1,"Dropped Out","Active")</f>
        <v>Active</v>
      </c>
    </row>
    <row r="899" spans="1:24" x14ac:dyDescent="0.3">
      <c r="A899" s="2">
        <v>898</v>
      </c>
      <c r="B899" s="7">
        <v>21.3</v>
      </c>
      <c r="C899" s="2" t="s">
        <v>5</v>
      </c>
      <c r="D899" s="7">
        <f>IF(ISBLANK('Raw sheet'!D899),AVERAGE('Raw sheet'!$D$2:'Raw sheet'!$D$1500),'Raw sheet'!D899)</f>
        <v>97980</v>
      </c>
      <c r="E899" s="7" t="str">
        <f>IF(Table1[[#This Row],[Family_Income]]&gt;=100000,"Upper",IF(D899&gt;=50000,"Middle","Lower"))</f>
        <v>Middle</v>
      </c>
      <c r="F899" s="2" t="s">
        <v>4</v>
      </c>
      <c r="G899" s="3">
        <f>IF(ISBLANK('Raw sheet'!F899),AVERAGE('Raw sheet'!$F$2:'Raw sheet'!$F$1500),'Raw sheet'!F899)</f>
        <v>3.86</v>
      </c>
      <c r="H899" s="18">
        <v>83.1</v>
      </c>
      <c r="I899" s="9" t="str">
        <f t="shared" si="28"/>
        <v>Good</v>
      </c>
      <c r="J899" s="2">
        <v>1</v>
      </c>
      <c r="K899" s="2">
        <v>45</v>
      </c>
      <c r="L899" s="2" t="s">
        <v>3</v>
      </c>
      <c r="M899" s="2" t="s">
        <v>3</v>
      </c>
      <c r="N899" s="5">
        <f>IF(ISBLANK('Raw sheet'!L899),AVERAGE('Raw sheet'!$L$2:'Raw sheet'!$L$1500),'Raw sheet'!L899)</f>
        <v>2.7</v>
      </c>
      <c r="O899" s="5" t="str">
        <f>IF(Table1[[#This Row],[Stress_Index]]&gt;=8,"High",IF(N899&gt;=5,"Medium","Low"))</f>
        <v>Low</v>
      </c>
      <c r="P899" s="3">
        <v>3.17</v>
      </c>
      <c r="Q899" s="2">
        <v>2.92</v>
      </c>
      <c r="R899" s="3">
        <v>2.88</v>
      </c>
      <c r="S899" s="3" t="str">
        <f>IF(Table1[[#This Row],[CGPA]]&gt;=3,"High",IF(R898&gt;=2,"Medium","Low"))</f>
        <v>Medium</v>
      </c>
      <c r="T899" s="2" t="s">
        <v>7</v>
      </c>
      <c r="U899" s="2" t="s">
        <v>13</v>
      </c>
      <c r="V899" s="2" t="s">
        <v>9</v>
      </c>
      <c r="W899" s="7">
        <v>0</v>
      </c>
      <c r="X899" t="str">
        <f t="shared" si="29"/>
        <v>Active</v>
      </c>
    </row>
    <row r="900" spans="1:24" x14ac:dyDescent="0.3">
      <c r="A900" s="2">
        <v>899</v>
      </c>
      <c r="B900" s="7">
        <v>23.7</v>
      </c>
      <c r="C900" s="2" t="s">
        <v>5</v>
      </c>
      <c r="D900" s="7">
        <f>IF(ISBLANK('Raw sheet'!D900),AVERAGE('Raw sheet'!$D$2:'Raw sheet'!$D$1500),'Raw sheet'!D900)</f>
        <v>31915</v>
      </c>
      <c r="E900" s="7" t="str">
        <f>IF(Table1[[#This Row],[Family_Income]]&gt;=100000,"Upper",IF(D900&gt;=50000,"Middle","Lower"))</f>
        <v>Lower</v>
      </c>
      <c r="F900" s="2" t="s">
        <v>4</v>
      </c>
      <c r="G900" s="3">
        <f>IF(ISBLANK('Raw sheet'!F900),AVERAGE('Raw sheet'!$F$2:'Raw sheet'!$F$1500),'Raw sheet'!F900)</f>
        <v>1.73</v>
      </c>
      <c r="H900" s="18">
        <v>93.1</v>
      </c>
      <c r="I900" s="9" t="str">
        <f t="shared" si="28"/>
        <v>Good</v>
      </c>
      <c r="J900" s="2">
        <v>2</v>
      </c>
      <c r="K900" s="2">
        <v>13.4</v>
      </c>
      <c r="L900" s="2" t="s">
        <v>4</v>
      </c>
      <c r="M900" s="2" t="s">
        <v>3</v>
      </c>
      <c r="N900" s="5">
        <f>IF(ISBLANK('Raw sheet'!L900),AVERAGE('Raw sheet'!$L$2:'Raw sheet'!$L$1500),'Raw sheet'!L900)</f>
        <v>6.2</v>
      </c>
      <c r="O900" s="5" t="str">
        <f>IF(Table1[[#This Row],[Stress_Index]]&gt;=8,"High",IF(N900&gt;=5,"Medium","Low"))</f>
        <v>Medium</v>
      </c>
      <c r="P900" s="3">
        <v>2.13</v>
      </c>
      <c r="Q900" s="2">
        <v>2.2200000000000002</v>
      </c>
      <c r="R900" s="3">
        <v>2.2200000000000002</v>
      </c>
      <c r="S900" s="3" t="str">
        <f>IF(Table1[[#This Row],[CGPA]]&gt;=3,"High",IF(R899&gt;=2,"Medium","Low"))</f>
        <v>Medium</v>
      </c>
      <c r="T900" s="2" t="s">
        <v>7</v>
      </c>
      <c r="U900" s="2" t="s">
        <v>14</v>
      </c>
      <c r="V900" s="2" t="s">
        <v>9</v>
      </c>
      <c r="W900" s="7">
        <v>0</v>
      </c>
      <c r="X900" t="str">
        <f t="shared" si="29"/>
        <v>Active</v>
      </c>
    </row>
    <row r="901" spans="1:24" x14ac:dyDescent="0.3">
      <c r="A901" s="2">
        <v>900</v>
      </c>
      <c r="B901" s="7">
        <v>19.2</v>
      </c>
      <c r="C901" s="2" t="s">
        <v>5</v>
      </c>
      <c r="D901" s="7">
        <f>IF(ISBLANK('Raw sheet'!D901),AVERAGE('Raw sheet'!$D$2:'Raw sheet'!$D$1500),'Raw sheet'!D901)</f>
        <v>25000</v>
      </c>
      <c r="E901" s="7" t="str">
        <f>IF(Table1[[#This Row],[Family_Income]]&gt;=100000,"Upper",IF(D901&gt;=50000,"Middle","Lower"))</f>
        <v>Lower</v>
      </c>
      <c r="F901" s="2" t="s">
        <v>4</v>
      </c>
      <c r="G901" s="3">
        <f>IF(ISBLANK('Raw sheet'!F901),AVERAGE('Raw sheet'!$F$2:'Raw sheet'!$F$1500),'Raw sheet'!F901)</f>
        <v>4.5599999999999996</v>
      </c>
      <c r="H901" s="18">
        <v>83.2</v>
      </c>
      <c r="I901" s="9" t="str">
        <f t="shared" si="28"/>
        <v>Good</v>
      </c>
      <c r="J901" s="2">
        <v>3</v>
      </c>
      <c r="K901" s="2">
        <v>35.6</v>
      </c>
      <c r="L901" s="2" t="s">
        <v>4</v>
      </c>
      <c r="M901" s="2" t="s">
        <v>4</v>
      </c>
      <c r="N901" s="5">
        <f>IF(ISBLANK('Raw sheet'!L901),AVERAGE('Raw sheet'!$L$2:'Raw sheet'!$L$1500),'Raw sheet'!L901)</f>
        <v>6.1</v>
      </c>
      <c r="O901" s="5" t="str">
        <f>IF(Table1[[#This Row],[Stress_Index]]&gt;=8,"High",IF(N901&gt;=5,"Medium","Low"))</f>
        <v>Medium</v>
      </c>
      <c r="P901" s="3">
        <v>2.33</v>
      </c>
      <c r="Q901" s="2">
        <v>2.35</v>
      </c>
      <c r="R901" s="3">
        <v>2.41</v>
      </c>
      <c r="S901" s="3" t="str">
        <f>IF(Table1[[#This Row],[CGPA]]&gt;=3,"High",IF(R900&gt;=2,"Medium","Low"))</f>
        <v>Medium</v>
      </c>
      <c r="T901" s="2" t="s">
        <v>7</v>
      </c>
      <c r="U901" s="2" t="s">
        <v>8</v>
      </c>
      <c r="V901" s="2" t="s">
        <v>15</v>
      </c>
      <c r="W901" s="7">
        <v>0</v>
      </c>
      <c r="X901" t="str">
        <f t="shared" si="29"/>
        <v>Active</v>
      </c>
    </row>
    <row r="902" spans="1:24" x14ac:dyDescent="0.3">
      <c r="A902" s="2">
        <v>901</v>
      </c>
      <c r="B902" s="7">
        <v>21.8</v>
      </c>
      <c r="C902" s="2" t="s">
        <v>11</v>
      </c>
      <c r="D902" s="7">
        <f>IF(ISBLANK('Raw sheet'!D902),AVERAGE('Raw sheet'!$D$2:'Raw sheet'!$D$1500),'Raw sheet'!D902)</f>
        <v>25543</v>
      </c>
      <c r="E902" s="7" t="str">
        <f>IF(Table1[[#This Row],[Family_Income]]&gt;=100000,"Upper",IF(D902&gt;=50000,"Middle","Lower"))</f>
        <v>Lower</v>
      </c>
      <c r="F902" s="2" t="s">
        <v>4</v>
      </c>
      <c r="G902" s="3">
        <f>IF(ISBLANK('Raw sheet'!F902),AVERAGE('Raw sheet'!$F$2:'Raw sheet'!$F$1500),'Raw sheet'!F902)</f>
        <v>4.83</v>
      </c>
      <c r="H902" s="18">
        <v>86</v>
      </c>
      <c r="I902" s="9" t="str">
        <f t="shared" si="28"/>
        <v>Good</v>
      </c>
      <c r="J902" s="2">
        <v>1</v>
      </c>
      <c r="K902" s="2">
        <v>23.4</v>
      </c>
      <c r="L902" s="2" t="s">
        <v>4</v>
      </c>
      <c r="M902" s="2" t="s">
        <v>4</v>
      </c>
      <c r="N902" s="5">
        <f>IF(ISBLANK('Raw sheet'!L902),AVERAGE('Raw sheet'!$L$2:'Raw sheet'!$L$1500),'Raw sheet'!L902)</f>
        <v>2</v>
      </c>
      <c r="O902" s="5" t="str">
        <f>IF(Table1[[#This Row],[Stress_Index]]&gt;=8,"High",IF(N902&gt;=5,"Medium","Low"))</f>
        <v>Low</v>
      </c>
      <c r="P902" s="3">
        <v>2.57</v>
      </c>
      <c r="Q902" s="2">
        <v>2.4700000000000002</v>
      </c>
      <c r="R902" s="3">
        <v>2.4700000000000002</v>
      </c>
      <c r="S902" s="3" t="str">
        <f>IF(Table1[[#This Row],[CGPA]]&gt;=3,"High",IF(R901&gt;=2,"Medium","Low"))</f>
        <v>Medium</v>
      </c>
      <c r="T902" s="2" t="s">
        <v>2</v>
      </c>
      <c r="U902" s="2" t="s">
        <v>14</v>
      </c>
      <c r="V902" s="2" t="s">
        <v>15</v>
      </c>
      <c r="W902" s="7">
        <v>0</v>
      </c>
      <c r="X902" t="str">
        <f t="shared" si="29"/>
        <v>Active</v>
      </c>
    </row>
    <row r="903" spans="1:24" x14ac:dyDescent="0.3">
      <c r="A903" s="2">
        <v>902</v>
      </c>
      <c r="B903" s="7">
        <v>20.100000000000001</v>
      </c>
      <c r="C903" s="2" t="s">
        <v>11</v>
      </c>
      <c r="D903" s="7">
        <f>IF(ISBLANK('Raw sheet'!D903),AVERAGE('Raw sheet'!$D$2:'Raw sheet'!$D$1500),'Raw sheet'!D903)</f>
        <v>25000</v>
      </c>
      <c r="E903" s="7" t="str">
        <f>IF(Table1[[#This Row],[Family_Income]]&gt;=100000,"Upper",IF(D903&gt;=50000,"Middle","Lower"))</f>
        <v>Lower</v>
      </c>
      <c r="F903" s="2" t="s">
        <v>4</v>
      </c>
      <c r="G903" s="3">
        <f>IF(ISBLANK('Raw sheet'!F903),AVERAGE('Raw sheet'!$F$2:'Raw sheet'!$F$1500),'Raw sheet'!F903)</f>
        <v>2.31</v>
      </c>
      <c r="H903" s="18">
        <v>70.599999999999994</v>
      </c>
      <c r="I903" s="9" t="str">
        <f t="shared" si="28"/>
        <v>Low</v>
      </c>
      <c r="J903" s="2">
        <v>5</v>
      </c>
      <c r="K903" s="2">
        <v>52.2</v>
      </c>
      <c r="L903" s="2" t="s">
        <v>3</v>
      </c>
      <c r="M903" s="2" t="s">
        <v>3</v>
      </c>
      <c r="N903" s="5">
        <f>IF(ISBLANK('Raw sheet'!L903),AVERAGE('Raw sheet'!$L$2:'Raw sheet'!$L$1500),'Raw sheet'!L903)</f>
        <v>1.1000000000000001</v>
      </c>
      <c r="O903" s="5" t="str">
        <f>IF(Table1[[#This Row],[Stress_Index]]&gt;=8,"High",IF(N903&gt;=5,"Medium","Low"))</f>
        <v>Low</v>
      </c>
      <c r="P903" s="3">
        <v>3.81</v>
      </c>
      <c r="Q903" s="2">
        <v>4</v>
      </c>
      <c r="R903" s="3">
        <v>4</v>
      </c>
      <c r="S903" s="3" t="str">
        <f>IF(Table1[[#This Row],[CGPA]]&gt;=3,"High",IF(R902&gt;=2,"Medium","Low"))</f>
        <v>High</v>
      </c>
      <c r="T903" s="2" t="s">
        <v>2</v>
      </c>
      <c r="U903" s="2" t="s">
        <v>8</v>
      </c>
      <c r="V903" s="2" t="s">
        <v>16</v>
      </c>
      <c r="W903" s="7">
        <v>0</v>
      </c>
      <c r="X903" t="str">
        <f t="shared" si="29"/>
        <v>Active</v>
      </c>
    </row>
    <row r="904" spans="1:24" x14ac:dyDescent="0.3">
      <c r="A904" s="2">
        <v>903</v>
      </c>
      <c r="B904" s="7">
        <v>21.1</v>
      </c>
      <c r="C904" s="2" t="s">
        <v>5</v>
      </c>
      <c r="D904" s="7">
        <f>IF(ISBLANK('Raw sheet'!D904),AVERAGE('Raw sheet'!$D$2:'Raw sheet'!$D$1500),'Raw sheet'!D904)</f>
        <v>77232</v>
      </c>
      <c r="E904" s="7" t="str">
        <f>IF(Table1[[#This Row],[Family_Income]]&gt;=100000,"Upper",IF(D904&gt;=50000,"Middle","Lower"))</f>
        <v>Middle</v>
      </c>
      <c r="F904" s="2" t="s">
        <v>4</v>
      </c>
      <c r="G904" s="3">
        <f>IF(ISBLANK('Raw sheet'!F904),AVERAGE('Raw sheet'!$F$2:'Raw sheet'!$F$1500),'Raw sheet'!F904)</f>
        <v>1.8</v>
      </c>
      <c r="H904" s="18">
        <v>94.8</v>
      </c>
      <c r="I904" s="9" t="str">
        <f t="shared" si="28"/>
        <v>Good</v>
      </c>
      <c r="J904" s="2">
        <v>3</v>
      </c>
      <c r="K904" s="2">
        <v>18.3</v>
      </c>
      <c r="L904" s="2" t="s">
        <v>3</v>
      </c>
      <c r="M904" s="2" t="s">
        <v>3</v>
      </c>
      <c r="N904" s="5">
        <f>IF(ISBLANK('Raw sheet'!L904),AVERAGE('Raw sheet'!$L$2:'Raw sheet'!$L$1500),'Raw sheet'!L904)</f>
        <v>4.7</v>
      </c>
      <c r="O904" s="5" t="str">
        <f>IF(Table1[[#This Row],[Stress_Index]]&gt;=8,"High",IF(N904&gt;=5,"Medium","Low"))</f>
        <v>Low</v>
      </c>
      <c r="P904" s="3">
        <v>2.5499999999999998</v>
      </c>
      <c r="Q904" s="2">
        <v>2.38</v>
      </c>
      <c r="R904" s="3">
        <v>2.31</v>
      </c>
      <c r="S904" s="3" t="str">
        <f>IF(Table1[[#This Row],[CGPA]]&gt;=3,"High",IF(R903&gt;=2,"Medium","Low"))</f>
        <v>Medium</v>
      </c>
      <c r="T904" s="2" t="s">
        <v>10</v>
      </c>
      <c r="U904" s="2" t="s">
        <v>14</v>
      </c>
      <c r="V904" s="2" t="s">
        <v>15</v>
      </c>
      <c r="W904" s="7">
        <v>0</v>
      </c>
      <c r="X904" t="str">
        <f t="shared" si="29"/>
        <v>Active</v>
      </c>
    </row>
    <row r="905" spans="1:24" x14ac:dyDescent="0.3">
      <c r="A905" s="2">
        <v>904</v>
      </c>
      <c r="B905" s="7">
        <v>23.8</v>
      </c>
      <c r="C905" s="2" t="s">
        <v>5</v>
      </c>
      <c r="D905" s="7">
        <f>IF(ISBLANK('Raw sheet'!D905),AVERAGE('Raw sheet'!$D$2:'Raw sheet'!$D$1500),'Raw sheet'!D905)</f>
        <v>25000</v>
      </c>
      <c r="E905" s="7" t="str">
        <f>IF(Table1[[#This Row],[Family_Income]]&gt;=100000,"Upper",IF(D905&gt;=50000,"Middle","Lower"))</f>
        <v>Lower</v>
      </c>
      <c r="F905" s="2" t="s">
        <v>3</v>
      </c>
      <c r="G905" s="3">
        <f>IF(ISBLANK('Raw sheet'!F905),AVERAGE('Raw sheet'!$F$2:'Raw sheet'!$F$1500),'Raw sheet'!F905)</f>
        <v>5.32</v>
      </c>
      <c r="H905" s="18">
        <v>92.7</v>
      </c>
      <c r="I905" s="9" t="str">
        <f t="shared" si="28"/>
        <v>Good</v>
      </c>
      <c r="J905" s="2">
        <v>5</v>
      </c>
      <c r="K905" s="2">
        <v>31.1</v>
      </c>
      <c r="L905" s="2" t="s">
        <v>3</v>
      </c>
      <c r="M905" s="2" t="s">
        <v>3</v>
      </c>
      <c r="N905" s="5">
        <f>IF(ISBLANK('Raw sheet'!L905),AVERAGE('Raw sheet'!$L$2:'Raw sheet'!$L$1500),'Raw sheet'!L905)</f>
        <v>7.7</v>
      </c>
      <c r="O905" s="5" t="str">
        <f>IF(Table1[[#This Row],[Stress_Index]]&gt;=8,"High",IF(N905&gt;=5,"Medium","Low"))</f>
        <v>Medium</v>
      </c>
      <c r="P905" s="3">
        <v>2.61</v>
      </c>
      <c r="Q905" s="2">
        <v>2.4300000000000002</v>
      </c>
      <c r="R905" s="3">
        <v>2.42</v>
      </c>
      <c r="S905" s="3" t="str">
        <f>IF(Table1[[#This Row],[CGPA]]&gt;=3,"High",IF(R904&gt;=2,"Medium","Low"))</f>
        <v>Medium</v>
      </c>
      <c r="T905" s="2" t="s">
        <v>12</v>
      </c>
      <c r="U905" s="2" t="s">
        <v>13</v>
      </c>
      <c r="V905" s="2" t="s">
        <v>0</v>
      </c>
      <c r="W905" s="7">
        <v>0</v>
      </c>
      <c r="X905" t="str">
        <f t="shared" si="29"/>
        <v>Active</v>
      </c>
    </row>
    <row r="906" spans="1:24" x14ac:dyDescent="0.3">
      <c r="A906" s="2">
        <v>905</v>
      </c>
      <c r="B906" s="7">
        <v>21.4</v>
      </c>
      <c r="C906" s="2" t="s">
        <v>11</v>
      </c>
      <c r="D906" s="7">
        <f>IF(ISBLANK('Raw sheet'!D906),AVERAGE('Raw sheet'!$D$2:'Raw sheet'!$D$1500),'Raw sheet'!D906)</f>
        <v>39954</v>
      </c>
      <c r="E906" s="7" t="str">
        <f>IF(Table1[[#This Row],[Family_Income]]&gt;=100000,"Upper",IF(D906&gt;=50000,"Middle","Lower"))</f>
        <v>Lower</v>
      </c>
      <c r="F906" s="2" t="s">
        <v>4</v>
      </c>
      <c r="G906" s="3">
        <f>IF(ISBLANK('Raw sheet'!F906),AVERAGE('Raw sheet'!$F$2:'Raw sheet'!$F$1500),'Raw sheet'!F906)</f>
        <v>3.81</v>
      </c>
      <c r="H906" s="18">
        <v>79.599999999999994</v>
      </c>
      <c r="I906" s="9" t="str">
        <f t="shared" si="28"/>
        <v>Good</v>
      </c>
      <c r="J906" s="2">
        <v>4</v>
      </c>
      <c r="K906" s="2">
        <v>32.200000000000003</v>
      </c>
      <c r="L906" s="2" t="s">
        <v>3</v>
      </c>
      <c r="M906" s="2" t="s">
        <v>3</v>
      </c>
      <c r="N906" s="5">
        <f>IF(ISBLANK('Raw sheet'!L906),AVERAGE('Raw sheet'!$L$2:'Raw sheet'!$L$1500),'Raw sheet'!L906)</f>
        <v>10</v>
      </c>
      <c r="O906" s="5" t="str">
        <f>IF(Table1[[#This Row],[Stress_Index]]&gt;=8,"High",IF(N906&gt;=5,"Medium","Low"))</f>
        <v>High</v>
      </c>
      <c r="P906" s="3">
        <v>0.1</v>
      </c>
      <c r="Q906" s="2">
        <v>0</v>
      </c>
      <c r="R906" s="3">
        <v>7.0000000000000007E-2</v>
      </c>
      <c r="S906" s="3" t="str">
        <f>IF(Table1[[#This Row],[CGPA]]&gt;=3,"High",IF(R905&gt;=2,"Medium","Low"))</f>
        <v>Medium</v>
      </c>
      <c r="T906" s="2" t="s">
        <v>12</v>
      </c>
      <c r="U906" s="2" t="s">
        <v>8</v>
      </c>
      <c r="V906" s="2" t="s">
        <v>9</v>
      </c>
      <c r="W906" s="7">
        <v>0</v>
      </c>
      <c r="X906" t="str">
        <f t="shared" si="29"/>
        <v>Active</v>
      </c>
    </row>
    <row r="907" spans="1:24" x14ac:dyDescent="0.3">
      <c r="A907" s="2">
        <v>906</v>
      </c>
      <c r="B907" s="7">
        <v>21.1</v>
      </c>
      <c r="C907" s="2" t="s">
        <v>11</v>
      </c>
      <c r="D907" s="7">
        <f>IF(ISBLANK('Raw sheet'!D907),AVERAGE('Raw sheet'!$D$2:'Raw sheet'!$D$1500),'Raw sheet'!D907)</f>
        <v>25000</v>
      </c>
      <c r="E907" s="7" t="str">
        <f>IF(Table1[[#This Row],[Family_Income]]&gt;=100000,"Upper",IF(D907&gt;=50000,"Middle","Lower"))</f>
        <v>Lower</v>
      </c>
      <c r="F907" s="2" t="s">
        <v>4</v>
      </c>
      <c r="G907" s="3">
        <f>IF(ISBLANK('Raw sheet'!F907),AVERAGE('Raw sheet'!$F$2:'Raw sheet'!$F$1500),'Raw sheet'!F907)</f>
        <v>4.83</v>
      </c>
      <c r="H907" s="18">
        <v>81.2</v>
      </c>
      <c r="I907" s="9" t="str">
        <f t="shared" si="28"/>
        <v>Good</v>
      </c>
      <c r="J907" s="2">
        <v>2</v>
      </c>
      <c r="K907" s="2">
        <v>29.4</v>
      </c>
      <c r="L907" s="2" t="s">
        <v>3</v>
      </c>
      <c r="M907" s="2" t="s">
        <v>3</v>
      </c>
      <c r="N907" s="5">
        <f>IF(ISBLANK('Raw sheet'!L907),AVERAGE('Raw sheet'!$L$2:'Raw sheet'!$L$1500),'Raw sheet'!L907)</f>
        <v>2.2000000000000002</v>
      </c>
      <c r="O907" s="5" t="str">
        <f>IF(Table1[[#This Row],[Stress_Index]]&gt;=8,"High",IF(N907&gt;=5,"Medium","Low"))</f>
        <v>Low</v>
      </c>
      <c r="P907" s="3">
        <v>4</v>
      </c>
      <c r="Q907" s="2">
        <v>4</v>
      </c>
      <c r="R907" s="3">
        <v>3.95</v>
      </c>
      <c r="S907" s="3" t="str">
        <f>IF(Table1[[#This Row],[CGPA]]&gt;=3,"High",IF(R906&gt;=2,"Medium","Low"))</f>
        <v>High</v>
      </c>
      <c r="T907" s="2" t="s">
        <v>10</v>
      </c>
      <c r="U907" s="2" t="s">
        <v>1</v>
      </c>
      <c r="V907" s="2" t="s">
        <v>9</v>
      </c>
      <c r="W907" s="7">
        <v>0</v>
      </c>
      <c r="X907" t="str">
        <f t="shared" si="29"/>
        <v>Active</v>
      </c>
    </row>
    <row r="908" spans="1:24" x14ac:dyDescent="0.3">
      <c r="A908" s="2">
        <v>907</v>
      </c>
      <c r="B908" s="7">
        <v>18</v>
      </c>
      <c r="C908" s="2" t="s">
        <v>11</v>
      </c>
      <c r="D908" s="7">
        <f>IF(ISBLANK('Raw sheet'!D908),AVERAGE('Raw sheet'!$D$2:'Raw sheet'!$D$1500),'Raw sheet'!D908)</f>
        <v>25000</v>
      </c>
      <c r="E908" s="7" t="str">
        <f>IF(Table1[[#This Row],[Family_Income]]&gt;=100000,"Upper",IF(D908&gt;=50000,"Middle","Lower"))</f>
        <v>Lower</v>
      </c>
      <c r="F908" s="2" t="s">
        <v>4</v>
      </c>
      <c r="G908" s="3">
        <f>IF(ISBLANK('Raw sheet'!F908),AVERAGE('Raw sheet'!$F$2:'Raw sheet'!$F$1500),'Raw sheet'!F908)</f>
        <v>4.1399999999999997</v>
      </c>
      <c r="H908" s="18">
        <v>91.4</v>
      </c>
      <c r="I908" s="9" t="str">
        <f t="shared" si="28"/>
        <v>Good</v>
      </c>
      <c r="J908" s="2">
        <v>0</v>
      </c>
      <c r="K908" s="2">
        <v>55.8</v>
      </c>
      <c r="L908" s="2" t="s">
        <v>4</v>
      </c>
      <c r="M908" s="2" t="s">
        <v>3</v>
      </c>
      <c r="N908" s="5">
        <f>IF(ISBLANK('Raw sheet'!L908),AVERAGE('Raw sheet'!$L$2:'Raw sheet'!$L$1500),'Raw sheet'!L908)</f>
        <v>8.4</v>
      </c>
      <c r="O908" s="5" t="str">
        <f>IF(Table1[[#This Row],[Stress_Index]]&gt;=8,"High",IF(N908&gt;=5,"Medium","Low"))</f>
        <v>High</v>
      </c>
      <c r="P908" s="3">
        <v>4</v>
      </c>
      <c r="Q908" s="2">
        <v>4</v>
      </c>
      <c r="R908" s="3">
        <v>4</v>
      </c>
      <c r="S908" s="3" t="str">
        <f>IF(Table1[[#This Row],[CGPA]]&gt;=3,"High",IF(R907&gt;=2,"Medium","Low"))</f>
        <v>High</v>
      </c>
      <c r="T908" s="2" t="s">
        <v>2</v>
      </c>
      <c r="U908" s="2" t="s">
        <v>6</v>
      </c>
      <c r="V908" s="2" t="s">
        <v>9</v>
      </c>
      <c r="W908" s="7">
        <v>0</v>
      </c>
      <c r="X908" t="str">
        <f t="shared" si="29"/>
        <v>Active</v>
      </c>
    </row>
    <row r="909" spans="1:24" x14ac:dyDescent="0.3">
      <c r="A909" s="2">
        <v>908</v>
      </c>
      <c r="B909" s="7">
        <v>22.6</v>
      </c>
      <c r="C909" s="2" t="s">
        <v>11</v>
      </c>
      <c r="D909" s="7">
        <f>IF(ISBLANK('Raw sheet'!D909),AVERAGE('Raw sheet'!$D$2:'Raw sheet'!$D$1500),'Raw sheet'!D909)</f>
        <v>25000</v>
      </c>
      <c r="E909" s="7" t="str">
        <f>IF(Table1[[#This Row],[Family_Income]]&gt;=100000,"Upper",IF(D909&gt;=50000,"Middle","Lower"))</f>
        <v>Lower</v>
      </c>
      <c r="F909" s="2" t="s">
        <v>4</v>
      </c>
      <c r="G909" s="3">
        <f>IF(ISBLANK('Raw sheet'!F909),AVERAGE('Raw sheet'!$F$2:'Raw sheet'!$F$1500),'Raw sheet'!F909)</f>
        <v>3.89</v>
      </c>
      <c r="H909" s="18">
        <v>100</v>
      </c>
      <c r="I909" s="9" t="str">
        <f t="shared" si="28"/>
        <v>Good</v>
      </c>
      <c r="J909" s="2">
        <v>2</v>
      </c>
      <c r="K909" s="2">
        <v>50.3</v>
      </c>
      <c r="L909" s="2" t="s">
        <v>3</v>
      </c>
      <c r="M909" s="2" t="s">
        <v>3</v>
      </c>
      <c r="N909" s="5">
        <f>IF(ISBLANK('Raw sheet'!L909),AVERAGE('Raw sheet'!$L$2:'Raw sheet'!$L$1500),'Raw sheet'!L909)</f>
        <v>7.6</v>
      </c>
      <c r="O909" s="5" t="str">
        <f>IF(Table1[[#This Row],[Stress_Index]]&gt;=8,"High",IF(N909&gt;=5,"Medium","Low"))</f>
        <v>Medium</v>
      </c>
      <c r="P909" s="3">
        <v>0.89</v>
      </c>
      <c r="Q909" s="2">
        <v>0.62</v>
      </c>
      <c r="R909" s="3">
        <v>0.62</v>
      </c>
      <c r="S909" s="3" t="str">
        <f>IF(Table1[[#This Row],[CGPA]]&gt;=3,"High",IF(R908&gt;=2,"Medium","Low"))</f>
        <v>Medium</v>
      </c>
      <c r="T909" s="2" t="s">
        <v>2</v>
      </c>
      <c r="U909" s="2" t="s">
        <v>13</v>
      </c>
      <c r="V909" s="2" t="s">
        <v>0</v>
      </c>
      <c r="W909" s="7">
        <v>0</v>
      </c>
      <c r="X909" t="str">
        <f t="shared" si="29"/>
        <v>Active</v>
      </c>
    </row>
    <row r="910" spans="1:24" x14ac:dyDescent="0.3">
      <c r="A910" s="2">
        <v>909</v>
      </c>
      <c r="B910" s="7">
        <v>22.4</v>
      </c>
      <c r="C910" s="2" t="s">
        <v>5</v>
      </c>
      <c r="D910" s="7">
        <f>IF(ISBLANK('Raw sheet'!D910),AVERAGE('Raw sheet'!$D$2:'Raw sheet'!$D$1500),'Raw sheet'!D910)</f>
        <v>42570</v>
      </c>
      <c r="E910" s="7" t="str">
        <f>IF(Table1[[#This Row],[Family_Income]]&gt;=100000,"Upper",IF(D910&gt;=50000,"Middle","Lower"))</f>
        <v>Lower</v>
      </c>
      <c r="F910" s="2" t="s">
        <v>4</v>
      </c>
      <c r="G910" s="3">
        <f>IF(ISBLANK('Raw sheet'!F910),AVERAGE('Raw sheet'!$F$2:'Raw sheet'!$F$1500),'Raw sheet'!F910)</f>
        <v>5.35</v>
      </c>
      <c r="H910" s="18">
        <v>68.5</v>
      </c>
      <c r="I910" s="9" t="str">
        <f t="shared" si="28"/>
        <v>Low</v>
      </c>
      <c r="J910" s="2">
        <v>1</v>
      </c>
      <c r="K910" s="2">
        <v>10.3</v>
      </c>
      <c r="L910" s="2" t="s">
        <v>3</v>
      </c>
      <c r="M910" s="2" t="s">
        <v>4</v>
      </c>
      <c r="N910" s="5">
        <f>IF(ISBLANK('Raw sheet'!L910),AVERAGE('Raw sheet'!$L$2:'Raw sheet'!$L$1500),'Raw sheet'!L910)</f>
        <v>4.4000000000000004</v>
      </c>
      <c r="O910" s="5" t="str">
        <f>IF(Table1[[#This Row],[Stress_Index]]&gt;=8,"High",IF(N910&gt;=5,"Medium","Low"))</f>
        <v>Low</v>
      </c>
      <c r="P910" s="3">
        <v>1.97</v>
      </c>
      <c r="Q910" s="2">
        <v>1.71</v>
      </c>
      <c r="R910" s="3">
        <v>1.67</v>
      </c>
      <c r="S910" s="3" t="str">
        <f>IF(Table1[[#This Row],[CGPA]]&gt;=3,"High",IF(R909&gt;=2,"Medium","Low"))</f>
        <v>Low</v>
      </c>
      <c r="T910" s="2" t="s">
        <v>12</v>
      </c>
      <c r="U910" s="2" t="s">
        <v>8</v>
      </c>
      <c r="V910" s="2" t="s">
        <v>17</v>
      </c>
      <c r="W910" s="7">
        <v>0</v>
      </c>
      <c r="X910" t="str">
        <f t="shared" si="29"/>
        <v>Active</v>
      </c>
    </row>
    <row r="911" spans="1:24" x14ac:dyDescent="0.3">
      <c r="A911" s="2">
        <v>910</v>
      </c>
      <c r="B911" s="7">
        <v>25.8</v>
      </c>
      <c r="C911" s="2" t="s">
        <v>5</v>
      </c>
      <c r="D911" s="7">
        <f>IF(ISBLANK('Raw sheet'!D911),AVERAGE('Raw sheet'!$D$2:'Raw sheet'!$D$1500),'Raw sheet'!D911)</f>
        <v>64829</v>
      </c>
      <c r="E911" s="7" t="str">
        <f>IF(Table1[[#This Row],[Family_Income]]&gt;=100000,"Upper",IF(D911&gt;=50000,"Middle","Lower"))</f>
        <v>Middle</v>
      </c>
      <c r="F911" s="2" t="s">
        <v>3</v>
      </c>
      <c r="G911" s="3">
        <f>IF(ISBLANK('Raw sheet'!F911),AVERAGE('Raw sheet'!$F$2:'Raw sheet'!$F$1500),'Raw sheet'!F911)</f>
        <v>5.09</v>
      </c>
      <c r="H911" s="18">
        <v>77.900000000000006</v>
      </c>
      <c r="I911" s="9" t="str">
        <f t="shared" si="28"/>
        <v>Good</v>
      </c>
      <c r="J911" s="2">
        <v>0</v>
      </c>
      <c r="K911" s="2">
        <v>35.799999999999997</v>
      </c>
      <c r="L911" s="2" t="s">
        <v>3</v>
      </c>
      <c r="M911" s="2" t="s">
        <v>3</v>
      </c>
      <c r="N911" s="5">
        <f>IF(ISBLANK('Raw sheet'!L911),AVERAGE('Raw sheet'!$L$2:'Raw sheet'!$L$1500),'Raw sheet'!L911)</f>
        <v>8.9</v>
      </c>
      <c r="O911" s="5" t="str">
        <f>IF(Table1[[#This Row],[Stress_Index]]&gt;=8,"High",IF(N911&gt;=5,"Medium","Low"))</f>
        <v>High</v>
      </c>
      <c r="P911" s="3">
        <v>1.65</v>
      </c>
      <c r="Q911" s="2">
        <v>1.67</v>
      </c>
      <c r="R911" s="3">
        <v>1.65</v>
      </c>
      <c r="S911" s="3" t="str">
        <f>IF(Table1[[#This Row],[CGPA]]&gt;=3,"High",IF(R910&gt;=2,"Medium","Low"))</f>
        <v>Low</v>
      </c>
      <c r="T911" s="2" t="s">
        <v>10</v>
      </c>
      <c r="U911" s="2" t="s">
        <v>6</v>
      </c>
      <c r="V911" s="2" t="s">
        <v>9</v>
      </c>
      <c r="W911" s="7">
        <v>0</v>
      </c>
      <c r="X911" t="str">
        <f t="shared" si="29"/>
        <v>Active</v>
      </c>
    </row>
    <row r="912" spans="1:24" x14ac:dyDescent="0.3">
      <c r="A912" s="2">
        <v>911</v>
      </c>
      <c r="B912" s="7">
        <v>20.3</v>
      </c>
      <c r="C912" s="2" t="s">
        <v>11</v>
      </c>
      <c r="D912" s="7">
        <f>IF(ISBLANK('Raw sheet'!D912),AVERAGE('Raw sheet'!$D$2:'Raw sheet'!$D$1500),'Raw sheet'!D912)</f>
        <v>25000</v>
      </c>
      <c r="E912" s="7" t="str">
        <f>IF(Table1[[#This Row],[Family_Income]]&gt;=100000,"Upper",IF(D912&gt;=50000,"Middle","Lower"))</f>
        <v>Lower</v>
      </c>
      <c r="F912" s="2" t="s">
        <v>4</v>
      </c>
      <c r="G912" s="3">
        <f>IF(ISBLANK('Raw sheet'!F912),AVERAGE('Raw sheet'!$F$2:'Raw sheet'!$F$1500),'Raw sheet'!F912)</f>
        <v>4.5</v>
      </c>
      <c r="H912" s="18">
        <v>78.8</v>
      </c>
      <c r="I912" s="9" t="str">
        <f t="shared" si="28"/>
        <v>Good</v>
      </c>
      <c r="J912" s="2">
        <v>0</v>
      </c>
      <c r="K912" s="2">
        <v>29.9</v>
      </c>
      <c r="L912" s="2" t="s">
        <v>3</v>
      </c>
      <c r="M912" s="2" t="s">
        <v>3</v>
      </c>
      <c r="N912" s="5">
        <f>IF(ISBLANK('Raw sheet'!L912),AVERAGE('Raw sheet'!$L$2:'Raw sheet'!$L$1500),'Raw sheet'!L912)</f>
        <v>6.3</v>
      </c>
      <c r="O912" s="5" t="str">
        <f>IF(Table1[[#This Row],[Stress_Index]]&gt;=8,"High",IF(N912&gt;=5,"Medium","Low"))</f>
        <v>Medium</v>
      </c>
      <c r="P912" s="3">
        <v>2.56</v>
      </c>
      <c r="Q912" s="2">
        <v>2.69</v>
      </c>
      <c r="R912" s="3">
        <v>2.76</v>
      </c>
      <c r="S912" s="3" t="str">
        <f>IF(Table1[[#This Row],[CGPA]]&gt;=3,"High",IF(R911&gt;=2,"Medium","Low"))</f>
        <v>Low</v>
      </c>
      <c r="T912" s="2" t="s">
        <v>7</v>
      </c>
      <c r="U912" s="2" t="s">
        <v>13</v>
      </c>
      <c r="V912" s="2" t="s">
        <v>9</v>
      </c>
      <c r="W912" s="7">
        <v>0</v>
      </c>
      <c r="X912" t="str">
        <f t="shared" si="29"/>
        <v>Active</v>
      </c>
    </row>
    <row r="913" spans="1:24" x14ac:dyDescent="0.3">
      <c r="A913" s="2">
        <v>912</v>
      </c>
      <c r="B913" s="7">
        <v>21.5</v>
      </c>
      <c r="C913" s="2" t="s">
        <v>11</v>
      </c>
      <c r="D913" s="7">
        <f>IF(ISBLANK('Raw sheet'!D913),AVERAGE('Raw sheet'!$D$2:'Raw sheet'!$D$1500),'Raw sheet'!D913)</f>
        <v>25000</v>
      </c>
      <c r="E913" s="7" t="str">
        <f>IF(Table1[[#This Row],[Family_Income]]&gt;=100000,"Upper",IF(D913&gt;=50000,"Middle","Lower"))</f>
        <v>Lower</v>
      </c>
      <c r="F913" s="2" t="s">
        <v>4</v>
      </c>
      <c r="G913" s="3">
        <f>IF(ISBLANK('Raw sheet'!F913),AVERAGE('Raw sheet'!$F$2:'Raw sheet'!$F$1500),'Raw sheet'!F913)</f>
        <v>4.59</v>
      </c>
      <c r="H913" s="18">
        <v>90.3</v>
      </c>
      <c r="I913" s="9" t="str">
        <f t="shared" si="28"/>
        <v>Good</v>
      </c>
      <c r="J913" s="2">
        <v>2</v>
      </c>
      <c r="K913" s="2">
        <v>40</v>
      </c>
      <c r="L913" s="2" t="s">
        <v>3</v>
      </c>
      <c r="M913" s="2" t="s">
        <v>4</v>
      </c>
      <c r="N913" s="5">
        <f>IF(ISBLANK('Raw sheet'!L913),AVERAGE('Raw sheet'!$L$2:'Raw sheet'!$L$1500),'Raw sheet'!L913)</f>
        <v>5.0999999999999996</v>
      </c>
      <c r="O913" s="5" t="str">
        <f>IF(Table1[[#This Row],[Stress_Index]]&gt;=8,"High",IF(N913&gt;=5,"Medium","Low"))</f>
        <v>Medium</v>
      </c>
      <c r="P913" s="3">
        <v>1.4</v>
      </c>
      <c r="Q913" s="2">
        <v>1.48</v>
      </c>
      <c r="R913" s="3">
        <v>1.48</v>
      </c>
      <c r="S913" s="3" t="str">
        <f>IF(Table1[[#This Row],[CGPA]]&gt;=3,"High",IF(R912&gt;=2,"Medium","Low"))</f>
        <v>Medium</v>
      </c>
      <c r="T913" s="2" t="s">
        <v>2</v>
      </c>
      <c r="U913" s="2" t="s">
        <v>13</v>
      </c>
      <c r="V913" s="2" t="s">
        <v>9</v>
      </c>
      <c r="W913" s="7">
        <v>1</v>
      </c>
      <c r="X913" t="str">
        <f t="shared" si="29"/>
        <v>Dropped Out</v>
      </c>
    </row>
    <row r="914" spans="1:24" x14ac:dyDescent="0.3">
      <c r="A914" s="2">
        <v>913</v>
      </c>
      <c r="B914" s="7">
        <v>21.5</v>
      </c>
      <c r="C914" s="2" t="s">
        <v>5</v>
      </c>
      <c r="D914" s="7">
        <f>IF(ISBLANK('Raw sheet'!D914),AVERAGE('Raw sheet'!$D$2:'Raw sheet'!$D$1500),'Raw sheet'!D914)</f>
        <v>48146</v>
      </c>
      <c r="E914" s="7" t="str">
        <f>IF(Table1[[#This Row],[Family_Income]]&gt;=100000,"Upper",IF(D914&gt;=50000,"Middle","Lower"))</f>
        <v>Lower</v>
      </c>
      <c r="F914" s="2" t="s">
        <v>4</v>
      </c>
      <c r="G914" s="3">
        <f>IF(ISBLANK('Raw sheet'!F914),AVERAGE('Raw sheet'!$F$2:'Raw sheet'!$F$1500),'Raw sheet'!F914)</f>
        <v>3.44</v>
      </c>
      <c r="H914" s="18">
        <v>84.8</v>
      </c>
      <c r="I914" s="9" t="str">
        <f t="shared" si="28"/>
        <v>Good</v>
      </c>
      <c r="J914" s="2">
        <v>0</v>
      </c>
      <c r="K914" s="2">
        <v>32.6</v>
      </c>
      <c r="L914" s="2" t="s">
        <v>3</v>
      </c>
      <c r="M914" s="2" t="s">
        <v>4</v>
      </c>
      <c r="N914" s="5">
        <f>IF(ISBLANK('Raw sheet'!L914),AVERAGE('Raw sheet'!$L$2:'Raw sheet'!$L$1500),'Raw sheet'!L914)</f>
        <v>2.2999999999999998</v>
      </c>
      <c r="O914" s="5" t="str">
        <f>IF(Table1[[#This Row],[Stress_Index]]&gt;=8,"High",IF(N914&gt;=5,"Medium","Low"))</f>
        <v>Low</v>
      </c>
      <c r="P914" s="3">
        <v>2.5499999999999998</v>
      </c>
      <c r="Q914" s="2">
        <v>3.14</v>
      </c>
      <c r="R914" s="3">
        <v>3.19</v>
      </c>
      <c r="S914" s="3" t="str">
        <f>IF(Table1[[#This Row],[CGPA]]&gt;=3,"High",IF(R913&gt;=2,"Medium","Low"))</f>
        <v>High</v>
      </c>
      <c r="T914" s="2" t="s">
        <v>10</v>
      </c>
      <c r="U914" s="2" t="s">
        <v>14</v>
      </c>
      <c r="V914" s="2" t="s">
        <v>9</v>
      </c>
      <c r="W914" s="7">
        <v>0</v>
      </c>
      <c r="X914" t="str">
        <f t="shared" si="29"/>
        <v>Active</v>
      </c>
    </row>
    <row r="915" spans="1:24" x14ac:dyDescent="0.3">
      <c r="A915" s="2">
        <v>914</v>
      </c>
      <c r="B915" s="7">
        <v>24.5</v>
      </c>
      <c r="C915" s="2" t="s">
        <v>5</v>
      </c>
      <c r="D915" s="7">
        <f>IF(ISBLANK('Raw sheet'!D915),AVERAGE('Raw sheet'!$D$2:'Raw sheet'!$D$1500),'Raw sheet'!D915)</f>
        <v>25000</v>
      </c>
      <c r="E915" s="7" t="str">
        <f>IF(Table1[[#This Row],[Family_Income]]&gt;=100000,"Upper",IF(D915&gt;=50000,"Middle","Lower"))</f>
        <v>Lower</v>
      </c>
      <c r="F915" s="2" t="s">
        <v>4</v>
      </c>
      <c r="G915" s="3">
        <f>IF(ISBLANK('Raw sheet'!F915),AVERAGE('Raw sheet'!$F$2:'Raw sheet'!$F$1500),'Raw sheet'!F915)</f>
        <v>4.72</v>
      </c>
      <c r="H915" s="18">
        <v>77.900000000000006</v>
      </c>
      <c r="I915" s="9" t="str">
        <f t="shared" si="28"/>
        <v>Good</v>
      </c>
      <c r="J915" s="2">
        <v>3</v>
      </c>
      <c r="K915" s="2">
        <v>20.2</v>
      </c>
      <c r="L915" s="2" t="s">
        <v>4</v>
      </c>
      <c r="M915" s="2" t="s">
        <v>3</v>
      </c>
      <c r="N915" s="5">
        <f>IF(ISBLANK('Raw sheet'!L915),AVERAGE('Raw sheet'!$L$2:'Raw sheet'!$L$1500),'Raw sheet'!L915)</f>
        <v>5.7</v>
      </c>
      <c r="O915" s="5" t="str">
        <f>IF(Table1[[#This Row],[Stress_Index]]&gt;=8,"High",IF(N915&gt;=5,"Medium","Low"))</f>
        <v>Medium</v>
      </c>
      <c r="P915" s="3">
        <v>2.19</v>
      </c>
      <c r="Q915" s="2">
        <v>1.71</v>
      </c>
      <c r="R915" s="3">
        <v>1.71</v>
      </c>
      <c r="S915" s="3" t="str">
        <f>IF(Table1[[#This Row],[CGPA]]&gt;=3,"High",IF(R914&gt;=2,"Medium","Low"))</f>
        <v>Medium</v>
      </c>
      <c r="T915" s="2" t="s">
        <v>2</v>
      </c>
      <c r="U915" s="2" t="s">
        <v>13</v>
      </c>
      <c r="V915" s="2" t="s">
        <v>0</v>
      </c>
      <c r="W915" s="7">
        <v>0</v>
      </c>
      <c r="X915" t="str">
        <f t="shared" si="29"/>
        <v>Active</v>
      </c>
    </row>
    <row r="916" spans="1:24" x14ac:dyDescent="0.3">
      <c r="A916" s="2">
        <v>915</v>
      </c>
      <c r="B916" s="7">
        <v>20.8</v>
      </c>
      <c r="C916" s="2" t="s">
        <v>5</v>
      </c>
      <c r="D916" s="7">
        <f>IF(ISBLANK('Raw sheet'!D916),AVERAGE('Raw sheet'!$D$2:'Raw sheet'!$D$1500),'Raw sheet'!D916)</f>
        <v>61804</v>
      </c>
      <c r="E916" s="7" t="str">
        <f>IF(Table1[[#This Row],[Family_Income]]&gt;=100000,"Upper",IF(D916&gt;=50000,"Middle","Lower"))</f>
        <v>Middle</v>
      </c>
      <c r="F916" s="2" t="s">
        <v>4</v>
      </c>
      <c r="G916" s="3">
        <f>IF(ISBLANK('Raw sheet'!F916),AVERAGE('Raw sheet'!$F$2:'Raw sheet'!$F$1500),'Raw sheet'!F916)</f>
        <v>6.02</v>
      </c>
      <c r="H916" s="18">
        <v>70.7</v>
      </c>
      <c r="I916" s="9" t="str">
        <f t="shared" si="28"/>
        <v>Low</v>
      </c>
      <c r="J916" s="2">
        <v>1</v>
      </c>
      <c r="K916" s="2">
        <v>17.600000000000001</v>
      </c>
      <c r="L916" s="2" t="s">
        <v>3</v>
      </c>
      <c r="M916" s="2" t="s">
        <v>3</v>
      </c>
      <c r="N916" s="5">
        <f>IF(ISBLANK('Raw sheet'!L916),AVERAGE('Raw sheet'!$L$2:'Raw sheet'!$L$1500),'Raw sheet'!L916)</f>
        <v>5.6</v>
      </c>
      <c r="O916" s="5" t="str">
        <f>IF(Table1[[#This Row],[Stress_Index]]&gt;=8,"High",IF(N916&gt;=5,"Medium","Low"))</f>
        <v>Medium</v>
      </c>
      <c r="P916" s="3">
        <v>2.4500000000000002</v>
      </c>
      <c r="Q916" s="2">
        <v>1.72</v>
      </c>
      <c r="R916" s="3">
        <v>1.69</v>
      </c>
      <c r="S916" s="3" t="str">
        <f>IF(Table1[[#This Row],[CGPA]]&gt;=3,"High",IF(R915&gt;=2,"Medium","Low"))</f>
        <v>Low</v>
      </c>
      <c r="T916" s="2" t="s">
        <v>10</v>
      </c>
      <c r="U916" s="2" t="s">
        <v>6</v>
      </c>
      <c r="V916" s="2" t="s">
        <v>16</v>
      </c>
      <c r="W916" s="7">
        <v>0</v>
      </c>
      <c r="X916" t="str">
        <f t="shared" si="29"/>
        <v>Active</v>
      </c>
    </row>
    <row r="917" spans="1:24" x14ac:dyDescent="0.3">
      <c r="A917" s="2">
        <v>916</v>
      </c>
      <c r="B917" s="7">
        <v>21.6</v>
      </c>
      <c r="C917" s="2" t="s">
        <v>11</v>
      </c>
      <c r="D917" s="7">
        <f>IF(ISBLANK('Raw sheet'!D917),AVERAGE('Raw sheet'!$D$2:'Raw sheet'!$D$1500),'Raw sheet'!D917)</f>
        <v>25000</v>
      </c>
      <c r="E917" s="7" t="str">
        <f>IF(Table1[[#This Row],[Family_Income]]&gt;=100000,"Upper",IF(D917&gt;=50000,"Middle","Lower"))</f>
        <v>Lower</v>
      </c>
      <c r="F917" s="2" t="s">
        <v>4</v>
      </c>
      <c r="G917" s="3">
        <f>IF(ISBLANK('Raw sheet'!F917),AVERAGE('Raw sheet'!$F$2:'Raw sheet'!$F$1500),'Raw sheet'!F917)</f>
        <v>5.33</v>
      </c>
      <c r="H917" s="18">
        <v>90.1</v>
      </c>
      <c r="I917" s="9" t="str">
        <f t="shared" si="28"/>
        <v>Good</v>
      </c>
      <c r="J917" s="2">
        <v>1</v>
      </c>
      <c r="K917" s="2">
        <v>25.2</v>
      </c>
      <c r="L917" s="2" t="s">
        <v>4</v>
      </c>
      <c r="M917" s="2" t="s">
        <v>4</v>
      </c>
      <c r="N917" s="5">
        <f>IF(ISBLANK('Raw sheet'!L917),AVERAGE('Raw sheet'!$L$2:'Raw sheet'!$L$1500),'Raw sheet'!L917)</f>
        <v>9.5</v>
      </c>
      <c r="O917" s="5" t="str">
        <f>IF(Table1[[#This Row],[Stress_Index]]&gt;=8,"High",IF(N917&gt;=5,"Medium","Low"))</f>
        <v>High</v>
      </c>
      <c r="P917" s="3">
        <v>2.08</v>
      </c>
      <c r="Q917" s="2">
        <v>2</v>
      </c>
      <c r="R917" s="3">
        <v>2.09</v>
      </c>
      <c r="S917" s="3" t="str">
        <f>IF(Table1[[#This Row],[CGPA]]&gt;=3,"High",IF(R916&gt;=2,"Medium","Low"))</f>
        <v>Low</v>
      </c>
      <c r="T917" s="2" t="s">
        <v>12</v>
      </c>
      <c r="U917" s="2" t="s">
        <v>1</v>
      </c>
      <c r="V917" s="2" t="s">
        <v>9</v>
      </c>
      <c r="W917" s="7">
        <v>0</v>
      </c>
      <c r="X917" t="str">
        <f t="shared" si="29"/>
        <v>Active</v>
      </c>
    </row>
    <row r="918" spans="1:24" x14ac:dyDescent="0.3">
      <c r="A918" s="2">
        <v>917</v>
      </c>
      <c r="B918" s="7">
        <v>22.3</v>
      </c>
      <c r="C918" s="2" t="s">
        <v>5</v>
      </c>
      <c r="D918" s="7">
        <f>IF(ISBLANK('Raw sheet'!D918),AVERAGE('Raw sheet'!$D$2:'Raw sheet'!$D$1500),'Raw sheet'!D918)</f>
        <v>25000</v>
      </c>
      <c r="E918" s="7" t="str">
        <f>IF(Table1[[#This Row],[Family_Income]]&gt;=100000,"Upper",IF(D918&gt;=50000,"Middle","Lower"))</f>
        <v>Lower</v>
      </c>
      <c r="F918" s="2" t="s">
        <v>3</v>
      </c>
      <c r="G918" s="3">
        <f>IF(ISBLANK('Raw sheet'!F918),AVERAGE('Raw sheet'!$F$2:'Raw sheet'!$F$1500),'Raw sheet'!F918)</f>
        <v>1.57</v>
      </c>
      <c r="H918" s="18">
        <v>80.400000000000006</v>
      </c>
      <c r="I918" s="9" t="str">
        <f t="shared" si="28"/>
        <v>Good</v>
      </c>
      <c r="J918" s="2">
        <v>0</v>
      </c>
      <c r="K918" s="2">
        <v>28.6</v>
      </c>
      <c r="L918" s="2" t="s">
        <v>3</v>
      </c>
      <c r="M918" s="2" t="s">
        <v>4</v>
      </c>
      <c r="N918" s="5">
        <f>IF(ISBLANK('Raw sheet'!L918),AVERAGE('Raw sheet'!$L$2:'Raw sheet'!$L$1500),'Raw sheet'!L918)</f>
        <v>3.8</v>
      </c>
      <c r="O918" s="5" t="str">
        <f>IF(Table1[[#This Row],[Stress_Index]]&gt;=8,"High",IF(N918&gt;=5,"Medium","Low"))</f>
        <v>Low</v>
      </c>
      <c r="P918" s="3">
        <v>3.43</v>
      </c>
      <c r="Q918" s="2">
        <v>3.37</v>
      </c>
      <c r="R918" s="3">
        <v>3.37</v>
      </c>
      <c r="S918" s="3" t="str">
        <f>IF(Table1[[#This Row],[CGPA]]&gt;=3,"High",IF(R917&gt;=2,"Medium","Low"))</f>
        <v>High</v>
      </c>
      <c r="T918" s="2" t="s">
        <v>2</v>
      </c>
      <c r="U918" s="2" t="s">
        <v>8</v>
      </c>
      <c r="V918" s="2" t="s">
        <v>15</v>
      </c>
      <c r="W918" s="7">
        <v>0</v>
      </c>
      <c r="X918" t="str">
        <f t="shared" si="29"/>
        <v>Active</v>
      </c>
    </row>
    <row r="919" spans="1:24" x14ac:dyDescent="0.3">
      <c r="A919" s="2">
        <v>918</v>
      </c>
      <c r="B919" s="7">
        <v>21.4</v>
      </c>
      <c r="C919" s="2" t="s">
        <v>5</v>
      </c>
      <c r="D919" s="7">
        <f>IF(ISBLANK('Raw sheet'!D919),AVERAGE('Raw sheet'!$D$2:'Raw sheet'!$D$1500),'Raw sheet'!D919)</f>
        <v>34513</v>
      </c>
      <c r="E919" s="7" t="str">
        <f>IF(Table1[[#This Row],[Family_Income]]&gt;=100000,"Upper",IF(D919&gt;=50000,"Middle","Lower"))</f>
        <v>Lower</v>
      </c>
      <c r="F919" s="2" t="s">
        <v>4</v>
      </c>
      <c r="G919" s="3">
        <f>IF(ISBLANK('Raw sheet'!F919),AVERAGE('Raw sheet'!$F$2:'Raw sheet'!$F$1500),'Raw sheet'!F919)</f>
        <v>4.59</v>
      </c>
      <c r="H919" s="18">
        <v>72.7</v>
      </c>
      <c r="I919" s="9" t="str">
        <f t="shared" si="28"/>
        <v>Low</v>
      </c>
      <c r="J919" s="2">
        <v>0</v>
      </c>
      <c r="K919" s="2">
        <v>32.299999999999997</v>
      </c>
      <c r="L919" s="2" t="s">
        <v>3</v>
      </c>
      <c r="M919" s="2" t="s">
        <v>3</v>
      </c>
      <c r="N919" s="5">
        <f>IF(ISBLANK('Raw sheet'!L919),AVERAGE('Raw sheet'!$L$2:'Raw sheet'!$L$1500),'Raw sheet'!L919)</f>
        <v>3.9</v>
      </c>
      <c r="O919" s="5" t="str">
        <f>IF(Table1[[#This Row],[Stress_Index]]&gt;=8,"High",IF(N919&gt;=5,"Medium","Low"))</f>
        <v>Low</v>
      </c>
      <c r="P919" s="3">
        <v>2.2999999999999998</v>
      </c>
      <c r="Q919" s="2">
        <v>2.74</v>
      </c>
      <c r="R919" s="3">
        <v>2.72</v>
      </c>
      <c r="S919" s="3" t="str">
        <f>IF(Table1[[#This Row],[CGPA]]&gt;=3,"High",IF(R918&gt;=2,"Medium","Low"))</f>
        <v>Medium</v>
      </c>
      <c r="T919" s="2" t="s">
        <v>7</v>
      </c>
      <c r="U919" s="2" t="s">
        <v>13</v>
      </c>
      <c r="V919" s="2" t="s">
        <v>9</v>
      </c>
      <c r="W919" s="7">
        <v>0</v>
      </c>
      <c r="X919" t="str">
        <f t="shared" si="29"/>
        <v>Active</v>
      </c>
    </row>
    <row r="920" spans="1:24" x14ac:dyDescent="0.3">
      <c r="A920" s="2">
        <v>919</v>
      </c>
      <c r="B920" s="7">
        <v>20</v>
      </c>
      <c r="C920" s="2" t="s">
        <v>11</v>
      </c>
      <c r="D920" s="7">
        <f>IF(ISBLANK('Raw sheet'!D920),AVERAGE('Raw sheet'!$D$2:'Raw sheet'!$D$1500),'Raw sheet'!D920)</f>
        <v>25000</v>
      </c>
      <c r="E920" s="7" t="str">
        <f>IF(Table1[[#This Row],[Family_Income]]&gt;=100000,"Upper",IF(D920&gt;=50000,"Middle","Lower"))</f>
        <v>Lower</v>
      </c>
      <c r="F920" s="2" t="s">
        <v>4</v>
      </c>
      <c r="G920" s="3">
        <f>IF(ISBLANK('Raw sheet'!F920),AVERAGE('Raw sheet'!$F$2:'Raw sheet'!$F$1500),'Raw sheet'!F920)</f>
        <v>4.6900000000000004</v>
      </c>
      <c r="H920" s="18">
        <v>76.5</v>
      </c>
      <c r="I920" s="9" t="str">
        <f t="shared" si="28"/>
        <v>Good</v>
      </c>
      <c r="J920" s="2">
        <v>3</v>
      </c>
      <c r="K920" s="2">
        <v>23.2</v>
      </c>
      <c r="L920" s="2" t="s">
        <v>4</v>
      </c>
      <c r="M920" s="2" t="s">
        <v>4</v>
      </c>
      <c r="N920" s="5">
        <f>IF(ISBLANK('Raw sheet'!L920),AVERAGE('Raw sheet'!$L$2:'Raw sheet'!$L$1500),'Raw sheet'!L920)</f>
        <v>4.5999999999999996</v>
      </c>
      <c r="O920" s="5" t="str">
        <f>IF(Table1[[#This Row],[Stress_Index]]&gt;=8,"High",IF(N920&gt;=5,"Medium","Low"))</f>
        <v>Low</v>
      </c>
      <c r="P920" s="3">
        <v>2.74</v>
      </c>
      <c r="Q920" s="2">
        <v>2.67</v>
      </c>
      <c r="R920" s="3">
        <v>2.74</v>
      </c>
      <c r="S920" s="3" t="str">
        <f>IF(Table1[[#This Row],[CGPA]]&gt;=3,"High",IF(R919&gt;=2,"Medium","Low"))</f>
        <v>Medium</v>
      </c>
      <c r="T920" s="2" t="s">
        <v>7</v>
      </c>
      <c r="U920" s="2" t="s">
        <v>1</v>
      </c>
      <c r="V920" s="2" t="s">
        <v>16</v>
      </c>
      <c r="W920" s="7">
        <v>0</v>
      </c>
      <c r="X920" t="str">
        <f t="shared" si="29"/>
        <v>Active</v>
      </c>
    </row>
    <row r="921" spans="1:24" x14ac:dyDescent="0.3">
      <c r="A921" s="2">
        <v>920</v>
      </c>
      <c r="B921" s="7">
        <v>21.4</v>
      </c>
      <c r="C921" s="2" t="s">
        <v>5</v>
      </c>
      <c r="D921" s="7">
        <f>IF(ISBLANK('Raw sheet'!D921),AVERAGE('Raw sheet'!$D$2:'Raw sheet'!$D$1500),'Raw sheet'!D921)</f>
        <v>25000</v>
      </c>
      <c r="E921" s="7" t="str">
        <f>IF(Table1[[#This Row],[Family_Income]]&gt;=100000,"Upper",IF(D921&gt;=50000,"Middle","Lower"))</f>
        <v>Lower</v>
      </c>
      <c r="F921" s="2" t="s">
        <v>4</v>
      </c>
      <c r="G921" s="3">
        <f>IF(ISBLANK('Raw sheet'!F921),AVERAGE('Raw sheet'!$F$2:'Raw sheet'!$F$1500),'Raw sheet'!F921)</f>
        <v>5.47</v>
      </c>
      <c r="H921" s="18">
        <v>78.599999999999994</v>
      </c>
      <c r="I921" s="9" t="str">
        <f t="shared" si="28"/>
        <v>Good</v>
      </c>
      <c r="J921" s="2">
        <v>2</v>
      </c>
      <c r="K921" s="2">
        <v>50.5</v>
      </c>
      <c r="L921" s="2" t="s">
        <v>3</v>
      </c>
      <c r="M921" s="2" t="s">
        <v>4</v>
      </c>
      <c r="N921" s="5">
        <f>IF(ISBLANK('Raw sheet'!L921),AVERAGE('Raw sheet'!$L$2:'Raw sheet'!$L$1500),'Raw sheet'!L921)</f>
        <v>10</v>
      </c>
      <c r="O921" s="5" t="str">
        <f>IF(Table1[[#This Row],[Stress_Index]]&gt;=8,"High",IF(N921&gt;=5,"Medium","Low"))</f>
        <v>High</v>
      </c>
      <c r="P921" s="3">
        <v>1.31</v>
      </c>
      <c r="Q921" s="2">
        <v>0.82</v>
      </c>
      <c r="R921" s="3">
        <v>0.78</v>
      </c>
      <c r="S921" s="3" t="str">
        <f>IF(Table1[[#This Row],[CGPA]]&gt;=3,"High",IF(R920&gt;=2,"Medium","Low"))</f>
        <v>Medium</v>
      </c>
      <c r="T921" s="2" t="s">
        <v>12</v>
      </c>
      <c r="U921" s="2" t="s">
        <v>6</v>
      </c>
      <c r="V921" s="2" t="s">
        <v>15</v>
      </c>
      <c r="W921" s="7">
        <v>0</v>
      </c>
      <c r="X921" t="str">
        <f t="shared" si="29"/>
        <v>Active</v>
      </c>
    </row>
    <row r="922" spans="1:24" x14ac:dyDescent="0.3">
      <c r="A922" s="2">
        <v>921</v>
      </c>
      <c r="B922" s="7">
        <v>23.4</v>
      </c>
      <c r="C922" s="2" t="s">
        <v>5</v>
      </c>
      <c r="D922" s="7">
        <f>IF(ISBLANK('Raw sheet'!D922),AVERAGE('Raw sheet'!$D$2:'Raw sheet'!$D$1500),'Raw sheet'!D922)</f>
        <v>36768</v>
      </c>
      <c r="E922" s="7" t="str">
        <f>IF(Table1[[#This Row],[Family_Income]]&gt;=100000,"Upper",IF(D922&gt;=50000,"Middle","Lower"))</f>
        <v>Lower</v>
      </c>
      <c r="F922" s="2" t="s">
        <v>4</v>
      </c>
      <c r="G922" s="3">
        <f>IF(ISBLANK('Raw sheet'!F922),AVERAGE('Raw sheet'!$F$2:'Raw sheet'!$F$1500),'Raw sheet'!F922)</f>
        <v>5.61</v>
      </c>
      <c r="H922" s="18">
        <v>79.599999999999994</v>
      </c>
      <c r="I922" s="9" t="str">
        <f t="shared" si="28"/>
        <v>Good</v>
      </c>
      <c r="J922" s="2">
        <v>1</v>
      </c>
      <c r="K922" s="2">
        <v>36.4</v>
      </c>
      <c r="L922" s="2" t="s">
        <v>4</v>
      </c>
      <c r="M922" s="2" t="s">
        <v>3</v>
      </c>
      <c r="N922" s="5">
        <f>IF(ISBLANK('Raw sheet'!L922),AVERAGE('Raw sheet'!$L$2:'Raw sheet'!$L$1500),'Raw sheet'!L922)</f>
        <v>3.4</v>
      </c>
      <c r="O922" s="5" t="str">
        <f>IF(Table1[[#This Row],[Stress_Index]]&gt;=8,"High",IF(N922&gt;=5,"Medium","Low"))</f>
        <v>Low</v>
      </c>
      <c r="P922" s="3">
        <v>4</v>
      </c>
      <c r="Q922" s="2">
        <v>4</v>
      </c>
      <c r="R922" s="3">
        <v>3.97</v>
      </c>
      <c r="S922" s="3" t="str">
        <f>IF(Table1[[#This Row],[CGPA]]&gt;=3,"High",IF(R921&gt;=2,"Medium","Low"))</f>
        <v>High</v>
      </c>
      <c r="T922" s="2" t="s">
        <v>7</v>
      </c>
      <c r="U922" s="2" t="s">
        <v>14</v>
      </c>
      <c r="V922" s="2" t="s">
        <v>15</v>
      </c>
      <c r="W922" s="7">
        <v>0</v>
      </c>
      <c r="X922" t="str">
        <f t="shared" si="29"/>
        <v>Active</v>
      </c>
    </row>
    <row r="923" spans="1:24" x14ac:dyDescent="0.3">
      <c r="A923" s="2">
        <v>922</v>
      </c>
      <c r="B923" s="7">
        <v>18.7</v>
      </c>
      <c r="C923" s="2" t="s">
        <v>5</v>
      </c>
      <c r="D923" s="7">
        <f>IF(ISBLANK('Raw sheet'!D923),AVERAGE('Raw sheet'!$D$2:'Raw sheet'!$D$1500),'Raw sheet'!D923)</f>
        <v>25000</v>
      </c>
      <c r="E923" s="7" t="str">
        <f>IF(Table1[[#This Row],[Family_Income]]&gt;=100000,"Upper",IF(D923&gt;=50000,"Middle","Lower"))</f>
        <v>Lower</v>
      </c>
      <c r="F923" s="2" t="s">
        <v>4</v>
      </c>
      <c r="G923" s="3">
        <f>IF(ISBLANK('Raw sheet'!F923),AVERAGE('Raw sheet'!$F$2:'Raw sheet'!$F$1500),'Raw sheet'!F923)</f>
        <v>4.6399999999999997</v>
      </c>
      <c r="H923" s="18">
        <v>73.599999999999994</v>
      </c>
      <c r="I923" s="9" t="str">
        <f t="shared" si="28"/>
        <v>Low</v>
      </c>
      <c r="J923" s="2">
        <v>2</v>
      </c>
      <c r="K923" s="2">
        <v>40.5</v>
      </c>
      <c r="L923" s="2" t="s">
        <v>3</v>
      </c>
      <c r="M923" s="2" t="s">
        <v>3</v>
      </c>
      <c r="N923" s="5">
        <f>IF(ISBLANK('Raw sheet'!L923),AVERAGE('Raw sheet'!$L$2:'Raw sheet'!$L$1500),'Raw sheet'!L923)</f>
        <v>7.9</v>
      </c>
      <c r="O923" s="5" t="str">
        <f>IF(Table1[[#This Row],[Stress_Index]]&gt;=8,"High",IF(N923&gt;=5,"Medium","Low"))</f>
        <v>Medium</v>
      </c>
      <c r="P923" s="3">
        <v>1.23</v>
      </c>
      <c r="Q923" s="2">
        <v>1.26</v>
      </c>
      <c r="R923" s="3">
        <v>1.24</v>
      </c>
      <c r="S923" s="3" t="str">
        <f>IF(Table1[[#This Row],[CGPA]]&gt;=3,"High",IF(R922&gt;=2,"Medium","Low"))</f>
        <v>Medium</v>
      </c>
      <c r="T923" s="2" t="s">
        <v>7</v>
      </c>
      <c r="U923" s="2" t="s">
        <v>13</v>
      </c>
      <c r="V923" s="2" t="s">
        <v>9</v>
      </c>
      <c r="W923" s="7">
        <v>0</v>
      </c>
      <c r="X923" t="str">
        <f t="shared" si="29"/>
        <v>Active</v>
      </c>
    </row>
    <row r="924" spans="1:24" x14ac:dyDescent="0.3">
      <c r="A924" s="2">
        <v>923</v>
      </c>
      <c r="B924" s="7">
        <v>21.3</v>
      </c>
      <c r="C924" s="2" t="s">
        <v>5</v>
      </c>
      <c r="D924" s="7">
        <f>IF(ISBLANK('Raw sheet'!D924),AVERAGE('Raw sheet'!$D$2:'Raw sheet'!$D$1500),'Raw sheet'!D924)</f>
        <v>79654</v>
      </c>
      <c r="E924" s="7" t="str">
        <f>IF(Table1[[#This Row],[Family_Income]]&gt;=100000,"Upper",IF(D924&gt;=50000,"Middle","Lower"))</f>
        <v>Middle</v>
      </c>
      <c r="F924" s="2" t="s">
        <v>4</v>
      </c>
      <c r="G924" s="3">
        <f>IF(ISBLANK('Raw sheet'!F924),AVERAGE('Raw sheet'!$F$2:'Raw sheet'!$F$1500),'Raw sheet'!F924)</f>
        <v>2.39</v>
      </c>
      <c r="H924" s="18">
        <v>73.7</v>
      </c>
      <c r="I924" s="9" t="str">
        <f t="shared" si="28"/>
        <v>Low</v>
      </c>
      <c r="J924" s="2">
        <v>4</v>
      </c>
      <c r="K924" s="2">
        <v>28.3</v>
      </c>
      <c r="L924" s="2" t="s">
        <v>4</v>
      </c>
      <c r="M924" s="2" t="s">
        <v>3</v>
      </c>
      <c r="N924" s="5">
        <f>IF(ISBLANK('Raw sheet'!L924),AVERAGE('Raw sheet'!$L$2:'Raw sheet'!$L$1500),'Raw sheet'!L924)</f>
        <v>2.7</v>
      </c>
      <c r="O924" s="5" t="str">
        <f>IF(Table1[[#This Row],[Stress_Index]]&gt;=8,"High",IF(N924&gt;=5,"Medium","Low"))</f>
        <v>Low</v>
      </c>
      <c r="P924" s="3">
        <v>3.29</v>
      </c>
      <c r="Q924" s="2">
        <v>3.58</v>
      </c>
      <c r="R924" s="3">
        <v>3.66</v>
      </c>
      <c r="S924" s="3" t="str">
        <f>IF(Table1[[#This Row],[CGPA]]&gt;=3,"High",IF(R923&gt;=2,"Medium","Low"))</f>
        <v>High</v>
      </c>
      <c r="T924" s="2" t="s">
        <v>7</v>
      </c>
      <c r="U924" s="2" t="s">
        <v>13</v>
      </c>
      <c r="V924" s="2" t="s">
        <v>9</v>
      </c>
      <c r="W924" s="7">
        <v>0</v>
      </c>
      <c r="X924" t="str">
        <f t="shared" si="29"/>
        <v>Active</v>
      </c>
    </row>
    <row r="925" spans="1:24" x14ac:dyDescent="0.3">
      <c r="A925" s="2">
        <v>924</v>
      </c>
      <c r="B925" s="7">
        <v>19.5</v>
      </c>
      <c r="C925" s="2" t="s">
        <v>5</v>
      </c>
      <c r="D925" s="7">
        <f>IF(ISBLANK('Raw sheet'!D925),AVERAGE('Raw sheet'!$D$2:'Raw sheet'!$D$1500),'Raw sheet'!D925)</f>
        <v>30521</v>
      </c>
      <c r="E925" s="7" t="str">
        <f>IF(Table1[[#This Row],[Family_Income]]&gt;=100000,"Upper",IF(D925&gt;=50000,"Middle","Lower"))</f>
        <v>Lower</v>
      </c>
      <c r="F925" s="2" t="s">
        <v>4</v>
      </c>
      <c r="G925" s="3">
        <f>IF(ISBLANK('Raw sheet'!F925),AVERAGE('Raw sheet'!$F$2:'Raw sheet'!$F$1500),'Raw sheet'!F925)</f>
        <v>3.85</v>
      </c>
      <c r="H925" s="18">
        <v>100</v>
      </c>
      <c r="I925" s="9" t="str">
        <f t="shared" si="28"/>
        <v>Good</v>
      </c>
      <c r="J925" s="2">
        <v>1</v>
      </c>
      <c r="K925" s="2">
        <v>17.5</v>
      </c>
      <c r="L925" s="2" t="s">
        <v>4</v>
      </c>
      <c r="M925" s="2" t="s">
        <v>4</v>
      </c>
      <c r="N925" s="5">
        <f>IF(ISBLANK('Raw sheet'!L925),AVERAGE('Raw sheet'!$L$2:'Raw sheet'!$L$1500),'Raw sheet'!L925)</f>
        <v>6.3</v>
      </c>
      <c r="O925" s="5" t="str">
        <f>IF(Table1[[#This Row],[Stress_Index]]&gt;=8,"High",IF(N925&gt;=5,"Medium","Low"))</f>
        <v>Medium</v>
      </c>
      <c r="P925" s="3">
        <v>3.36</v>
      </c>
      <c r="Q925" s="2">
        <v>3.96</v>
      </c>
      <c r="R925" s="3">
        <v>3.94</v>
      </c>
      <c r="S925" s="3" t="str">
        <f>IF(Table1[[#This Row],[CGPA]]&gt;=3,"High",IF(R924&gt;=2,"Medium","Low"))</f>
        <v>High</v>
      </c>
      <c r="T925" s="2" t="s">
        <v>12</v>
      </c>
      <c r="U925" s="2" t="s">
        <v>13</v>
      </c>
      <c r="V925" s="2" t="s">
        <v>15</v>
      </c>
      <c r="W925" s="7">
        <v>0</v>
      </c>
      <c r="X925" t="str">
        <f t="shared" si="29"/>
        <v>Active</v>
      </c>
    </row>
    <row r="926" spans="1:24" x14ac:dyDescent="0.3">
      <c r="A926" s="2">
        <v>925</v>
      </c>
      <c r="B926" s="7">
        <v>23.6</v>
      </c>
      <c r="C926" s="2" t="s">
        <v>11</v>
      </c>
      <c r="D926" s="7">
        <f>IF(ISBLANK('Raw sheet'!D926),AVERAGE('Raw sheet'!$D$2:'Raw sheet'!$D$1500),'Raw sheet'!D926)</f>
        <v>25000</v>
      </c>
      <c r="E926" s="7" t="str">
        <f>IF(Table1[[#This Row],[Family_Income]]&gt;=100000,"Upper",IF(D926&gt;=50000,"Middle","Lower"))</f>
        <v>Lower</v>
      </c>
      <c r="F926" s="2" t="s">
        <v>4</v>
      </c>
      <c r="G926" s="3">
        <f>IF(ISBLANK('Raw sheet'!F926),AVERAGE('Raw sheet'!$F$2:'Raw sheet'!$F$1500),'Raw sheet'!F926)</f>
        <v>2.97</v>
      </c>
      <c r="H926" s="18">
        <v>84.6</v>
      </c>
      <c r="I926" s="9" t="str">
        <f t="shared" si="28"/>
        <v>Good</v>
      </c>
      <c r="J926" s="2">
        <v>0</v>
      </c>
      <c r="K926" s="2">
        <v>40.6</v>
      </c>
      <c r="L926" s="2" t="s">
        <v>4</v>
      </c>
      <c r="M926" s="2" t="s">
        <v>3</v>
      </c>
      <c r="N926" s="5">
        <f>IF(ISBLANK('Raw sheet'!L926),AVERAGE('Raw sheet'!$L$2:'Raw sheet'!$L$1500),'Raw sheet'!L926)</f>
        <v>5.7</v>
      </c>
      <c r="O926" s="5" t="str">
        <f>IF(Table1[[#This Row],[Stress_Index]]&gt;=8,"High",IF(N926&gt;=5,"Medium","Low"))</f>
        <v>Medium</v>
      </c>
      <c r="P926" s="3">
        <v>2.7</v>
      </c>
      <c r="Q926" s="2">
        <v>2.62</v>
      </c>
      <c r="R926" s="3">
        <v>2.5099999999999998</v>
      </c>
      <c r="S926" s="3" t="str">
        <f>IF(Table1[[#This Row],[CGPA]]&gt;=3,"High",IF(R925&gt;=2,"Medium","Low"))</f>
        <v>Medium</v>
      </c>
      <c r="T926" s="2" t="s">
        <v>10</v>
      </c>
      <c r="U926" s="2" t="s">
        <v>8</v>
      </c>
      <c r="V926" s="2" t="s">
        <v>9</v>
      </c>
      <c r="W926" s="7">
        <v>0</v>
      </c>
      <c r="X926" t="str">
        <f t="shared" si="29"/>
        <v>Active</v>
      </c>
    </row>
    <row r="927" spans="1:24" x14ac:dyDescent="0.3">
      <c r="A927" s="2">
        <v>926</v>
      </c>
      <c r="B927" s="7">
        <v>17.600000000000001</v>
      </c>
      <c r="C927" s="2" t="s">
        <v>11</v>
      </c>
      <c r="D927" s="7">
        <f>IF(ISBLANK('Raw sheet'!D927),AVERAGE('Raw sheet'!$D$2:'Raw sheet'!$D$1500),'Raw sheet'!D927)</f>
        <v>25000</v>
      </c>
      <c r="E927" s="7" t="str">
        <f>IF(Table1[[#This Row],[Family_Income]]&gt;=100000,"Upper",IF(D927&gt;=50000,"Middle","Lower"))</f>
        <v>Lower</v>
      </c>
      <c r="F927" s="2" t="s">
        <v>3</v>
      </c>
      <c r="G927" s="3">
        <f>IF(ISBLANK('Raw sheet'!F927),AVERAGE('Raw sheet'!$F$2:'Raw sheet'!$F$1500),'Raw sheet'!F927)</f>
        <v>2.48</v>
      </c>
      <c r="H927" s="18">
        <v>78.7</v>
      </c>
      <c r="I927" s="9" t="str">
        <f t="shared" si="28"/>
        <v>Good</v>
      </c>
      <c r="J927" s="2">
        <v>0</v>
      </c>
      <c r="K927" s="2">
        <v>18.100000000000001</v>
      </c>
      <c r="L927" s="2" t="s">
        <v>4</v>
      </c>
      <c r="M927" s="2" t="s">
        <v>4</v>
      </c>
      <c r="N927" s="5">
        <f>IF(ISBLANK('Raw sheet'!L927),AVERAGE('Raw sheet'!$L$2:'Raw sheet'!$L$1500),'Raw sheet'!L927)</f>
        <v>4.2</v>
      </c>
      <c r="O927" s="5" t="str">
        <f>IF(Table1[[#This Row],[Stress_Index]]&gt;=8,"High",IF(N927&gt;=5,"Medium","Low"))</f>
        <v>Low</v>
      </c>
      <c r="P927" s="3">
        <v>2.64</v>
      </c>
      <c r="Q927" s="2">
        <v>2.72</v>
      </c>
      <c r="R927" s="3">
        <v>2.72</v>
      </c>
      <c r="S927" s="3" t="str">
        <f>IF(Table1[[#This Row],[CGPA]]&gt;=3,"High",IF(R926&gt;=2,"Medium","Low"))</f>
        <v>Medium</v>
      </c>
      <c r="T927" s="2" t="s">
        <v>2</v>
      </c>
      <c r="U927" s="2" t="s">
        <v>14</v>
      </c>
      <c r="V927" s="2" t="s">
        <v>15</v>
      </c>
      <c r="W927" s="7">
        <v>0</v>
      </c>
      <c r="X927" t="str">
        <f t="shared" si="29"/>
        <v>Active</v>
      </c>
    </row>
    <row r="928" spans="1:24" x14ac:dyDescent="0.3">
      <c r="A928" s="2">
        <v>927</v>
      </c>
      <c r="B928" s="7">
        <v>19.8</v>
      </c>
      <c r="C928" s="2" t="s">
        <v>5</v>
      </c>
      <c r="D928" s="7">
        <f>IF(ISBLANK('Raw sheet'!D928),AVERAGE('Raw sheet'!$D$2:'Raw sheet'!$D$1500),'Raw sheet'!D928)</f>
        <v>53906</v>
      </c>
      <c r="E928" s="7" t="str">
        <f>IF(Table1[[#This Row],[Family_Income]]&gt;=100000,"Upper",IF(D928&gt;=50000,"Middle","Lower"))</f>
        <v>Middle</v>
      </c>
      <c r="F928" s="2" t="s">
        <v>4</v>
      </c>
      <c r="G928" s="3">
        <f>IF(ISBLANK('Raw sheet'!F928),AVERAGE('Raw sheet'!$F$2:'Raw sheet'!$F$1500),'Raw sheet'!F928)</f>
        <v>5.82</v>
      </c>
      <c r="H928" s="18">
        <v>85</v>
      </c>
      <c r="I928" s="9" t="str">
        <f t="shared" si="28"/>
        <v>Good</v>
      </c>
      <c r="J928" s="2">
        <v>4</v>
      </c>
      <c r="K928" s="2">
        <v>5.7</v>
      </c>
      <c r="L928" s="2" t="s">
        <v>4</v>
      </c>
      <c r="M928" s="2" t="s">
        <v>4</v>
      </c>
      <c r="N928" s="5">
        <f>IF(ISBLANK('Raw sheet'!L928),AVERAGE('Raw sheet'!$L$2:'Raw sheet'!$L$1500),'Raw sheet'!L928)</f>
        <v>6.8</v>
      </c>
      <c r="O928" s="5" t="str">
        <f>IF(Table1[[#This Row],[Stress_Index]]&gt;=8,"High",IF(N928&gt;=5,"Medium","Low"))</f>
        <v>Medium</v>
      </c>
      <c r="P928" s="3">
        <v>2.81</v>
      </c>
      <c r="Q928" s="2">
        <v>2.98</v>
      </c>
      <c r="R928" s="3">
        <v>3.01</v>
      </c>
      <c r="S928" s="3" t="str">
        <f>IF(Table1[[#This Row],[CGPA]]&gt;=3,"High",IF(R927&gt;=2,"Medium","Low"))</f>
        <v>High</v>
      </c>
      <c r="T928" s="2" t="s">
        <v>10</v>
      </c>
      <c r="U928" s="2" t="s">
        <v>8</v>
      </c>
      <c r="V928" s="2" t="s">
        <v>15</v>
      </c>
      <c r="W928" s="7">
        <v>0</v>
      </c>
      <c r="X928" t="str">
        <f t="shared" si="29"/>
        <v>Active</v>
      </c>
    </row>
    <row r="929" spans="1:24" x14ac:dyDescent="0.3">
      <c r="A929" s="2">
        <v>928</v>
      </c>
      <c r="B929" s="7">
        <v>21.8</v>
      </c>
      <c r="C929" s="2" t="s">
        <v>5</v>
      </c>
      <c r="D929" s="7">
        <f>IF(ISBLANK('Raw sheet'!D929),AVERAGE('Raw sheet'!$D$2:'Raw sheet'!$D$1500),'Raw sheet'!D929)</f>
        <v>42644</v>
      </c>
      <c r="E929" s="7" t="str">
        <f>IF(Table1[[#This Row],[Family_Income]]&gt;=100000,"Upper",IF(D929&gt;=50000,"Middle","Lower"))</f>
        <v>Lower</v>
      </c>
      <c r="F929" s="2" t="s">
        <v>4</v>
      </c>
      <c r="G929" s="3">
        <f>IF(ISBLANK('Raw sheet'!F929),AVERAGE('Raw sheet'!$F$2:'Raw sheet'!$F$1500),'Raw sheet'!F929)</f>
        <v>3.4</v>
      </c>
      <c r="H929" s="18">
        <v>83.3</v>
      </c>
      <c r="I929" s="9" t="str">
        <f t="shared" si="28"/>
        <v>Good</v>
      </c>
      <c r="J929" s="2">
        <v>2</v>
      </c>
      <c r="K929" s="2">
        <v>36.799999999999997</v>
      </c>
      <c r="L929" s="2" t="s">
        <v>3</v>
      </c>
      <c r="M929" s="2" t="s">
        <v>4</v>
      </c>
      <c r="N929" s="5">
        <f>IF(ISBLANK('Raw sheet'!L929),AVERAGE('Raw sheet'!$L$2:'Raw sheet'!$L$1500),'Raw sheet'!L929)</f>
        <v>4.0999999999999996</v>
      </c>
      <c r="O929" s="5" t="str">
        <f>IF(Table1[[#This Row],[Stress_Index]]&gt;=8,"High",IF(N929&gt;=5,"Medium","Low"))</f>
        <v>Low</v>
      </c>
      <c r="P929" s="3">
        <v>2.82</v>
      </c>
      <c r="Q929" s="2">
        <v>3.06</v>
      </c>
      <c r="R929" s="3">
        <v>3.12</v>
      </c>
      <c r="S929" s="3" t="str">
        <f>IF(Table1[[#This Row],[CGPA]]&gt;=3,"High",IF(R928&gt;=2,"Medium","Low"))</f>
        <v>High</v>
      </c>
      <c r="T929" s="2" t="s">
        <v>10</v>
      </c>
      <c r="U929" s="2" t="s">
        <v>14</v>
      </c>
      <c r="V929" s="2" t="s">
        <v>15</v>
      </c>
      <c r="W929" s="7">
        <v>0</v>
      </c>
      <c r="X929" t="str">
        <f t="shared" si="29"/>
        <v>Active</v>
      </c>
    </row>
    <row r="930" spans="1:24" x14ac:dyDescent="0.3">
      <c r="A930" s="2">
        <v>929</v>
      </c>
      <c r="B930" s="7">
        <v>24.4</v>
      </c>
      <c r="C930" s="2" t="s">
        <v>11</v>
      </c>
      <c r="D930" s="7">
        <f>IF(ISBLANK('Raw sheet'!D930),AVERAGE('Raw sheet'!$D$2:'Raw sheet'!$D$1500),'Raw sheet'!D930)</f>
        <v>68328</v>
      </c>
      <c r="E930" s="7" t="str">
        <f>IF(Table1[[#This Row],[Family_Income]]&gt;=100000,"Upper",IF(D930&gt;=50000,"Middle","Lower"))</f>
        <v>Middle</v>
      </c>
      <c r="F930" s="2" t="s">
        <v>4</v>
      </c>
      <c r="G930" s="3">
        <f>IF(ISBLANK('Raw sheet'!F930),AVERAGE('Raw sheet'!$F$2:'Raw sheet'!$F$1500),'Raw sheet'!F930)</f>
        <v>6.59</v>
      </c>
      <c r="H930" s="18">
        <v>74.7</v>
      </c>
      <c r="I930" s="9" t="str">
        <f t="shared" si="28"/>
        <v>Low</v>
      </c>
      <c r="J930" s="2">
        <v>2</v>
      </c>
      <c r="K930" s="2">
        <v>20.9</v>
      </c>
      <c r="L930" s="2" t="s">
        <v>4</v>
      </c>
      <c r="M930" s="2" t="s">
        <v>3</v>
      </c>
      <c r="N930" s="5">
        <f>IF(ISBLANK('Raw sheet'!L930),AVERAGE('Raw sheet'!$L$2:'Raw sheet'!$L$1500),'Raw sheet'!L930)</f>
        <v>2.6</v>
      </c>
      <c r="O930" s="5" t="str">
        <f>IF(Table1[[#This Row],[Stress_Index]]&gt;=8,"High",IF(N930&gt;=5,"Medium","Low"))</f>
        <v>Low</v>
      </c>
      <c r="P930" s="3">
        <v>2.83</v>
      </c>
      <c r="Q930" s="2">
        <v>2.57</v>
      </c>
      <c r="R930" s="3">
        <v>2.65</v>
      </c>
      <c r="S930" s="3" t="str">
        <f>IF(Table1[[#This Row],[CGPA]]&gt;=3,"High",IF(R929&gt;=2,"Medium","Low"))</f>
        <v>Medium</v>
      </c>
      <c r="T930" s="2" t="s">
        <v>10</v>
      </c>
      <c r="U930" s="2" t="s">
        <v>6</v>
      </c>
      <c r="V930" s="2" t="s">
        <v>15</v>
      </c>
      <c r="W930" s="7">
        <v>0</v>
      </c>
      <c r="X930" t="str">
        <f t="shared" si="29"/>
        <v>Active</v>
      </c>
    </row>
    <row r="931" spans="1:24" x14ac:dyDescent="0.3">
      <c r="A931" s="2">
        <v>930</v>
      </c>
      <c r="B931" s="7">
        <v>20.9</v>
      </c>
      <c r="C931" s="2" t="s">
        <v>5</v>
      </c>
      <c r="D931" s="7">
        <f>IF(ISBLANK('Raw sheet'!D931),AVERAGE('Raw sheet'!$D$2:'Raw sheet'!$D$1500),'Raw sheet'!D931)</f>
        <v>25000</v>
      </c>
      <c r="E931" s="7" t="str">
        <f>IF(Table1[[#This Row],[Family_Income]]&gt;=100000,"Upper",IF(D931&gt;=50000,"Middle","Lower"))</f>
        <v>Lower</v>
      </c>
      <c r="F931" s="2" t="s">
        <v>4</v>
      </c>
      <c r="G931" s="3">
        <f>IF(ISBLANK('Raw sheet'!F931),AVERAGE('Raw sheet'!$F$2:'Raw sheet'!$F$1500),'Raw sheet'!F931)</f>
        <v>3.5</v>
      </c>
      <c r="H931" s="18">
        <v>66.7</v>
      </c>
      <c r="I931" s="9" t="str">
        <f t="shared" si="28"/>
        <v>Low</v>
      </c>
      <c r="J931" s="2">
        <v>1</v>
      </c>
      <c r="K931" s="2">
        <v>26</v>
      </c>
      <c r="L931" s="2" t="s">
        <v>4</v>
      </c>
      <c r="M931" s="2" t="s">
        <v>3</v>
      </c>
      <c r="N931" s="5">
        <f>IF(ISBLANK('Raw sheet'!L931),AVERAGE('Raw sheet'!$L$2:'Raw sheet'!$L$1500),'Raw sheet'!L931)</f>
        <v>4.9000000000000004</v>
      </c>
      <c r="O931" s="5" t="str">
        <f>IF(Table1[[#This Row],[Stress_Index]]&gt;=8,"High",IF(N931&gt;=5,"Medium","Low"))</f>
        <v>Low</v>
      </c>
      <c r="P931" s="3">
        <v>0.14000000000000001</v>
      </c>
      <c r="Q931" s="2">
        <v>0.19</v>
      </c>
      <c r="R931" s="3">
        <v>0.16</v>
      </c>
      <c r="S931" s="3" t="str">
        <f>IF(Table1[[#This Row],[CGPA]]&gt;=3,"High",IF(R930&gt;=2,"Medium","Low"))</f>
        <v>Medium</v>
      </c>
      <c r="T931" s="2" t="s">
        <v>7</v>
      </c>
      <c r="U931" s="2" t="s">
        <v>13</v>
      </c>
      <c r="V931" s="2" t="s">
        <v>16</v>
      </c>
      <c r="W931" s="7">
        <v>1</v>
      </c>
      <c r="X931" t="str">
        <f t="shared" si="29"/>
        <v>Dropped Out</v>
      </c>
    </row>
    <row r="932" spans="1:24" x14ac:dyDescent="0.3">
      <c r="A932" s="2">
        <v>931</v>
      </c>
      <c r="B932" s="7">
        <v>19.8</v>
      </c>
      <c r="C932" s="2" t="s">
        <v>5</v>
      </c>
      <c r="D932" s="7">
        <f>IF(ISBLANK('Raw sheet'!D932),AVERAGE('Raw sheet'!$D$2:'Raw sheet'!$D$1500),'Raw sheet'!D932)</f>
        <v>35524</v>
      </c>
      <c r="E932" s="7" t="str">
        <f>IF(Table1[[#This Row],[Family_Income]]&gt;=100000,"Upper",IF(D932&gt;=50000,"Middle","Lower"))</f>
        <v>Lower</v>
      </c>
      <c r="F932" s="2" t="s">
        <v>4</v>
      </c>
      <c r="G932" s="3">
        <f>IF(ISBLANK('Raw sheet'!F932),AVERAGE('Raw sheet'!$F$2:'Raw sheet'!$F$1500),'Raw sheet'!F932)</f>
        <v>3.07</v>
      </c>
      <c r="H932" s="18">
        <v>77.8</v>
      </c>
      <c r="I932" s="9" t="str">
        <f t="shared" si="28"/>
        <v>Good</v>
      </c>
      <c r="J932" s="2">
        <v>0</v>
      </c>
      <c r="K932" s="2">
        <v>38.299999999999997</v>
      </c>
      <c r="L932" s="2" t="s">
        <v>3</v>
      </c>
      <c r="M932" s="2" t="s">
        <v>3</v>
      </c>
      <c r="N932" s="5">
        <f>IF(ISBLANK('Raw sheet'!L932),AVERAGE('Raw sheet'!$L$2:'Raw sheet'!$L$1500),'Raw sheet'!L932)</f>
        <v>3.8</v>
      </c>
      <c r="O932" s="5" t="str">
        <f>IF(Table1[[#This Row],[Stress_Index]]&gt;=8,"High",IF(N932&gt;=5,"Medium","Low"))</f>
        <v>Low</v>
      </c>
      <c r="P932" s="3">
        <v>1.01</v>
      </c>
      <c r="Q932" s="2">
        <v>0.87</v>
      </c>
      <c r="R932" s="3">
        <v>0.87</v>
      </c>
      <c r="S932" s="3" t="str">
        <f>IF(Table1[[#This Row],[CGPA]]&gt;=3,"High",IF(R931&gt;=2,"Medium","Low"))</f>
        <v>Low</v>
      </c>
      <c r="T932" s="2" t="s">
        <v>2</v>
      </c>
      <c r="U932" s="2" t="s">
        <v>6</v>
      </c>
      <c r="V932" s="2" t="s">
        <v>9</v>
      </c>
      <c r="W932" s="7">
        <v>0</v>
      </c>
      <c r="X932" t="str">
        <f t="shared" si="29"/>
        <v>Active</v>
      </c>
    </row>
    <row r="933" spans="1:24" x14ac:dyDescent="0.3">
      <c r="A933" s="2">
        <v>932</v>
      </c>
      <c r="B933" s="7">
        <v>25.1</v>
      </c>
      <c r="C933" s="2" t="s">
        <v>11</v>
      </c>
      <c r="D933" s="7">
        <f>IF(ISBLANK('Raw sheet'!D933),AVERAGE('Raw sheet'!$D$2:'Raw sheet'!$D$1500),'Raw sheet'!D933)</f>
        <v>38405</v>
      </c>
      <c r="E933" s="7" t="str">
        <f>IF(Table1[[#This Row],[Family_Income]]&gt;=100000,"Upper",IF(D933&gt;=50000,"Middle","Lower"))</f>
        <v>Lower</v>
      </c>
      <c r="F933" s="2" t="s">
        <v>4</v>
      </c>
      <c r="G933" s="3">
        <f>IF(ISBLANK('Raw sheet'!F933),AVERAGE('Raw sheet'!$F$2:'Raw sheet'!$F$1500),'Raw sheet'!F933)</f>
        <v>4.78</v>
      </c>
      <c r="H933" s="18">
        <v>80.5</v>
      </c>
      <c r="I933" s="9" t="str">
        <f t="shared" si="28"/>
        <v>Good</v>
      </c>
      <c r="J933" s="2">
        <v>1</v>
      </c>
      <c r="K933" s="2">
        <v>18.8</v>
      </c>
      <c r="L933" s="2" t="s">
        <v>3</v>
      </c>
      <c r="M933" s="2" t="s">
        <v>4</v>
      </c>
      <c r="N933" s="5">
        <f>IF(ISBLANK('Raw sheet'!L933),AVERAGE('Raw sheet'!$L$2:'Raw sheet'!$L$1500),'Raw sheet'!L933)</f>
        <v>6</v>
      </c>
      <c r="O933" s="5" t="str">
        <f>IF(Table1[[#This Row],[Stress_Index]]&gt;=8,"High",IF(N933&gt;=5,"Medium","Low"))</f>
        <v>Medium</v>
      </c>
      <c r="P933" s="3">
        <v>3.33</v>
      </c>
      <c r="Q933" s="2">
        <v>3.22</v>
      </c>
      <c r="R933" s="3">
        <v>3.19</v>
      </c>
      <c r="S933" s="3" t="str">
        <f>IF(Table1[[#This Row],[CGPA]]&gt;=3,"High",IF(R932&gt;=2,"Medium","Low"))</f>
        <v>High</v>
      </c>
      <c r="T933" s="2" t="s">
        <v>10</v>
      </c>
      <c r="U933" s="2" t="s">
        <v>14</v>
      </c>
      <c r="V933" s="2" t="s">
        <v>15</v>
      </c>
      <c r="W933" s="7">
        <v>0</v>
      </c>
      <c r="X933" t="str">
        <f t="shared" si="29"/>
        <v>Active</v>
      </c>
    </row>
    <row r="934" spans="1:24" x14ac:dyDescent="0.3">
      <c r="A934" s="2">
        <v>933</v>
      </c>
      <c r="B934" s="7">
        <v>17.8</v>
      </c>
      <c r="C934" s="2" t="s">
        <v>5</v>
      </c>
      <c r="D934" s="7">
        <f>IF(ISBLANK('Raw sheet'!D934),AVERAGE('Raw sheet'!$D$2:'Raw sheet'!$D$1500),'Raw sheet'!D934)</f>
        <v>45124</v>
      </c>
      <c r="E934" s="7" t="str">
        <f>IF(Table1[[#This Row],[Family_Income]]&gt;=100000,"Upper",IF(D934&gt;=50000,"Middle","Lower"))</f>
        <v>Lower</v>
      </c>
      <c r="F934" s="2" t="s">
        <v>4</v>
      </c>
      <c r="G934" s="3">
        <f>IF(ISBLANK('Raw sheet'!F934),AVERAGE('Raw sheet'!$F$2:'Raw sheet'!$F$1500),'Raw sheet'!F934)</f>
        <v>3.9</v>
      </c>
      <c r="H934" s="18">
        <v>81.099999999999994</v>
      </c>
      <c r="I934" s="9" t="str">
        <f t="shared" si="28"/>
        <v>Good</v>
      </c>
      <c r="J934" s="2">
        <v>2</v>
      </c>
      <c r="K934" s="2">
        <v>10.8</v>
      </c>
      <c r="L934" s="2" t="s">
        <v>3</v>
      </c>
      <c r="M934" s="2" t="s">
        <v>3</v>
      </c>
      <c r="N934" s="5">
        <f>IF(ISBLANK('Raw sheet'!L934),AVERAGE('Raw sheet'!$L$2:'Raw sheet'!$L$1500),'Raw sheet'!L934)</f>
        <v>5</v>
      </c>
      <c r="O934" s="5" t="str">
        <f>IF(Table1[[#This Row],[Stress_Index]]&gt;=8,"High",IF(N934&gt;=5,"Medium","Low"))</f>
        <v>Medium</v>
      </c>
      <c r="P934" s="3">
        <v>3.2</v>
      </c>
      <c r="Q934" s="2">
        <v>3.14</v>
      </c>
      <c r="R934" s="3">
        <v>3.14</v>
      </c>
      <c r="S934" s="3" t="str">
        <f>IF(Table1[[#This Row],[CGPA]]&gt;=3,"High",IF(R933&gt;=2,"Medium","Low"))</f>
        <v>High</v>
      </c>
      <c r="T934" s="2" t="s">
        <v>2</v>
      </c>
      <c r="U934" s="2" t="s">
        <v>8</v>
      </c>
      <c r="V934" s="2" t="s">
        <v>15</v>
      </c>
      <c r="W934" s="7">
        <v>0</v>
      </c>
      <c r="X934" t="str">
        <f t="shared" si="29"/>
        <v>Active</v>
      </c>
    </row>
    <row r="935" spans="1:24" x14ac:dyDescent="0.3">
      <c r="A935" s="2">
        <v>934</v>
      </c>
      <c r="B935" s="7">
        <v>17</v>
      </c>
      <c r="C935" s="2" t="s">
        <v>5</v>
      </c>
      <c r="D935" s="7">
        <f>IF(ISBLANK('Raw sheet'!D935),AVERAGE('Raw sheet'!$D$2:'Raw sheet'!$D$1500),'Raw sheet'!D935)</f>
        <v>58476</v>
      </c>
      <c r="E935" s="7" t="str">
        <f>IF(Table1[[#This Row],[Family_Income]]&gt;=100000,"Upper",IF(D935&gt;=50000,"Middle","Lower"))</f>
        <v>Middle</v>
      </c>
      <c r="F935" s="2" t="s">
        <v>3</v>
      </c>
      <c r="G935" s="3">
        <f>IF(ISBLANK('Raw sheet'!F935),AVERAGE('Raw sheet'!$F$2:'Raw sheet'!$F$1500),'Raw sheet'!F935)</f>
        <v>4.3600000000000003</v>
      </c>
      <c r="H935" s="18">
        <v>67.3</v>
      </c>
      <c r="I935" s="9" t="str">
        <f t="shared" si="28"/>
        <v>Low</v>
      </c>
      <c r="J935" s="2">
        <v>1</v>
      </c>
      <c r="K935" s="2">
        <v>44.6</v>
      </c>
      <c r="L935" s="2" t="s">
        <v>4</v>
      </c>
      <c r="M935" s="2" t="s">
        <v>3</v>
      </c>
      <c r="N935" s="5">
        <f>IF(ISBLANK('Raw sheet'!L935),AVERAGE('Raw sheet'!$L$2:'Raw sheet'!$L$1500),'Raw sheet'!L935)</f>
        <v>8.3000000000000007</v>
      </c>
      <c r="O935" s="5" t="str">
        <f>IF(Table1[[#This Row],[Stress_Index]]&gt;=8,"High",IF(N935&gt;=5,"Medium","Low"))</f>
        <v>High</v>
      </c>
      <c r="P935" s="3">
        <v>1.58</v>
      </c>
      <c r="Q935" s="2">
        <v>2.5</v>
      </c>
      <c r="R935" s="3">
        <v>2.42</v>
      </c>
      <c r="S935" s="3" t="str">
        <f>IF(Table1[[#This Row],[CGPA]]&gt;=3,"High",IF(R934&gt;=2,"Medium","Low"))</f>
        <v>Medium</v>
      </c>
      <c r="T935" s="2" t="s">
        <v>12</v>
      </c>
      <c r="U935" s="2" t="s">
        <v>6</v>
      </c>
      <c r="V935" s="2" t="s">
        <v>16</v>
      </c>
      <c r="W935" s="7">
        <v>0</v>
      </c>
      <c r="X935" t="str">
        <f t="shared" si="29"/>
        <v>Active</v>
      </c>
    </row>
    <row r="936" spans="1:24" x14ac:dyDescent="0.3">
      <c r="A936" s="2">
        <v>935</v>
      </c>
      <c r="B936" s="7">
        <v>22</v>
      </c>
      <c r="C936" s="2" t="s">
        <v>5</v>
      </c>
      <c r="D936" s="7">
        <f>IF(ISBLANK('Raw sheet'!D936),AVERAGE('Raw sheet'!$D$2:'Raw sheet'!$D$1500),'Raw sheet'!D936)</f>
        <v>25000</v>
      </c>
      <c r="E936" s="7" t="str">
        <f>IF(Table1[[#This Row],[Family_Income]]&gt;=100000,"Upper",IF(D936&gt;=50000,"Middle","Lower"))</f>
        <v>Lower</v>
      </c>
      <c r="F936" s="2" t="s">
        <v>4</v>
      </c>
      <c r="G936" s="3">
        <f>IF(ISBLANK('Raw sheet'!F936),AVERAGE('Raw sheet'!$F$2:'Raw sheet'!$F$1500),'Raw sheet'!F936)</f>
        <v>3.3</v>
      </c>
      <c r="H936" s="18">
        <v>100</v>
      </c>
      <c r="I936" s="9" t="str">
        <f t="shared" si="28"/>
        <v>Good</v>
      </c>
      <c r="J936" s="2">
        <v>3</v>
      </c>
      <c r="K936" s="2">
        <v>29.3</v>
      </c>
      <c r="L936" s="2" t="s">
        <v>3</v>
      </c>
      <c r="M936" s="2" t="s">
        <v>4</v>
      </c>
      <c r="N936" s="5">
        <f>IF(ISBLANK('Raw sheet'!L936),AVERAGE('Raw sheet'!$L$2:'Raw sheet'!$L$1500),'Raw sheet'!L936)</f>
        <v>4.9000000000000004</v>
      </c>
      <c r="O936" s="5" t="str">
        <f>IF(Table1[[#This Row],[Stress_Index]]&gt;=8,"High",IF(N936&gt;=5,"Medium","Low"))</f>
        <v>Low</v>
      </c>
      <c r="P936" s="3">
        <v>2.62</v>
      </c>
      <c r="Q936" s="2">
        <v>2.06</v>
      </c>
      <c r="R936" s="3">
        <v>2.0699999999999998</v>
      </c>
      <c r="S936" s="3" t="str">
        <f>IF(Table1[[#This Row],[CGPA]]&gt;=3,"High",IF(R935&gt;=2,"Medium","Low"))</f>
        <v>Medium</v>
      </c>
      <c r="T936" s="2" t="s">
        <v>12</v>
      </c>
      <c r="U936" s="2" t="s">
        <v>1</v>
      </c>
      <c r="V936" s="2" t="s">
        <v>9</v>
      </c>
      <c r="W936" s="7">
        <v>0</v>
      </c>
      <c r="X936" t="str">
        <f t="shared" si="29"/>
        <v>Active</v>
      </c>
    </row>
    <row r="937" spans="1:24" x14ac:dyDescent="0.3">
      <c r="A937" s="2">
        <v>936</v>
      </c>
      <c r="B937" s="7">
        <v>19.899999999999999</v>
      </c>
      <c r="C937" s="2" t="s">
        <v>5</v>
      </c>
      <c r="D937" s="7">
        <f>IF(ISBLANK('Raw sheet'!D937),AVERAGE('Raw sheet'!$D$2:'Raw sheet'!$D$1500),'Raw sheet'!D937)</f>
        <v>27764</v>
      </c>
      <c r="E937" s="7" t="str">
        <f>IF(Table1[[#This Row],[Family_Income]]&gt;=100000,"Upper",IF(D937&gt;=50000,"Middle","Lower"))</f>
        <v>Lower</v>
      </c>
      <c r="F937" s="2" t="s">
        <v>4</v>
      </c>
      <c r="G937" s="3">
        <f>IF(ISBLANK('Raw sheet'!F937),AVERAGE('Raw sheet'!$F$2:'Raw sheet'!$F$1500),'Raw sheet'!F937)</f>
        <v>3.3</v>
      </c>
      <c r="H937" s="18">
        <v>100</v>
      </c>
      <c r="I937" s="9" t="str">
        <f t="shared" si="28"/>
        <v>Good</v>
      </c>
      <c r="J937" s="2">
        <v>2</v>
      </c>
      <c r="K937" s="2">
        <v>45.1</v>
      </c>
      <c r="L937" s="2" t="s">
        <v>4</v>
      </c>
      <c r="M937" s="2" t="s">
        <v>4</v>
      </c>
      <c r="N937" s="5">
        <f>IF(ISBLANK('Raw sheet'!L937),AVERAGE('Raw sheet'!$L$2:'Raw sheet'!$L$1500),'Raw sheet'!L937)</f>
        <v>6</v>
      </c>
      <c r="O937" s="5" t="str">
        <f>IF(Table1[[#This Row],[Stress_Index]]&gt;=8,"High",IF(N937&gt;=5,"Medium","Low"))</f>
        <v>Medium</v>
      </c>
      <c r="P937" s="3">
        <v>3.46</v>
      </c>
      <c r="Q937" s="2">
        <v>3.61</v>
      </c>
      <c r="R937" s="3">
        <v>3.63</v>
      </c>
      <c r="S937" s="3" t="str">
        <f>IF(Table1[[#This Row],[CGPA]]&gt;=3,"High",IF(R936&gt;=2,"Medium","Low"))</f>
        <v>High</v>
      </c>
      <c r="T937" s="2" t="s">
        <v>12</v>
      </c>
      <c r="U937" s="2" t="s">
        <v>6</v>
      </c>
      <c r="V937" s="2" t="s">
        <v>9</v>
      </c>
      <c r="W937" s="7">
        <v>0</v>
      </c>
      <c r="X937" t="str">
        <f t="shared" si="29"/>
        <v>Active</v>
      </c>
    </row>
    <row r="938" spans="1:24" x14ac:dyDescent="0.3">
      <c r="A938" s="2">
        <v>937</v>
      </c>
      <c r="B938" s="7">
        <v>18.8</v>
      </c>
      <c r="C938" s="2" t="s">
        <v>5</v>
      </c>
      <c r="D938" s="7">
        <f>IF(ISBLANK('Raw sheet'!D938),AVERAGE('Raw sheet'!$D$2:'Raw sheet'!$D$1500),'Raw sheet'!D938)</f>
        <v>25000</v>
      </c>
      <c r="E938" s="7" t="str">
        <f>IF(Table1[[#This Row],[Family_Income]]&gt;=100000,"Upper",IF(D938&gt;=50000,"Middle","Lower"))</f>
        <v>Lower</v>
      </c>
      <c r="F938" s="2" t="s">
        <v>3</v>
      </c>
      <c r="G938" s="3">
        <f>IF(ISBLANK('Raw sheet'!F938),AVERAGE('Raw sheet'!$F$2:'Raw sheet'!$F$1500),'Raw sheet'!F938)</f>
        <v>3.36</v>
      </c>
      <c r="H938" s="18">
        <v>85.6</v>
      </c>
      <c r="I938" s="9" t="str">
        <f t="shared" si="28"/>
        <v>Good</v>
      </c>
      <c r="J938" s="2">
        <v>2</v>
      </c>
      <c r="K938" s="2">
        <v>37.5</v>
      </c>
      <c r="L938" s="2" t="s">
        <v>3</v>
      </c>
      <c r="M938" s="2" t="s">
        <v>3</v>
      </c>
      <c r="N938" s="5">
        <f>IF(ISBLANK('Raw sheet'!L938),AVERAGE('Raw sheet'!$L$2:'Raw sheet'!$L$1500),'Raw sheet'!L938)</f>
        <v>3.4</v>
      </c>
      <c r="O938" s="5" t="str">
        <f>IF(Table1[[#This Row],[Stress_Index]]&gt;=8,"High",IF(N938&gt;=5,"Medium","Low"))</f>
        <v>Low</v>
      </c>
      <c r="P938" s="3">
        <v>2.09</v>
      </c>
      <c r="Q938" s="2">
        <v>1.94</v>
      </c>
      <c r="R938" s="3">
        <v>1.96</v>
      </c>
      <c r="S938" s="3" t="str">
        <f>IF(Table1[[#This Row],[CGPA]]&gt;=3,"High",IF(R937&gt;=2,"Medium","Low"))</f>
        <v>Medium</v>
      </c>
      <c r="T938" s="2" t="s">
        <v>7</v>
      </c>
      <c r="U938" s="2" t="s">
        <v>8</v>
      </c>
      <c r="V938" s="2" t="s">
        <v>9</v>
      </c>
      <c r="W938" s="7">
        <v>0</v>
      </c>
      <c r="X938" t="str">
        <f t="shared" si="29"/>
        <v>Active</v>
      </c>
    </row>
    <row r="939" spans="1:24" x14ac:dyDescent="0.3">
      <c r="A939" s="2">
        <v>938</v>
      </c>
      <c r="B939" s="7">
        <v>22.6</v>
      </c>
      <c r="C939" s="2" t="s">
        <v>5</v>
      </c>
      <c r="D939" s="7">
        <f>IF(ISBLANK('Raw sheet'!D939),AVERAGE('Raw sheet'!$D$2:'Raw sheet'!$D$1500),'Raw sheet'!D939)</f>
        <v>28809</v>
      </c>
      <c r="E939" s="7" t="str">
        <f>IF(Table1[[#This Row],[Family_Income]]&gt;=100000,"Upper",IF(D939&gt;=50000,"Middle","Lower"))</f>
        <v>Lower</v>
      </c>
      <c r="F939" s="2" t="s">
        <v>4</v>
      </c>
      <c r="G939" s="3">
        <f>IF(ISBLANK('Raw sheet'!F939),AVERAGE('Raw sheet'!$F$2:'Raw sheet'!$F$1500),'Raw sheet'!F939)</f>
        <v>2.65</v>
      </c>
      <c r="H939" s="18">
        <v>82.2</v>
      </c>
      <c r="I939" s="9" t="str">
        <f t="shared" si="28"/>
        <v>Good</v>
      </c>
      <c r="J939" s="2">
        <v>4</v>
      </c>
      <c r="K939" s="2">
        <v>37.9</v>
      </c>
      <c r="L939" s="2" t="s">
        <v>3</v>
      </c>
      <c r="M939" s="2" t="s">
        <v>3</v>
      </c>
      <c r="N939" s="5">
        <f>IF(ISBLANK('Raw sheet'!L939),AVERAGE('Raw sheet'!$L$2:'Raw sheet'!$L$1500),'Raw sheet'!L939)</f>
        <v>4.7</v>
      </c>
      <c r="O939" s="5" t="str">
        <f>IF(Table1[[#This Row],[Stress_Index]]&gt;=8,"High",IF(N939&gt;=5,"Medium","Low"))</f>
        <v>Low</v>
      </c>
      <c r="P939" s="3">
        <v>2.0699999999999998</v>
      </c>
      <c r="Q939" s="2">
        <v>2.4500000000000002</v>
      </c>
      <c r="R939" s="3">
        <v>2.4</v>
      </c>
      <c r="S939" s="3" t="str">
        <f>IF(Table1[[#This Row],[CGPA]]&gt;=3,"High",IF(R938&gt;=2,"Medium","Low"))</f>
        <v>Low</v>
      </c>
      <c r="T939" s="2" t="s">
        <v>12</v>
      </c>
      <c r="U939" s="2" t="s">
        <v>13</v>
      </c>
      <c r="V939" s="2" t="s">
        <v>17</v>
      </c>
      <c r="W939" s="7">
        <v>1</v>
      </c>
      <c r="X939" t="str">
        <f t="shared" si="29"/>
        <v>Dropped Out</v>
      </c>
    </row>
    <row r="940" spans="1:24" x14ac:dyDescent="0.3">
      <c r="A940" s="2">
        <v>939</v>
      </c>
      <c r="B940" s="7">
        <v>21.5</v>
      </c>
      <c r="C940" s="2" t="s">
        <v>5</v>
      </c>
      <c r="D940" s="7">
        <f>IF(ISBLANK('Raw sheet'!D940),AVERAGE('Raw sheet'!$D$2:'Raw sheet'!$D$1500),'Raw sheet'!D940)</f>
        <v>45209</v>
      </c>
      <c r="E940" s="7" t="str">
        <f>IF(Table1[[#This Row],[Family_Income]]&gt;=100000,"Upper",IF(D940&gt;=50000,"Middle","Lower"))</f>
        <v>Lower</v>
      </c>
      <c r="F940" s="2" t="s">
        <v>4</v>
      </c>
      <c r="G940" s="3">
        <f>IF(ISBLANK('Raw sheet'!F940),AVERAGE('Raw sheet'!$F$2:'Raw sheet'!$F$1500),'Raw sheet'!F940)</f>
        <v>5.26</v>
      </c>
      <c r="H940" s="18">
        <v>77.5</v>
      </c>
      <c r="I940" s="9" t="str">
        <f t="shared" si="28"/>
        <v>Good</v>
      </c>
      <c r="J940" s="2">
        <v>2</v>
      </c>
      <c r="K940" s="2">
        <v>32</v>
      </c>
      <c r="L940" s="2" t="s">
        <v>3</v>
      </c>
      <c r="M940" s="2" t="s">
        <v>3</v>
      </c>
      <c r="N940" s="5">
        <f>IF(ISBLANK('Raw sheet'!L940),AVERAGE('Raw sheet'!$L$2:'Raw sheet'!$L$1500),'Raw sheet'!L940)</f>
        <v>3.9</v>
      </c>
      <c r="O940" s="5" t="str">
        <f>IF(Table1[[#This Row],[Stress_Index]]&gt;=8,"High",IF(N940&gt;=5,"Medium","Low"))</f>
        <v>Low</v>
      </c>
      <c r="P940" s="3">
        <v>4</v>
      </c>
      <c r="Q940" s="2">
        <v>3.98</v>
      </c>
      <c r="R940" s="3">
        <v>3.91</v>
      </c>
      <c r="S940" s="3" t="str">
        <f>IF(Table1[[#This Row],[CGPA]]&gt;=3,"High",IF(R939&gt;=2,"Medium","Low"))</f>
        <v>High</v>
      </c>
      <c r="T940" s="2" t="s">
        <v>7</v>
      </c>
      <c r="U940" s="2" t="s">
        <v>8</v>
      </c>
      <c r="V940" s="2" t="s">
        <v>15</v>
      </c>
      <c r="W940" s="7">
        <v>0</v>
      </c>
      <c r="X940" t="str">
        <f t="shared" si="29"/>
        <v>Active</v>
      </c>
    </row>
    <row r="941" spans="1:24" x14ac:dyDescent="0.3">
      <c r="A941" s="2">
        <v>940</v>
      </c>
      <c r="B941" s="7">
        <v>19.8</v>
      </c>
      <c r="C941" s="2" t="s">
        <v>11</v>
      </c>
      <c r="D941" s="7">
        <f>IF(ISBLANK('Raw sheet'!D941),AVERAGE('Raw sheet'!$D$2:'Raw sheet'!$D$1500),'Raw sheet'!D941)</f>
        <v>25000</v>
      </c>
      <c r="E941" s="7" t="str">
        <f>IF(Table1[[#This Row],[Family_Income]]&gt;=100000,"Upper",IF(D941&gt;=50000,"Middle","Lower"))</f>
        <v>Lower</v>
      </c>
      <c r="F941" s="2" t="s">
        <v>3</v>
      </c>
      <c r="G941" s="3">
        <f>IF(ISBLANK('Raw sheet'!F941),AVERAGE('Raw sheet'!$F$2:'Raw sheet'!$F$1500),'Raw sheet'!F941)</f>
        <v>4.2699999999999996</v>
      </c>
      <c r="H941" s="18">
        <v>86.6</v>
      </c>
      <c r="I941" s="9" t="str">
        <f t="shared" si="28"/>
        <v>Good</v>
      </c>
      <c r="J941" s="2">
        <v>2</v>
      </c>
      <c r="K941" s="2">
        <v>32</v>
      </c>
      <c r="L941" s="2" t="s">
        <v>4</v>
      </c>
      <c r="M941" s="2" t="s">
        <v>3</v>
      </c>
      <c r="N941" s="5">
        <f>IF(ISBLANK('Raw sheet'!L941),AVERAGE('Raw sheet'!$L$2:'Raw sheet'!$L$1500),'Raw sheet'!L941)</f>
        <v>7.6</v>
      </c>
      <c r="O941" s="5" t="str">
        <f>IF(Table1[[#This Row],[Stress_Index]]&gt;=8,"High",IF(N941&gt;=5,"Medium","Low"))</f>
        <v>Medium</v>
      </c>
      <c r="P941" s="3">
        <v>1.63</v>
      </c>
      <c r="Q941" s="2">
        <v>1.59</v>
      </c>
      <c r="R941" s="3">
        <v>1.57</v>
      </c>
      <c r="S941" s="3" t="str">
        <f>IF(Table1[[#This Row],[CGPA]]&gt;=3,"High",IF(R940&gt;=2,"Medium","Low"))</f>
        <v>Medium</v>
      </c>
      <c r="T941" s="2" t="s">
        <v>10</v>
      </c>
      <c r="U941" s="2" t="s">
        <v>14</v>
      </c>
      <c r="V941" s="2" t="s">
        <v>0</v>
      </c>
      <c r="W941" s="7">
        <v>0</v>
      </c>
      <c r="X941" t="str">
        <f t="shared" si="29"/>
        <v>Active</v>
      </c>
    </row>
    <row r="942" spans="1:24" x14ac:dyDescent="0.3">
      <c r="A942" s="2">
        <v>941</v>
      </c>
      <c r="B942" s="7">
        <v>18.2</v>
      </c>
      <c r="C942" s="2" t="s">
        <v>5</v>
      </c>
      <c r="D942" s="7">
        <f>IF(ISBLANK('Raw sheet'!D942),AVERAGE('Raw sheet'!$D$2:'Raw sheet'!$D$1500),'Raw sheet'!D942)</f>
        <v>57851</v>
      </c>
      <c r="E942" s="7" t="str">
        <f>IF(Table1[[#This Row],[Family_Income]]&gt;=100000,"Upper",IF(D942&gt;=50000,"Middle","Lower"))</f>
        <v>Middle</v>
      </c>
      <c r="F942" s="2" t="s">
        <v>4</v>
      </c>
      <c r="G942" s="3">
        <f>IF(ISBLANK('Raw sheet'!F942),AVERAGE('Raw sheet'!$F$2:'Raw sheet'!$F$1500),'Raw sheet'!F942)</f>
        <v>4.2</v>
      </c>
      <c r="H942" s="18">
        <v>81.099999999999994</v>
      </c>
      <c r="I942" s="9" t="str">
        <f t="shared" si="28"/>
        <v>Good</v>
      </c>
      <c r="J942" s="2">
        <v>4</v>
      </c>
      <c r="K942" s="2">
        <v>43.6</v>
      </c>
      <c r="L942" s="2" t="s">
        <v>4</v>
      </c>
      <c r="M942" s="2" t="s">
        <v>3</v>
      </c>
      <c r="N942" s="5">
        <f>IF(ISBLANK('Raw sheet'!L942),AVERAGE('Raw sheet'!$L$2:'Raw sheet'!$L$1500),'Raw sheet'!L942)</f>
        <v>4.0999999999999996</v>
      </c>
      <c r="O942" s="5" t="str">
        <f>IF(Table1[[#This Row],[Stress_Index]]&gt;=8,"High",IF(N942&gt;=5,"Medium","Low"))</f>
        <v>Low</v>
      </c>
      <c r="P942" s="3">
        <v>2.4300000000000002</v>
      </c>
      <c r="Q942" s="2">
        <v>2.59</v>
      </c>
      <c r="R942" s="3">
        <v>2.59</v>
      </c>
      <c r="S942" s="3" t="str">
        <f>IF(Table1[[#This Row],[CGPA]]&gt;=3,"High",IF(R941&gt;=2,"Medium","Low"))</f>
        <v>Low</v>
      </c>
      <c r="T942" s="2" t="s">
        <v>10</v>
      </c>
      <c r="U942" s="2" t="s">
        <v>8</v>
      </c>
      <c r="V942" s="2" t="s">
        <v>15</v>
      </c>
      <c r="W942" s="7">
        <v>0</v>
      </c>
      <c r="X942" t="str">
        <f t="shared" si="29"/>
        <v>Active</v>
      </c>
    </row>
    <row r="943" spans="1:24" x14ac:dyDescent="0.3">
      <c r="A943" s="2">
        <v>942</v>
      </c>
      <c r="B943" s="7">
        <v>22.9</v>
      </c>
      <c r="C943" s="2" t="s">
        <v>5</v>
      </c>
      <c r="D943" s="7">
        <f>IF(ISBLANK('Raw sheet'!D943),AVERAGE('Raw sheet'!$D$2:'Raw sheet'!$D$1500),'Raw sheet'!D943)</f>
        <v>25000</v>
      </c>
      <c r="E943" s="7" t="str">
        <f>IF(Table1[[#This Row],[Family_Income]]&gt;=100000,"Upper",IF(D943&gt;=50000,"Middle","Lower"))</f>
        <v>Lower</v>
      </c>
      <c r="F943" s="2" t="s">
        <v>4</v>
      </c>
      <c r="G943" s="3">
        <f>IF(ISBLANK('Raw sheet'!F943),AVERAGE('Raw sheet'!$F$2:'Raw sheet'!$F$1500),'Raw sheet'!F943)</f>
        <v>4.87</v>
      </c>
      <c r="H943" s="18">
        <v>92</v>
      </c>
      <c r="I943" s="9" t="str">
        <f t="shared" si="28"/>
        <v>Good</v>
      </c>
      <c r="J943" s="2">
        <v>1</v>
      </c>
      <c r="K943" s="2">
        <v>39.799999999999997</v>
      </c>
      <c r="L943" s="2" t="s">
        <v>3</v>
      </c>
      <c r="M943" s="2" t="s">
        <v>3</v>
      </c>
      <c r="N943" s="5">
        <f>IF(ISBLANK('Raw sheet'!L943),AVERAGE('Raw sheet'!$L$2:'Raw sheet'!$L$1500),'Raw sheet'!L943)</f>
        <v>4.3</v>
      </c>
      <c r="O943" s="5" t="str">
        <f>IF(Table1[[#This Row],[Stress_Index]]&gt;=8,"High",IF(N943&gt;=5,"Medium","Low"))</f>
        <v>Low</v>
      </c>
      <c r="P943" s="3">
        <v>2.15</v>
      </c>
      <c r="Q943" s="2">
        <v>2.06</v>
      </c>
      <c r="R943" s="3">
        <v>2.08</v>
      </c>
      <c r="S943" s="3" t="str">
        <f>IF(Table1[[#This Row],[CGPA]]&gt;=3,"High",IF(R942&gt;=2,"Medium","Low"))</f>
        <v>Medium</v>
      </c>
      <c r="T943" s="2" t="s">
        <v>10</v>
      </c>
      <c r="U943" s="2" t="s">
        <v>6</v>
      </c>
      <c r="V943" s="2" t="s">
        <v>0</v>
      </c>
      <c r="W943" s="7">
        <v>1</v>
      </c>
      <c r="X943" t="str">
        <f t="shared" si="29"/>
        <v>Dropped Out</v>
      </c>
    </row>
    <row r="944" spans="1:24" x14ac:dyDescent="0.3">
      <c r="A944" s="2">
        <v>943</v>
      </c>
      <c r="B944" s="7">
        <v>22.4</v>
      </c>
      <c r="C944" s="2" t="s">
        <v>11</v>
      </c>
      <c r="D944" s="7">
        <f>IF(ISBLANK('Raw sheet'!D944),AVERAGE('Raw sheet'!$D$2:'Raw sheet'!$D$1500),'Raw sheet'!D944)</f>
        <v>25000</v>
      </c>
      <c r="E944" s="7" t="str">
        <f>IF(Table1[[#This Row],[Family_Income]]&gt;=100000,"Upper",IF(D944&gt;=50000,"Middle","Lower"))</f>
        <v>Lower</v>
      </c>
      <c r="F944" s="2" t="s">
        <v>4</v>
      </c>
      <c r="G944" s="3">
        <f>IF(ISBLANK('Raw sheet'!F944),AVERAGE('Raw sheet'!$F$2:'Raw sheet'!$F$1500),'Raw sheet'!F944)</f>
        <v>4.46</v>
      </c>
      <c r="H944" s="18">
        <v>89.3</v>
      </c>
      <c r="I944" s="9" t="str">
        <f t="shared" si="28"/>
        <v>Good</v>
      </c>
      <c r="J944" s="2">
        <v>1</v>
      </c>
      <c r="K944" s="2">
        <v>22.9</v>
      </c>
      <c r="L944" s="2" t="s">
        <v>3</v>
      </c>
      <c r="M944" s="2" t="s">
        <v>3</v>
      </c>
      <c r="N944" s="5">
        <f>IF(ISBLANK('Raw sheet'!L944),AVERAGE('Raw sheet'!$L$2:'Raw sheet'!$L$1500),'Raw sheet'!L944)</f>
        <v>6</v>
      </c>
      <c r="O944" s="5" t="str">
        <f>IF(Table1[[#This Row],[Stress_Index]]&gt;=8,"High",IF(N944&gt;=5,"Medium","Low"))</f>
        <v>Medium</v>
      </c>
      <c r="P944" s="3">
        <v>1.32</v>
      </c>
      <c r="Q944" s="2">
        <v>0.98</v>
      </c>
      <c r="R944" s="3">
        <v>0.98</v>
      </c>
      <c r="S944" s="3" t="str">
        <f>IF(Table1[[#This Row],[CGPA]]&gt;=3,"High",IF(R943&gt;=2,"Medium","Low"))</f>
        <v>Medium</v>
      </c>
      <c r="T944" s="2" t="s">
        <v>2</v>
      </c>
      <c r="U944" s="2" t="s">
        <v>8</v>
      </c>
      <c r="V944" s="2" t="s">
        <v>15</v>
      </c>
      <c r="W944" s="7">
        <v>0</v>
      </c>
      <c r="X944" t="str">
        <f t="shared" si="29"/>
        <v>Active</v>
      </c>
    </row>
    <row r="945" spans="1:24" x14ac:dyDescent="0.3">
      <c r="A945" s="2">
        <v>944</v>
      </c>
      <c r="B945" s="7">
        <v>20.8</v>
      </c>
      <c r="C945" s="2" t="s">
        <v>11</v>
      </c>
      <c r="D945" s="7">
        <f>IF(ISBLANK('Raw sheet'!D945),AVERAGE('Raw sheet'!$D$2:'Raw sheet'!$D$1500),'Raw sheet'!D945)</f>
        <v>62716</v>
      </c>
      <c r="E945" s="7" t="str">
        <f>IF(Table1[[#This Row],[Family_Income]]&gt;=100000,"Upper",IF(D945&gt;=50000,"Middle","Lower"))</f>
        <v>Middle</v>
      </c>
      <c r="F945" s="2" t="s">
        <v>4</v>
      </c>
      <c r="G945" s="3">
        <f>IF(ISBLANK('Raw sheet'!F945),AVERAGE('Raw sheet'!$F$2:'Raw sheet'!$F$1500),'Raw sheet'!F945)</f>
        <v>6.94</v>
      </c>
      <c r="H945" s="18">
        <v>75.2</v>
      </c>
      <c r="I945" s="9" t="str">
        <f t="shared" si="28"/>
        <v>Good</v>
      </c>
      <c r="J945" s="2">
        <v>3</v>
      </c>
      <c r="K945" s="2">
        <v>35.9</v>
      </c>
      <c r="L945" s="2" t="s">
        <v>4</v>
      </c>
      <c r="M945" s="2" t="s">
        <v>4</v>
      </c>
      <c r="N945" s="5">
        <f>IF(ISBLANK('Raw sheet'!L945),AVERAGE('Raw sheet'!$L$2:'Raw sheet'!$L$1500),'Raw sheet'!L945)</f>
        <v>4.2</v>
      </c>
      <c r="O945" s="5" t="str">
        <f>IF(Table1[[#This Row],[Stress_Index]]&gt;=8,"High",IF(N945&gt;=5,"Medium","Low"))</f>
        <v>Low</v>
      </c>
      <c r="P945" s="3">
        <v>3.03</v>
      </c>
      <c r="Q945" s="2">
        <v>2.91</v>
      </c>
      <c r="R945" s="3">
        <v>2.91</v>
      </c>
      <c r="S945" s="3" t="str">
        <f>IF(Table1[[#This Row],[CGPA]]&gt;=3,"High",IF(R944&gt;=2,"Medium","Low"))</f>
        <v>Low</v>
      </c>
      <c r="T945" s="2" t="s">
        <v>12</v>
      </c>
      <c r="U945" s="2" t="s">
        <v>8</v>
      </c>
      <c r="V945" s="2" t="s">
        <v>0</v>
      </c>
      <c r="W945" s="7">
        <v>0</v>
      </c>
      <c r="X945" t="str">
        <f t="shared" si="29"/>
        <v>Active</v>
      </c>
    </row>
    <row r="946" spans="1:24" x14ac:dyDescent="0.3">
      <c r="A946" s="2">
        <v>945</v>
      </c>
      <c r="B946" s="7">
        <v>25.1</v>
      </c>
      <c r="C946" s="2" t="s">
        <v>5</v>
      </c>
      <c r="D946" s="7">
        <f>IF(ISBLANK('Raw sheet'!D946),AVERAGE('Raw sheet'!$D$2:'Raw sheet'!$D$1500),'Raw sheet'!D946)</f>
        <v>36200</v>
      </c>
      <c r="E946" s="7" t="str">
        <f>IF(Table1[[#This Row],[Family_Income]]&gt;=100000,"Upper",IF(D946&gt;=50000,"Middle","Lower"))</f>
        <v>Lower</v>
      </c>
      <c r="F946" s="2" t="s">
        <v>3</v>
      </c>
      <c r="G946" s="3">
        <f>IF(ISBLANK('Raw sheet'!F946),AVERAGE('Raw sheet'!$F$2:'Raw sheet'!$F$1500),'Raw sheet'!F946)</f>
        <v>4.55</v>
      </c>
      <c r="H946" s="18">
        <v>76.5</v>
      </c>
      <c r="I946" s="9" t="str">
        <f t="shared" si="28"/>
        <v>Good</v>
      </c>
      <c r="J946" s="2">
        <v>2</v>
      </c>
      <c r="K946" s="2">
        <v>22.6</v>
      </c>
      <c r="L946" s="2" t="s">
        <v>4</v>
      </c>
      <c r="M946" s="2" t="s">
        <v>3</v>
      </c>
      <c r="N946" s="5">
        <f>IF(ISBLANK('Raw sheet'!L946),AVERAGE('Raw sheet'!$L$2:'Raw sheet'!$L$1500),'Raw sheet'!L946)</f>
        <v>8</v>
      </c>
      <c r="O946" s="5" t="str">
        <f>IF(Table1[[#This Row],[Stress_Index]]&gt;=8,"High",IF(N946&gt;=5,"Medium","Low"))</f>
        <v>High</v>
      </c>
      <c r="P946" s="3">
        <v>1.69</v>
      </c>
      <c r="Q946" s="2">
        <v>2.0699999999999998</v>
      </c>
      <c r="R946" s="3">
        <v>2.0699999999999998</v>
      </c>
      <c r="S946" s="3" t="str">
        <f>IF(Table1[[#This Row],[CGPA]]&gt;=3,"High",IF(R945&gt;=2,"Medium","Low"))</f>
        <v>Medium</v>
      </c>
      <c r="T946" s="2" t="s">
        <v>2</v>
      </c>
      <c r="U946" s="2" t="s">
        <v>13</v>
      </c>
      <c r="V946" s="2" t="s">
        <v>15</v>
      </c>
      <c r="W946" s="7">
        <v>1</v>
      </c>
      <c r="X946" t="str">
        <f t="shared" si="29"/>
        <v>Dropped Out</v>
      </c>
    </row>
    <row r="947" spans="1:24" x14ac:dyDescent="0.3">
      <c r="A947" s="2">
        <v>946</v>
      </c>
      <c r="B947" s="7">
        <v>18.600000000000001</v>
      </c>
      <c r="C947" s="2" t="s">
        <v>5</v>
      </c>
      <c r="D947" s="7">
        <f>IF(ISBLANK('Raw sheet'!D947),AVERAGE('Raw sheet'!$D$2:'Raw sheet'!$D$1500),'Raw sheet'!D947)</f>
        <v>36451</v>
      </c>
      <c r="E947" s="7" t="str">
        <f>IF(Table1[[#This Row],[Family_Income]]&gt;=100000,"Upper",IF(D947&gt;=50000,"Middle","Lower"))</f>
        <v>Lower</v>
      </c>
      <c r="F947" s="2" t="s">
        <v>4</v>
      </c>
      <c r="G947" s="3">
        <f>IF(ISBLANK('Raw sheet'!F947),AVERAGE('Raw sheet'!$F$2:'Raw sheet'!$F$1500),'Raw sheet'!F947)</f>
        <v>1.33</v>
      </c>
      <c r="H947" s="18">
        <v>89.8</v>
      </c>
      <c r="I947" s="9" t="str">
        <f t="shared" si="28"/>
        <v>Good</v>
      </c>
      <c r="J947" s="2">
        <v>0</v>
      </c>
      <c r="K947" s="2">
        <v>26.2</v>
      </c>
      <c r="L947" s="2" t="s">
        <v>3</v>
      </c>
      <c r="M947" s="2" t="s">
        <v>4</v>
      </c>
      <c r="N947" s="5">
        <f>IF(ISBLANK('Raw sheet'!L947),AVERAGE('Raw sheet'!$L$2:'Raw sheet'!$L$1500),'Raw sheet'!L947)</f>
        <v>9</v>
      </c>
      <c r="O947" s="5" t="str">
        <f>IF(Table1[[#This Row],[Stress_Index]]&gt;=8,"High",IF(N947&gt;=5,"Medium","Low"))</f>
        <v>High</v>
      </c>
      <c r="P947" s="3">
        <v>0</v>
      </c>
      <c r="Q947" s="2">
        <v>0</v>
      </c>
      <c r="R947" s="3">
        <v>0</v>
      </c>
      <c r="S947" s="3" t="str">
        <f>IF(Table1[[#This Row],[CGPA]]&gt;=3,"High",IF(R946&gt;=2,"Medium","Low"))</f>
        <v>Medium</v>
      </c>
      <c r="T947" s="2" t="s">
        <v>12</v>
      </c>
      <c r="U947" s="2" t="s">
        <v>6</v>
      </c>
      <c r="V947" s="2" t="s">
        <v>9</v>
      </c>
      <c r="W947" s="7">
        <v>1</v>
      </c>
      <c r="X947" t="str">
        <f t="shared" si="29"/>
        <v>Dropped Out</v>
      </c>
    </row>
    <row r="948" spans="1:24" x14ac:dyDescent="0.3">
      <c r="A948" s="2">
        <v>947</v>
      </c>
      <c r="B948" s="7">
        <v>17.600000000000001</v>
      </c>
      <c r="C948" s="2" t="s">
        <v>5</v>
      </c>
      <c r="D948" s="7">
        <f>IF(ISBLANK('Raw sheet'!D948),AVERAGE('Raw sheet'!$D$2:'Raw sheet'!$D$1500),'Raw sheet'!D948)</f>
        <v>25000</v>
      </c>
      <c r="E948" s="7" t="str">
        <f>IF(Table1[[#This Row],[Family_Income]]&gt;=100000,"Upper",IF(D948&gt;=50000,"Middle","Lower"))</f>
        <v>Lower</v>
      </c>
      <c r="F948" s="2" t="s">
        <v>4</v>
      </c>
      <c r="G948" s="3">
        <f>IF(ISBLANK('Raw sheet'!F948),AVERAGE('Raw sheet'!$F$2:'Raw sheet'!$F$1500),'Raw sheet'!F948)</f>
        <v>3.36</v>
      </c>
      <c r="H948" s="18">
        <v>87.6</v>
      </c>
      <c r="I948" s="9" t="str">
        <f t="shared" si="28"/>
        <v>Good</v>
      </c>
      <c r="J948" s="2">
        <v>0</v>
      </c>
      <c r="K948" s="2">
        <v>36.799999999999997</v>
      </c>
      <c r="L948" s="2" t="s">
        <v>3</v>
      </c>
      <c r="M948" s="2" t="s">
        <v>3</v>
      </c>
      <c r="N948" s="5">
        <f>IF(ISBLANK('Raw sheet'!L948),AVERAGE('Raw sheet'!$L$2:'Raw sheet'!$L$1500),'Raw sheet'!L948)</f>
        <v>3.9</v>
      </c>
      <c r="O948" s="5" t="str">
        <f>IF(Table1[[#This Row],[Stress_Index]]&gt;=8,"High",IF(N948&gt;=5,"Medium","Low"))</f>
        <v>Low</v>
      </c>
      <c r="P948" s="3">
        <v>3.48</v>
      </c>
      <c r="Q948" s="2">
        <v>3.24</v>
      </c>
      <c r="R948" s="3">
        <v>3.18</v>
      </c>
      <c r="S948" s="3" t="str">
        <f>IF(Table1[[#This Row],[CGPA]]&gt;=3,"High",IF(R947&gt;=2,"Medium","Low"))</f>
        <v>High</v>
      </c>
      <c r="T948" s="2" t="s">
        <v>12</v>
      </c>
      <c r="U948" s="2" t="s">
        <v>1</v>
      </c>
      <c r="V948" s="2" t="s">
        <v>15</v>
      </c>
      <c r="W948" s="7">
        <v>0</v>
      </c>
      <c r="X948" t="str">
        <f t="shared" si="29"/>
        <v>Active</v>
      </c>
    </row>
    <row r="949" spans="1:24" x14ac:dyDescent="0.3">
      <c r="A949" s="2">
        <v>948</v>
      </c>
      <c r="B949" s="7">
        <v>19.5</v>
      </c>
      <c r="C949" s="2" t="s">
        <v>11</v>
      </c>
      <c r="D949" s="7">
        <f>IF(ISBLANK('Raw sheet'!D949),AVERAGE('Raw sheet'!$D$2:'Raw sheet'!$D$1500),'Raw sheet'!D949)</f>
        <v>25000</v>
      </c>
      <c r="E949" s="7" t="str">
        <f>IF(Table1[[#This Row],[Family_Income]]&gt;=100000,"Upper",IF(D949&gt;=50000,"Middle","Lower"))</f>
        <v>Lower</v>
      </c>
      <c r="F949" s="2" t="s">
        <v>3</v>
      </c>
      <c r="G949" s="3">
        <f>IF(ISBLANK('Raw sheet'!F949),AVERAGE('Raw sheet'!$F$2:'Raw sheet'!$F$1500),'Raw sheet'!F949)</f>
        <v>2.79</v>
      </c>
      <c r="H949" s="18">
        <v>73.099999999999994</v>
      </c>
      <c r="I949" s="9" t="str">
        <f t="shared" si="28"/>
        <v>Low</v>
      </c>
      <c r="J949" s="2">
        <v>1</v>
      </c>
      <c r="K949" s="2">
        <v>22.4</v>
      </c>
      <c r="L949" s="2" t="s">
        <v>3</v>
      </c>
      <c r="M949" s="2" t="s">
        <v>4</v>
      </c>
      <c r="N949" s="5">
        <f>IF(ISBLANK('Raw sheet'!L949),AVERAGE('Raw sheet'!$L$2:'Raw sheet'!$L$1500),'Raw sheet'!L949)</f>
        <v>7</v>
      </c>
      <c r="O949" s="5" t="str">
        <f>IF(Table1[[#This Row],[Stress_Index]]&gt;=8,"High",IF(N949&gt;=5,"Medium","Low"))</f>
        <v>Medium</v>
      </c>
      <c r="P949" s="3">
        <v>1.3</v>
      </c>
      <c r="Q949" s="2">
        <v>0.99</v>
      </c>
      <c r="R949" s="3">
        <v>0.91</v>
      </c>
      <c r="S949" s="3" t="str">
        <f>IF(Table1[[#This Row],[CGPA]]&gt;=3,"High",IF(R948&gt;=2,"Medium","Low"))</f>
        <v>Medium</v>
      </c>
      <c r="T949" s="2" t="s">
        <v>10</v>
      </c>
      <c r="U949" s="2" t="s">
        <v>14</v>
      </c>
      <c r="V949" s="2" t="s">
        <v>17</v>
      </c>
      <c r="W949" s="7">
        <v>0</v>
      </c>
      <c r="X949" t="str">
        <f t="shared" si="29"/>
        <v>Active</v>
      </c>
    </row>
    <row r="950" spans="1:24" x14ac:dyDescent="0.3">
      <c r="A950" s="2">
        <v>949</v>
      </c>
      <c r="B950" s="7">
        <v>20.9</v>
      </c>
      <c r="C950" s="2" t="s">
        <v>5</v>
      </c>
      <c r="D950" s="7">
        <f>IF(ISBLANK('Raw sheet'!D950),AVERAGE('Raw sheet'!$D$2:'Raw sheet'!$D$1500),'Raw sheet'!D950)</f>
        <v>52300</v>
      </c>
      <c r="E950" s="7" t="str">
        <f>IF(Table1[[#This Row],[Family_Income]]&gt;=100000,"Upper",IF(D950&gt;=50000,"Middle","Lower"))</f>
        <v>Middle</v>
      </c>
      <c r="F950" s="2" t="s">
        <v>4</v>
      </c>
      <c r="G950" s="3">
        <f>IF(ISBLANK('Raw sheet'!F950),AVERAGE('Raw sheet'!$F$2:'Raw sheet'!$F$1500),'Raw sheet'!F950)</f>
        <v>4.6100000000000003</v>
      </c>
      <c r="H950" s="18">
        <v>78.3</v>
      </c>
      <c r="I950" s="9" t="str">
        <f t="shared" si="28"/>
        <v>Good</v>
      </c>
      <c r="J950" s="2">
        <v>0</v>
      </c>
      <c r="K950" s="2">
        <v>31.8</v>
      </c>
      <c r="L950" s="2" t="s">
        <v>4</v>
      </c>
      <c r="M950" s="2" t="s">
        <v>3</v>
      </c>
      <c r="N950" s="5">
        <f>IF(ISBLANK('Raw sheet'!L950),AVERAGE('Raw sheet'!$L$2:'Raw sheet'!$L$1500),'Raw sheet'!L950)</f>
        <v>4</v>
      </c>
      <c r="O950" s="5" t="str">
        <f>IF(Table1[[#This Row],[Stress_Index]]&gt;=8,"High",IF(N950&gt;=5,"Medium","Low"))</f>
        <v>Low</v>
      </c>
      <c r="P950" s="3">
        <v>0</v>
      </c>
      <c r="Q950" s="2">
        <v>0</v>
      </c>
      <c r="R950" s="3">
        <v>0.02</v>
      </c>
      <c r="S950" s="3" t="str">
        <f>IF(Table1[[#This Row],[CGPA]]&gt;=3,"High",IF(R949&gt;=2,"Medium","Low"))</f>
        <v>Low</v>
      </c>
      <c r="T950" s="2" t="s">
        <v>12</v>
      </c>
      <c r="U950" s="2" t="s">
        <v>8</v>
      </c>
      <c r="V950" s="2" t="s">
        <v>0</v>
      </c>
      <c r="W950" s="7">
        <v>1</v>
      </c>
      <c r="X950" t="str">
        <f t="shared" si="29"/>
        <v>Dropped Out</v>
      </c>
    </row>
    <row r="951" spans="1:24" x14ac:dyDescent="0.3">
      <c r="A951" s="2">
        <v>950</v>
      </c>
      <c r="B951" s="7">
        <v>21.5</v>
      </c>
      <c r="C951" s="2" t="s">
        <v>5</v>
      </c>
      <c r="D951" s="7">
        <f>IF(ISBLANK('Raw sheet'!D951),AVERAGE('Raw sheet'!$D$2:'Raw sheet'!$D$1500),'Raw sheet'!D951)</f>
        <v>25000</v>
      </c>
      <c r="E951" s="7" t="str">
        <f>IF(Table1[[#This Row],[Family_Income]]&gt;=100000,"Upper",IF(D951&gt;=50000,"Middle","Lower"))</f>
        <v>Lower</v>
      </c>
      <c r="F951" s="2" t="s">
        <v>4</v>
      </c>
      <c r="G951" s="3">
        <f>IF(ISBLANK('Raw sheet'!F951),AVERAGE('Raw sheet'!$F$2:'Raw sheet'!$F$1500),'Raw sheet'!F951)</f>
        <v>3.46</v>
      </c>
      <c r="H951" s="18">
        <v>80.8</v>
      </c>
      <c r="I951" s="9" t="str">
        <f t="shared" si="28"/>
        <v>Good</v>
      </c>
      <c r="J951" s="2">
        <v>1</v>
      </c>
      <c r="K951" s="2">
        <v>34.6</v>
      </c>
      <c r="L951" s="2" t="s">
        <v>3</v>
      </c>
      <c r="M951" s="2" t="s">
        <v>4</v>
      </c>
      <c r="N951" s="5">
        <f>IF(ISBLANK('Raw sheet'!L951),AVERAGE('Raw sheet'!$L$2:'Raw sheet'!$L$1500),'Raw sheet'!L951)</f>
        <v>4.9000000000000004</v>
      </c>
      <c r="O951" s="5" t="str">
        <f>IF(Table1[[#This Row],[Stress_Index]]&gt;=8,"High",IF(N951&gt;=5,"Medium","Low"))</f>
        <v>Low</v>
      </c>
      <c r="P951" s="3">
        <v>1.73</v>
      </c>
      <c r="Q951" s="2">
        <v>1.76</v>
      </c>
      <c r="R951" s="3">
        <v>1.76</v>
      </c>
      <c r="S951" s="3" t="str">
        <f>IF(Table1[[#This Row],[CGPA]]&gt;=3,"High",IF(R950&gt;=2,"Medium","Low"))</f>
        <v>Low</v>
      </c>
      <c r="T951" s="2" t="s">
        <v>7</v>
      </c>
      <c r="U951" s="2" t="s">
        <v>8</v>
      </c>
      <c r="V951" s="2" t="s">
        <v>9</v>
      </c>
      <c r="W951" s="7">
        <v>0</v>
      </c>
      <c r="X951" t="str">
        <f t="shared" si="29"/>
        <v>Active</v>
      </c>
    </row>
    <row r="952" spans="1:24" x14ac:dyDescent="0.3">
      <c r="A952" s="2">
        <v>951</v>
      </c>
      <c r="B952" s="7">
        <v>20.5</v>
      </c>
      <c r="C952" s="2" t="s">
        <v>5</v>
      </c>
      <c r="D952" s="7">
        <f>IF(ISBLANK('Raw sheet'!D952),AVERAGE('Raw sheet'!$D$2:'Raw sheet'!$D$1500),'Raw sheet'!D952)</f>
        <v>25000</v>
      </c>
      <c r="E952" s="7" t="str">
        <f>IF(Table1[[#This Row],[Family_Income]]&gt;=100000,"Upper",IF(D952&gt;=50000,"Middle","Lower"))</f>
        <v>Lower</v>
      </c>
      <c r="F952" s="2" t="s">
        <v>3</v>
      </c>
      <c r="G952" s="3">
        <f>IF(ISBLANK('Raw sheet'!F952),AVERAGE('Raw sheet'!$F$2:'Raw sheet'!$F$1500),'Raw sheet'!F952)</f>
        <v>4.6500000000000004</v>
      </c>
      <c r="H952" s="18">
        <v>81.7</v>
      </c>
      <c r="I952" s="9" t="str">
        <f t="shared" si="28"/>
        <v>Good</v>
      </c>
      <c r="J952" s="2">
        <v>1</v>
      </c>
      <c r="K952" s="2">
        <v>25.9</v>
      </c>
      <c r="L952" s="2" t="s">
        <v>4</v>
      </c>
      <c r="M952" s="2" t="s">
        <v>3</v>
      </c>
      <c r="N952" s="5">
        <f>IF(ISBLANK('Raw sheet'!L952),AVERAGE('Raw sheet'!$L$2:'Raw sheet'!$L$1500),'Raw sheet'!L952)</f>
        <v>6.7</v>
      </c>
      <c r="O952" s="5" t="str">
        <f>IF(Table1[[#This Row],[Stress_Index]]&gt;=8,"High",IF(N952&gt;=5,"Medium","Low"))</f>
        <v>Medium</v>
      </c>
      <c r="P952" s="3">
        <v>1.93</v>
      </c>
      <c r="Q952" s="2">
        <v>2.06</v>
      </c>
      <c r="R952" s="3">
        <v>1.99</v>
      </c>
      <c r="S952" s="3" t="str">
        <f>IF(Table1[[#This Row],[CGPA]]&gt;=3,"High",IF(R951&gt;=2,"Medium","Low"))</f>
        <v>Low</v>
      </c>
      <c r="T952" s="2" t="s">
        <v>7</v>
      </c>
      <c r="U952" s="2" t="s">
        <v>8</v>
      </c>
      <c r="V952" s="2" t="s">
        <v>9</v>
      </c>
      <c r="W952" s="7">
        <v>0</v>
      </c>
      <c r="X952" t="str">
        <f t="shared" si="29"/>
        <v>Active</v>
      </c>
    </row>
    <row r="953" spans="1:24" x14ac:dyDescent="0.3">
      <c r="A953" s="2">
        <v>952</v>
      </c>
      <c r="B953" s="7">
        <v>21.8</v>
      </c>
      <c r="C953" s="2" t="s">
        <v>5</v>
      </c>
      <c r="D953" s="7">
        <f>IF(ISBLANK('Raw sheet'!D953),AVERAGE('Raw sheet'!$D$2:'Raw sheet'!$D$1500),'Raw sheet'!D953)</f>
        <v>53017</v>
      </c>
      <c r="E953" s="7" t="str">
        <f>IF(Table1[[#This Row],[Family_Income]]&gt;=100000,"Upper",IF(D953&gt;=50000,"Middle","Lower"))</f>
        <v>Middle</v>
      </c>
      <c r="F953" s="2" t="s">
        <v>4</v>
      </c>
      <c r="G953" s="3">
        <f>IF(ISBLANK('Raw sheet'!F953),AVERAGE('Raw sheet'!$F$2:'Raw sheet'!$F$1500),'Raw sheet'!F953)</f>
        <v>3.11</v>
      </c>
      <c r="H953" s="18">
        <v>81.400000000000006</v>
      </c>
      <c r="I953" s="9" t="str">
        <f t="shared" si="28"/>
        <v>Good</v>
      </c>
      <c r="J953" s="2">
        <v>2</v>
      </c>
      <c r="K953" s="2">
        <v>38.6</v>
      </c>
      <c r="L953" s="2" t="s">
        <v>3</v>
      </c>
      <c r="M953" s="2" t="s">
        <v>3</v>
      </c>
      <c r="N953" s="5">
        <f>IF(ISBLANK('Raw sheet'!L953),AVERAGE('Raw sheet'!$L$2:'Raw sheet'!$L$1500),'Raw sheet'!L953)</f>
        <v>5.8</v>
      </c>
      <c r="O953" s="5" t="str">
        <f>IF(Table1[[#This Row],[Stress_Index]]&gt;=8,"High",IF(N953&gt;=5,"Medium","Low"))</f>
        <v>Medium</v>
      </c>
      <c r="P953" s="3">
        <v>2.91</v>
      </c>
      <c r="Q953" s="2">
        <v>2.8</v>
      </c>
      <c r="R953" s="3">
        <v>2.86</v>
      </c>
      <c r="S953" s="3" t="str">
        <f>IF(Table1[[#This Row],[CGPA]]&gt;=3,"High",IF(R952&gt;=2,"Medium","Low"))</f>
        <v>Low</v>
      </c>
      <c r="T953" s="2" t="s">
        <v>7</v>
      </c>
      <c r="U953" s="2" t="s">
        <v>8</v>
      </c>
      <c r="V953" s="2" t="s">
        <v>15</v>
      </c>
      <c r="W953" s="7">
        <v>0</v>
      </c>
      <c r="X953" t="str">
        <f t="shared" si="29"/>
        <v>Active</v>
      </c>
    </row>
    <row r="954" spans="1:24" x14ac:dyDescent="0.3">
      <c r="A954" s="2">
        <v>953</v>
      </c>
      <c r="B954" s="7">
        <v>18.2</v>
      </c>
      <c r="C954" s="2" t="s">
        <v>5</v>
      </c>
      <c r="D954" s="7">
        <f>IF(ISBLANK('Raw sheet'!D954),AVERAGE('Raw sheet'!$D$2:'Raw sheet'!$D$1500),'Raw sheet'!D954)</f>
        <v>38587.00282087447</v>
      </c>
      <c r="E954" s="7" t="str">
        <f>IF(Table1[[#This Row],[Family_Income]]&gt;=100000,"Upper",IF(D954&gt;=50000,"Middle","Lower"))</f>
        <v>Lower</v>
      </c>
      <c r="F954" s="2" t="s">
        <v>4</v>
      </c>
      <c r="G954" s="3">
        <f>IF(ISBLANK('Raw sheet'!F954),AVERAGE('Raw sheet'!$F$2:'Raw sheet'!$F$1500),'Raw sheet'!F954)</f>
        <v>4.0178702397743278</v>
      </c>
      <c r="H954" s="18">
        <v>74.2</v>
      </c>
      <c r="I954" s="9" t="str">
        <f t="shared" si="28"/>
        <v>Low</v>
      </c>
      <c r="J954" s="2">
        <v>3</v>
      </c>
      <c r="K954" s="2">
        <v>24.7</v>
      </c>
      <c r="L954" s="2" t="s">
        <v>4</v>
      </c>
      <c r="M954" s="2" t="s">
        <v>3</v>
      </c>
      <c r="N954" s="5">
        <f>IF(ISBLANK('Raw sheet'!L954),AVERAGE('Raw sheet'!$L$2:'Raw sheet'!$L$1500),'Raw sheet'!L954)</f>
        <v>5.5242595204513369</v>
      </c>
      <c r="O954" s="5" t="str">
        <f>IF(Table1[[#This Row],[Stress_Index]]&gt;=8,"High",IF(N954&gt;=5,"Medium","Low"))</f>
        <v>Medium</v>
      </c>
      <c r="P954" s="3">
        <v>3.73</v>
      </c>
      <c r="Q954" s="2">
        <v>3.68</v>
      </c>
      <c r="R954" s="3">
        <v>3.68</v>
      </c>
      <c r="S954" s="3" t="str">
        <f>IF(Table1[[#This Row],[CGPA]]&gt;=3,"High",IF(R953&gt;=2,"Medium","Low"))</f>
        <v>High</v>
      </c>
      <c r="T954" s="2" t="s">
        <v>2</v>
      </c>
      <c r="U954" s="2" t="s">
        <v>8</v>
      </c>
      <c r="V954" s="2" t="s">
        <v>9</v>
      </c>
      <c r="W954" s="7">
        <v>0</v>
      </c>
      <c r="X954" t="str">
        <f t="shared" si="29"/>
        <v>Active</v>
      </c>
    </row>
    <row r="955" spans="1:24" x14ac:dyDescent="0.3">
      <c r="A955" s="2">
        <v>954</v>
      </c>
      <c r="B955" s="7">
        <v>24.2</v>
      </c>
      <c r="C955" s="2" t="s">
        <v>5</v>
      </c>
      <c r="D955" s="7">
        <f>IF(ISBLANK('Raw sheet'!D955),AVERAGE('Raw sheet'!$D$2:'Raw sheet'!$D$1500),'Raw sheet'!D955)</f>
        <v>34945</v>
      </c>
      <c r="E955" s="7" t="str">
        <f>IF(Table1[[#This Row],[Family_Income]]&gt;=100000,"Upper",IF(D955&gt;=50000,"Middle","Lower"))</f>
        <v>Lower</v>
      </c>
      <c r="F955" s="2" t="s">
        <v>4</v>
      </c>
      <c r="G955" s="3">
        <f>IF(ISBLANK('Raw sheet'!F955),AVERAGE('Raw sheet'!$F$2:'Raw sheet'!$F$1500),'Raw sheet'!F955)</f>
        <v>3.31</v>
      </c>
      <c r="H955" s="18">
        <v>83.2</v>
      </c>
      <c r="I955" s="9" t="str">
        <f t="shared" si="28"/>
        <v>Good</v>
      </c>
      <c r="J955" s="2">
        <v>2</v>
      </c>
      <c r="K955" s="2">
        <v>41.3</v>
      </c>
      <c r="L955" s="2" t="s">
        <v>3</v>
      </c>
      <c r="M955" s="2" t="s">
        <v>4</v>
      </c>
      <c r="N955" s="5">
        <f>IF(ISBLANK('Raw sheet'!L955),AVERAGE('Raw sheet'!$L$2:'Raw sheet'!$L$1500),'Raw sheet'!L955)</f>
        <v>7.5</v>
      </c>
      <c r="O955" s="5" t="str">
        <f>IF(Table1[[#This Row],[Stress_Index]]&gt;=8,"High",IF(N955&gt;=5,"Medium","Low"))</f>
        <v>Medium</v>
      </c>
      <c r="P955" s="3">
        <v>1.1100000000000001</v>
      </c>
      <c r="Q955" s="2">
        <v>1.1499999999999999</v>
      </c>
      <c r="R955" s="3">
        <v>1.1399999999999999</v>
      </c>
      <c r="S955" s="3" t="str">
        <f>IF(Table1[[#This Row],[CGPA]]&gt;=3,"High",IF(R954&gt;=2,"Medium","Low"))</f>
        <v>Medium</v>
      </c>
      <c r="T955" s="2" t="s">
        <v>7</v>
      </c>
      <c r="U955" s="2" t="s">
        <v>13</v>
      </c>
      <c r="V955" s="2" t="s">
        <v>15</v>
      </c>
      <c r="W955" s="7">
        <v>1</v>
      </c>
      <c r="X955" t="str">
        <f t="shared" si="29"/>
        <v>Dropped Out</v>
      </c>
    </row>
    <row r="956" spans="1:24" x14ac:dyDescent="0.3">
      <c r="A956" s="2">
        <v>955</v>
      </c>
      <c r="B956" s="7">
        <v>20.8</v>
      </c>
      <c r="C956" s="2" t="s">
        <v>11</v>
      </c>
      <c r="D956" s="7">
        <f>IF(ISBLANK('Raw sheet'!D956),AVERAGE('Raw sheet'!$D$2:'Raw sheet'!$D$1500),'Raw sheet'!D956)</f>
        <v>30508</v>
      </c>
      <c r="E956" s="7" t="str">
        <f>IF(Table1[[#This Row],[Family_Income]]&gt;=100000,"Upper",IF(D956&gt;=50000,"Middle","Lower"))</f>
        <v>Lower</v>
      </c>
      <c r="F956" s="2" t="s">
        <v>4</v>
      </c>
      <c r="G956" s="3">
        <f>IF(ISBLANK('Raw sheet'!F956),AVERAGE('Raw sheet'!$F$2:'Raw sheet'!$F$1500),'Raw sheet'!F956)</f>
        <v>3.56</v>
      </c>
      <c r="H956" s="18">
        <v>82.6</v>
      </c>
      <c r="I956" s="9" t="str">
        <f t="shared" si="28"/>
        <v>Good</v>
      </c>
      <c r="J956" s="2">
        <v>1</v>
      </c>
      <c r="K956" s="2">
        <v>31.6</v>
      </c>
      <c r="L956" s="2" t="s">
        <v>4</v>
      </c>
      <c r="M956" s="2" t="s">
        <v>3</v>
      </c>
      <c r="N956" s="5">
        <f>IF(ISBLANK('Raw sheet'!L956),AVERAGE('Raw sheet'!$L$2:'Raw sheet'!$L$1500),'Raw sheet'!L956)</f>
        <v>7.5</v>
      </c>
      <c r="O956" s="5" t="str">
        <f>IF(Table1[[#This Row],[Stress_Index]]&gt;=8,"High",IF(N956&gt;=5,"Medium","Low"))</f>
        <v>Medium</v>
      </c>
      <c r="P956" s="3">
        <v>2.86</v>
      </c>
      <c r="Q956" s="2">
        <v>2.31</v>
      </c>
      <c r="R956" s="3">
        <v>2.31</v>
      </c>
      <c r="S956" s="3" t="str">
        <f>IF(Table1[[#This Row],[CGPA]]&gt;=3,"High",IF(R955&gt;=2,"Medium","Low"))</f>
        <v>Low</v>
      </c>
      <c r="T956" s="2" t="s">
        <v>2</v>
      </c>
      <c r="U956" s="2" t="s">
        <v>13</v>
      </c>
      <c r="V956" s="2" t="s">
        <v>15</v>
      </c>
      <c r="W956" s="7">
        <v>0</v>
      </c>
      <c r="X956" t="str">
        <f t="shared" si="29"/>
        <v>Active</v>
      </c>
    </row>
    <row r="957" spans="1:24" x14ac:dyDescent="0.3">
      <c r="A957" s="2">
        <v>956</v>
      </c>
      <c r="B957" s="7">
        <v>23.5</v>
      </c>
      <c r="C957" s="2" t="s">
        <v>11</v>
      </c>
      <c r="D957" s="7">
        <f>IF(ISBLANK('Raw sheet'!D957),AVERAGE('Raw sheet'!$D$2:'Raw sheet'!$D$1500),'Raw sheet'!D957)</f>
        <v>29685</v>
      </c>
      <c r="E957" s="7" t="str">
        <f>IF(Table1[[#This Row],[Family_Income]]&gt;=100000,"Upper",IF(D957&gt;=50000,"Middle","Lower"))</f>
        <v>Lower</v>
      </c>
      <c r="F957" s="2" t="s">
        <v>4</v>
      </c>
      <c r="G957" s="3">
        <f>IF(ISBLANK('Raw sheet'!F957),AVERAGE('Raw sheet'!$F$2:'Raw sheet'!$F$1500),'Raw sheet'!F957)</f>
        <v>4.29</v>
      </c>
      <c r="H957" s="18">
        <v>75.900000000000006</v>
      </c>
      <c r="I957" s="9" t="str">
        <f t="shared" si="28"/>
        <v>Good</v>
      </c>
      <c r="J957" s="2">
        <v>4</v>
      </c>
      <c r="K957" s="2">
        <v>32.1</v>
      </c>
      <c r="L957" s="2" t="s">
        <v>4</v>
      </c>
      <c r="M957" s="2" t="s">
        <v>3</v>
      </c>
      <c r="N957" s="5">
        <f>IF(ISBLANK('Raw sheet'!L957),AVERAGE('Raw sheet'!$L$2:'Raw sheet'!$L$1500),'Raw sheet'!L957)</f>
        <v>5.6</v>
      </c>
      <c r="O957" s="5" t="str">
        <f>IF(Table1[[#This Row],[Stress_Index]]&gt;=8,"High",IF(N957&gt;=5,"Medium","Low"))</f>
        <v>Medium</v>
      </c>
      <c r="P957" s="3">
        <v>2.5099999999999998</v>
      </c>
      <c r="Q957" s="2">
        <v>3</v>
      </c>
      <c r="R957" s="3">
        <v>3.01</v>
      </c>
      <c r="S957" s="3" t="str">
        <f>IF(Table1[[#This Row],[CGPA]]&gt;=3,"High",IF(R956&gt;=2,"Medium","Low"))</f>
        <v>High</v>
      </c>
      <c r="T957" s="2" t="s">
        <v>10</v>
      </c>
      <c r="U957" s="2" t="s">
        <v>6</v>
      </c>
      <c r="V957" s="2" t="s">
        <v>15</v>
      </c>
      <c r="W957" s="7">
        <v>0</v>
      </c>
      <c r="X957" t="str">
        <f t="shared" si="29"/>
        <v>Active</v>
      </c>
    </row>
    <row r="958" spans="1:24" x14ac:dyDescent="0.3">
      <c r="A958" s="2">
        <v>957</v>
      </c>
      <c r="B958" s="7">
        <v>21.8</v>
      </c>
      <c r="C958" s="2" t="s">
        <v>5</v>
      </c>
      <c r="D958" s="7">
        <f>IF(ISBLANK('Raw sheet'!D958),AVERAGE('Raw sheet'!$D$2:'Raw sheet'!$D$1500),'Raw sheet'!D958)</f>
        <v>25000</v>
      </c>
      <c r="E958" s="7" t="str">
        <f>IF(Table1[[#This Row],[Family_Income]]&gt;=100000,"Upper",IF(D958&gt;=50000,"Middle","Lower"))</f>
        <v>Lower</v>
      </c>
      <c r="F958" s="2" t="s">
        <v>4</v>
      </c>
      <c r="G958" s="3">
        <f>IF(ISBLANK('Raw sheet'!F958),AVERAGE('Raw sheet'!$F$2:'Raw sheet'!$F$1500),'Raw sheet'!F958)</f>
        <v>4.59</v>
      </c>
      <c r="H958" s="18">
        <v>83.3</v>
      </c>
      <c r="I958" s="9" t="str">
        <f t="shared" si="28"/>
        <v>Good</v>
      </c>
      <c r="J958" s="2">
        <v>0</v>
      </c>
      <c r="K958" s="2">
        <v>19.2</v>
      </c>
      <c r="L958" s="2" t="s">
        <v>3</v>
      </c>
      <c r="M958" s="2" t="s">
        <v>4</v>
      </c>
      <c r="N958" s="5">
        <f>IF(ISBLANK('Raw sheet'!L958),AVERAGE('Raw sheet'!$L$2:'Raw sheet'!$L$1500),'Raw sheet'!L958)</f>
        <v>4.4000000000000004</v>
      </c>
      <c r="O958" s="5" t="str">
        <f>IF(Table1[[#This Row],[Stress_Index]]&gt;=8,"High",IF(N958&gt;=5,"Medium","Low"))</f>
        <v>Low</v>
      </c>
      <c r="P958" s="3">
        <v>1.74</v>
      </c>
      <c r="Q958" s="2">
        <v>1.42</v>
      </c>
      <c r="R958" s="3">
        <v>1.42</v>
      </c>
      <c r="S958" s="3" t="str">
        <f>IF(Table1[[#This Row],[CGPA]]&gt;=3,"High",IF(R957&gt;=2,"Medium","Low"))</f>
        <v>Medium</v>
      </c>
      <c r="T958" s="2" t="s">
        <v>12</v>
      </c>
      <c r="U958" s="2" t="s">
        <v>13</v>
      </c>
      <c r="V958" s="2" t="s">
        <v>9</v>
      </c>
      <c r="W958" s="7">
        <v>0</v>
      </c>
      <c r="X958" t="str">
        <f t="shared" si="29"/>
        <v>Active</v>
      </c>
    </row>
    <row r="959" spans="1:24" x14ac:dyDescent="0.3">
      <c r="A959" s="2">
        <v>958</v>
      </c>
      <c r="B959" s="7">
        <v>22</v>
      </c>
      <c r="C959" s="2" t="s">
        <v>5</v>
      </c>
      <c r="D959" s="7">
        <f>IF(ISBLANK('Raw sheet'!D959),AVERAGE('Raw sheet'!$D$2:'Raw sheet'!$D$1500),'Raw sheet'!D959)</f>
        <v>25000</v>
      </c>
      <c r="E959" s="7" t="str">
        <f>IF(Table1[[#This Row],[Family_Income]]&gt;=100000,"Upper",IF(D959&gt;=50000,"Middle","Lower"))</f>
        <v>Lower</v>
      </c>
      <c r="F959" s="2" t="s">
        <v>4</v>
      </c>
      <c r="G959" s="3">
        <f>IF(ISBLANK('Raw sheet'!F959),AVERAGE('Raw sheet'!$F$2:'Raw sheet'!$F$1500),'Raw sheet'!F959)</f>
        <v>5.86</v>
      </c>
      <c r="H959" s="18">
        <v>81.8</v>
      </c>
      <c r="I959" s="9" t="str">
        <f t="shared" si="28"/>
        <v>Good</v>
      </c>
      <c r="J959" s="2">
        <v>2</v>
      </c>
      <c r="K959" s="2">
        <v>27.2</v>
      </c>
      <c r="L959" s="2" t="s">
        <v>3</v>
      </c>
      <c r="M959" s="2" t="s">
        <v>4</v>
      </c>
      <c r="N959" s="5">
        <f>IF(ISBLANK('Raw sheet'!L959),AVERAGE('Raw sheet'!$L$2:'Raw sheet'!$L$1500),'Raw sheet'!L959)</f>
        <v>5.5</v>
      </c>
      <c r="O959" s="5" t="str">
        <f>IF(Table1[[#This Row],[Stress_Index]]&gt;=8,"High",IF(N959&gt;=5,"Medium","Low"))</f>
        <v>Medium</v>
      </c>
      <c r="P959" s="3">
        <v>0.78</v>
      </c>
      <c r="Q959" s="2">
        <v>0.08</v>
      </c>
      <c r="R959" s="3">
        <v>0.13</v>
      </c>
      <c r="S959" s="3" t="str">
        <f>IF(Table1[[#This Row],[CGPA]]&gt;=3,"High",IF(R958&gt;=2,"Medium","Low"))</f>
        <v>Low</v>
      </c>
      <c r="T959" s="2" t="s">
        <v>7</v>
      </c>
      <c r="U959" s="2" t="s">
        <v>1</v>
      </c>
      <c r="V959" s="2" t="s">
        <v>0</v>
      </c>
      <c r="W959" s="7">
        <v>0</v>
      </c>
      <c r="X959" t="str">
        <f t="shared" si="29"/>
        <v>Active</v>
      </c>
    </row>
    <row r="960" spans="1:24" x14ac:dyDescent="0.3">
      <c r="A960" s="2">
        <v>959</v>
      </c>
      <c r="B960" s="7">
        <v>22.3</v>
      </c>
      <c r="C960" s="2" t="s">
        <v>5</v>
      </c>
      <c r="D960" s="7">
        <f>IF(ISBLANK('Raw sheet'!D960),AVERAGE('Raw sheet'!$D$2:'Raw sheet'!$D$1500),'Raw sheet'!D960)</f>
        <v>38587.00282087447</v>
      </c>
      <c r="E960" s="7" t="str">
        <f>IF(Table1[[#This Row],[Family_Income]]&gt;=100000,"Upper",IF(D960&gt;=50000,"Middle","Lower"))</f>
        <v>Lower</v>
      </c>
      <c r="F960" s="2" t="s">
        <v>4</v>
      </c>
      <c r="G960" s="3">
        <f>IF(ISBLANK('Raw sheet'!F960),AVERAGE('Raw sheet'!$F$2:'Raw sheet'!$F$1500),'Raw sheet'!F960)</f>
        <v>4.0178702397743278</v>
      </c>
      <c r="H960" s="18">
        <v>78.2</v>
      </c>
      <c r="I960" s="9" t="str">
        <f t="shared" si="28"/>
        <v>Good</v>
      </c>
      <c r="J960" s="2">
        <v>1</v>
      </c>
      <c r="K960" s="2">
        <v>32.299999999999997</v>
      </c>
      <c r="L960" s="2" t="s">
        <v>4</v>
      </c>
      <c r="M960" s="2" t="s">
        <v>3</v>
      </c>
      <c r="N960" s="5">
        <f>IF(ISBLANK('Raw sheet'!L960),AVERAGE('Raw sheet'!$L$2:'Raw sheet'!$L$1500),'Raw sheet'!L960)</f>
        <v>5.5242595204513369</v>
      </c>
      <c r="O960" s="5" t="str">
        <f>IF(Table1[[#This Row],[Stress_Index]]&gt;=8,"High",IF(N960&gt;=5,"Medium","Low"))</f>
        <v>Medium</v>
      </c>
      <c r="P960" s="3">
        <v>3.13</v>
      </c>
      <c r="Q960" s="2">
        <v>3.49</v>
      </c>
      <c r="R960" s="3">
        <v>3.51</v>
      </c>
      <c r="S960" s="3" t="str">
        <f>IF(Table1[[#This Row],[CGPA]]&gt;=3,"High",IF(R959&gt;=2,"Medium","Low"))</f>
        <v>High</v>
      </c>
      <c r="T960" s="2" t="s">
        <v>7</v>
      </c>
      <c r="U960" s="2" t="s">
        <v>13</v>
      </c>
      <c r="V960" s="2" t="s">
        <v>17</v>
      </c>
      <c r="W960" s="7">
        <v>0</v>
      </c>
      <c r="X960" t="str">
        <f t="shared" si="29"/>
        <v>Active</v>
      </c>
    </row>
    <row r="961" spans="1:24" x14ac:dyDescent="0.3">
      <c r="A961" s="2">
        <v>960</v>
      </c>
      <c r="B961" s="7">
        <v>22</v>
      </c>
      <c r="C961" s="2" t="s">
        <v>5</v>
      </c>
      <c r="D961" s="7">
        <f>IF(ISBLANK('Raw sheet'!D961),AVERAGE('Raw sheet'!$D$2:'Raw sheet'!$D$1500),'Raw sheet'!D961)</f>
        <v>39720</v>
      </c>
      <c r="E961" s="7" t="str">
        <f>IF(Table1[[#This Row],[Family_Income]]&gt;=100000,"Upper",IF(D961&gt;=50000,"Middle","Lower"))</f>
        <v>Lower</v>
      </c>
      <c r="F961" s="2" t="s">
        <v>4</v>
      </c>
      <c r="G961" s="3">
        <f>IF(ISBLANK('Raw sheet'!F961),AVERAGE('Raw sheet'!$F$2:'Raw sheet'!$F$1500),'Raw sheet'!F961)</f>
        <v>5.23</v>
      </c>
      <c r="H961" s="18">
        <v>72.8</v>
      </c>
      <c r="I961" s="9" t="str">
        <f t="shared" si="28"/>
        <v>Low</v>
      </c>
      <c r="J961" s="2">
        <v>3</v>
      </c>
      <c r="K961" s="2">
        <v>42.3</v>
      </c>
      <c r="L961" s="2" t="s">
        <v>3</v>
      </c>
      <c r="M961" s="2" t="s">
        <v>3</v>
      </c>
      <c r="N961" s="5">
        <f>IF(ISBLANK('Raw sheet'!L961),AVERAGE('Raw sheet'!$L$2:'Raw sheet'!$L$1500),'Raw sheet'!L961)</f>
        <v>6.9</v>
      </c>
      <c r="O961" s="5" t="str">
        <f>IF(Table1[[#This Row],[Stress_Index]]&gt;=8,"High",IF(N961&gt;=5,"Medium","Low"))</f>
        <v>Medium</v>
      </c>
      <c r="P961" s="3">
        <v>2.2200000000000002</v>
      </c>
      <c r="Q961" s="2">
        <v>2.2200000000000002</v>
      </c>
      <c r="R961" s="3">
        <v>2.27</v>
      </c>
      <c r="S961" s="3" t="str">
        <f>IF(Table1[[#This Row],[CGPA]]&gt;=3,"High",IF(R960&gt;=2,"Medium","Low"))</f>
        <v>Medium</v>
      </c>
      <c r="T961" s="2" t="s">
        <v>12</v>
      </c>
      <c r="U961" s="2" t="s">
        <v>1</v>
      </c>
      <c r="V961" s="2" t="s">
        <v>0</v>
      </c>
      <c r="W961" s="7">
        <v>0</v>
      </c>
      <c r="X961" t="str">
        <f t="shared" si="29"/>
        <v>Active</v>
      </c>
    </row>
    <row r="962" spans="1:24" x14ac:dyDescent="0.3">
      <c r="A962" s="2">
        <v>961</v>
      </c>
      <c r="B962" s="7">
        <v>22.4</v>
      </c>
      <c r="C962" s="2" t="s">
        <v>11</v>
      </c>
      <c r="D962" s="7">
        <f>IF(ISBLANK('Raw sheet'!D962),AVERAGE('Raw sheet'!$D$2:'Raw sheet'!$D$1500),'Raw sheet'!D962)</f>
        <v>25000</v>
      </c>
      <c r="E962" s="7" t="str">
        <f>IF(Table1[[#This Row],[Family_Income]]&gt;=100000,"Upper",IF(D962&gt;=50000,"Middle","Lower"))</f>
        <v>Lower</v>
      </c>
      <c r="F962" s="2" t="s">
        <v>4</v>
      </c>
      <c r="G962" s="3">
        <f>IF(ISBLANK('Raw sheet'!F962),AVERAGE('Raw sheet'!$F$2:'Raw sheet'!$F$1500),'Raw sheet'!F962)</f>
        <v>4.5599999999999996</v>
      </c>
      <c r="H962" s="18">
        <v>92.2</v>
      </c>
      <c r="I962" s="9" t="str">
        <f t="shared" ref="I962:I1025" si="30">IF(H962&gt;=75,"Good","Low")</f>
        <v>Good</v>
      </c>
      <c r="J962" s="2">
        <v>3</v>
      </c>
      <c r="K962" s="2">
        <v>26.1</v>
      </c>
      <c r="L962" s="2" t="s">
        <v>3</v>
      </c>
      <c r="M962" s="2" t="s">
        <v>4</v>
      </c>
      <c r="N962" s="5">
        <f>IF(ISBLANK('Raw sheet'!L962),AVERAGE('Raw sheet'!$L$2:'Raw sheet'!$L$1500),'Raw sheet'!L962)</f>
        <v>5.2</v>
      </c>
      <c r="O962" s="5" t="str">
        <f>IF(Table1[[#This Row],[Stress_Index]]&gt;=8,"High",IF(N962&gt;=5,"Medium","Low"))</f>
        <v>Medium</v>
      </c>
      <c r="P962" s="3">
        <v>2.13</v>
      </c>
      <c r="Q962" s="2">
        <v>1.55</v>
      </c>
      <c r="R962" s="3">
        <v>1.54</v>
      </c>
      <c r="S962" s="3" t="str">
        <f>IF(Table1[[#This Row],[CGPA]]&gt;=3,"High",IF(R961&gt;=2,"Medium","Low"))</f>
        <v>Medium</v>
      </c>
      <c r="T962" s="2" t="s">
        <v>10</v>
      </c>
      <c r="U962" s="2" t="s">
        <v>6</v>
      </c>
      <c r="V962" s="2" t="s">
        <v>9</v>
      </c>
      <c r="W962" s="7">
        <v>0</v>
      </c>
      <c r="X962" t="str">
        <f t="shared" ref="X962:X1025" si="31">IF(W962=1,"Dropped Out","Active")</f>
        <v>Active</v>
      </c>
    </row>
    <row r="963" spans="1:24" x14ac:dyDescent="0.3">
      <c r="A963" s="2">
        <v>962</v>
      </c>
      <c r="B963" s="7">
        <v>23.9</v>
      </c>
      <c r="C963" s="2" t="s">
        <v>11</v>
      </c>
      <c r="D963" s="7">
        <f>IF(ISBLANK('Raw sheet'!D963),AVERAGE('Raw sheet'!$D$2:'Raw sheet'!$D$1500),'Raw sheet'!D963)</f>
        <v>53170</v>
      </c>
      <c r="E963" s="7" t="str">
        <f>IF(Table1[[#This Row],[Family_Income]]&gt;=100000,"Upper",IF(D963&gt;=50000,"Middle","Lower"))</f>
        <v>Middle</v>
      </c>
      <c r="F963" s="2" t="s">
        <v>4</v>
      </c>
      <c r="G963" s="3">
        <f>IF(ISBLANK('Raw sheet'!F963),AVERAGE('Raw sheet'!$F$2:'Raw sheet'!$F$1500),'Raw sheet'!F963)</f>
        <v>3.37</v>
      </c>
      <c r="H963" s="18">
        <v>96.2</v>
      </c>
      <c r="I963" s="9" t="str">
        <f t="shared" si="30"/>
        <v>Good</v>
      </c>
      <c r="J963" s="2">
        <v>1</v>
      </c>
      <c r="K963" s="2">
        <v>42.2</v>
      </c>
      <c r="L963" s="2" t="s">
        <v>3</v>
      </c>
      <c r="M963" s="2" t="s">
        <v>3</v>
      </c>
      <c r="N963" s="5">
        <f>IF(ISBLANK('Raw sheet'!L963),AVERAGE('Raw sheet'!$L$2:'Raw sheet'!$L$1500),'Raw sheet'!L963)</f>
        <v>3.5</v>
      </c>
      <c r="O963" s="5" t="str">
        <f>IF(Table1[[#This Row],[Stress_Index]]&gt;=8,"High",IF(N963&gt;=5,"Medium","Low"))</f>
        <v>Low</v>
      </c>
      <c r="P963" s="3">
        <v>1.85</v>
      </c>
      <c r="Q963" s="2">
        <v>1.53</v>
      </c>
      <c r="R963" s="3">
        <v>1.52</v>
      </c>
      <c r="S963" s="3" t="str">
        <f>IF(Table1[[#This Row],[CGPA]]&gt;=3,"High",IF(R962&gt;=2,"Medium","Low"))</f>
        <v>Low</v>
      </c>
      <c r="T963" s="2" t="s">
        <v>12</v>
      </c>
      <c r="U963" s="2" t="s">
        <v>6</v>
      </c>
      <c r="V963" s="2" t="s">
        <v>15</v>
      </c>
      <c r="W963" s="7">
        <v>0</v>
      </c>
      <c r="X963" t="str">
        <f t="shared" si="31"/>
        <v>Active</v>
      </c>
    </row>
    <row r="964" spans="1:24" x14ac:dyDescent="0.3">
      <c r="A964" s="2">
        <v>963</v>
      </c>
      <c r="B964" s="7">
        <v>21.4</v>
      </c>
      <c r="C964" s="2" t="s">
        <v>5</v>
      </c>
      <c r="D964" s="7">
        <f>IF(ISBLANK('Raw sheet'!D964),AVERAGE('Raw sheet'!$D$2:'Raw sheet'!$D$1500),'Raw sheet'!D964)</f>
        <v>25985</v>
      </c>
      <c r="E964" s="7" t="str">
        <f>IF(Table1[[#This Row],[Family_Income]]&gt;=100000,"Upper",IF(D964&gt;=50000,"Middle","Lower"))</f>
        <v>Lower</v>
      </c>
      <c r="F964" s="2" t="s">
        <v>3</v>
      </c>
      <c r="G964" s="3">
        <f>IF(ISBLANK('Raw sheet'!F964),AVERAGE('Raw sheet'!$F$2:'Raw sheet'!$F$1500),'Raw sheet'!F964)</f>
        <v>4.8099999999999996</v>
      </c>
      <c r="H964" s="18">
        <v>84</v>
      </c>
      <c r="I964" s="9" t="str">
        <f t="shared" si="30"/>
        <v>Good</v>
      </c>
      <c r="J964" s="2">
        <v>4</v>
      </c>
      <c r="K964" s="2">
        <v>20.9</v>
      </c>
      <c r="L964" s="2" t="s">
        <v>3</v>
      </c>
      <c r="M964" s="2" t="s">
        <v>3</v>
      </c>
      <c r="N964" s="5">
        <f>IF(ISBLANK('Raw sheet'!L964),AVERAGE('Raw sheet'!$L$2:'Raw sheet'!$L$1500),'Raw sheet'!L964)</f>
        <v>7.9</v>
      </c>
      <c r="O964" s="5" t="str">
        <f>IF(Table1[[#This Row],[Stress_Index]]&gt;=8,"High",IF(N964&gt;=5,"Medium","Low"))</f>
        <v>Medium</v>
      </c>
      <c r="P964" s="3">
        <v>1.44</v>
      </c>
      <c r="Q964" s="2">
        <v>1.86</v>
      </c>
      <c r="R964" s="3">
        <v>1.92</v>
      </c>
      <c r="S964" s="3" t="str">
        <f>IF(Table1[[#This Row],[CGPA]]&gt;=3,"High",IF(R963&gt;=2,"Medium","Low"))</f>
        <v>Low</v>
      </c>
      <c r="T964" s="2" t="s">
        <v>7</v>
      </c>
      <c r="U964" s="2" t="s">
        <v>6</v>
      </c>
      <c r="V964" s="2" t="s">
        <v>9</v>
      </c>
      <c r="W964" s="7">
        <v>1</v>
      </c>
      <c r="X964" t="str">
        <f t="shared" si="31"/>
        <v>Dropped Out</v>
      </c>
    </row>
    <row r="965" spans="1:24" x14ac:dyDescent="0.3">
      <c r="A965" s="2">
        <v>964</v>
      </c>
      <c r="B965" s="7">
        <v>22.6</v>
      </c>
      <c r="C965" s="2" t="s">
        <v>5</v>
      </c>
      <c r="D965" s="7">
        <f>IF(ISBLANK('Raw sheet'!D965),AVERAGE('Raw sheet'!$D$2:'Raw sheet'!$D$1500),'Raw sheet'!D965)</f>
        <v>25000</v>
      </c>
      <c r="E965" s="7" t="str">
        <f>IF(Table1[[#This Row],[Family_Income]]&gt;=100000,"Upper",IF(D965&gt;=50000,"Middle","Lower"))</f>
        <v>Lower</v>
      </c>
      <c r="F965" s="2" t="s">
        <v>4</v>
      </c>
      <c r="G965" s="3">
        <f>IF(ISBLANK('Raw sheet'!F965),AVERAGE('Raw sheet'!$F$2:'Raw sheet'!$F$1500),'Raw sheet'!F965)</f>
        <v>5.55</v>
      </c>
      <c r="H965" s="18">
        <v>93.5</v>
      </c>
      <c r="I965" s="9" t="str">
        <f t="shared" si="30"/>
        <v>Good</v>
      </c>
      <c r="J965" s="2">
        <v>1</v>
      </c>
      <c r="K965" s="2">
        <v>34</v>
      </c>
      <c r="L965" s="2" t="s">
        <v>4</v>
      </c>
      <c r="M965" s="2" t="s">
        <v>3</v>
      </c>
      <c r="N965" s="5">
        <f>IF(ISBLANK('Raw sheet'!L965),AVERAGE('Raw sheet'!$L$2:'Raw sheet'!$L$1500),'Raw sheet'!L965)</f>
        <v>5.5</v>
      </c>
      <c r="O965" s="5" t="str">
        <f>IF(Table1[[#This Row],[Stress_Index]]&gt;=8,"High",IF(N965&gt;=5,"Medium","Low"))</f>
        <v>Medium</v>
      </c>
      <c r="P965" s="3">
        <v>3.3</v>
      </c>
      <c r="Q965" s="2">
        <v>2.99</v>
      </c>
      <c r="R965" s="3">
        <v>3</v>
      </c>
      <c r="S965" s="3" t="str">
        <f>IF(Table1[[#This Row],[CGPA]]&gt;=3,"High",IF(R964&gt;=2,"Medium","Low"))</f>
        <v>High</v>
      </c>
      <c r="T965" s="2" t="s">
        <v>7</v>
      </c>
      <c r="U965" s="2" t="s">
        <v>8</v>
      </c>
      <c r="V965" s="2" t="s">
        <v>9</v>
      </c>
      <c r="W965" s="7">
        <v>0</v>
      </c>
      <c r="X965" t="str">
        <f t="shared" si="31"/>
        <v>Active</v>
      </c>
    </row>
    <row r="966" spans="1:24" x14ac:dyDescent="0.3">
      <c r="A966" s="2">
        <v>965</v>
      </c>
      <c r="B966" s="7">
        <v>20.8</v>
      </c>
      <c r="C966" s="2" t="s">
        <v>5</v>
      </c>
      <c r="D966" s="7">
        <f>IF(ISBLANK('Raw sheet'!D966),AVERAGE('Raw sheet'!$D$2:'Raw sheet'!$D$1500),'Raw sheet'!D966)</f>
        <v>25779</v>
      </c>
      <c r="E966" s="7" t="str">
        <f>IF(Table1[[#This Row],[Family_Income]]&gt;=100000,"Upper",IF(D966&gt;=50000,"Middle","Lower"))</f>
        <v>Lower</v>
      </c>
      <c r="F966" s="2" t="s">
        <v>4</v>
      </c>
      <c r="G966" s="3">
        <f>IF(ISBLANK('Raw sheet'!F966),AVERAGE('Raw sheet'!$F$2:'Raw sheet'!$F$1500),'Raw sheet'!F966)</f>
        <v>5.55</v>
      </c>
      <c r="H966" s="18">
        <v>83.8</v>
      </c>
      <c r="I966" s="9" t="str">
        <f t="shared" si="30"/>
        <v>Good</v>
      </c>
      <c r="J966" s="2">
        <v>3</v>
      </c>
      <c r="K966" s="2">
        <v>23.9</v>
      </c>
      <c r="L966" s="2" t="s">
        <v>3</v>
      </c>
      <c r="M966" s="2" t="s">
        <v>4</v>
      </c>
      <c r="N966" s="5">
        <f>IF(ISBLANK('Raw sheet'!L966),AVERAGE('Raw sheet'!$L$2:'Raw sheet'!$L$1500),'Raw sheet'!L966)</f>
        <v>4.2</v>
      </c>
      <c r="O966" s="5" t="str">
        <f>IF(Table1[[#This Row],[Stress_Index]]&gt;=8,"High",IF(N966&gt;=5,"Medium","Low"))</f>
        <v>Low</v>
      </c>
      <c r="P966" s="3">
        <v>1.9</v>
      </c>
      <c r="Q966" s="2">
        <v>2.31</v>
      </c>
      <c r="R966" s="3">
        <v>2.31</v>
      </c>
      <c r="S966" s="3" t="str">
        <f>IF(Table1[[#This Row],[CGPA]]&gt;=3,"High",IF(R965&gt;=2,"Medium","Low"))</f>
        <v>Medium</v>
      </c>
      <c r="T966" s="2" t="s">
        <v>7</v>
      </c>
      <c r="U966" s="2" t="s">
        <v>8</v>
      </c>
      <c r="V966" s="2" t="s">
        <v>9</v>
      </c>
      <c r="W966" s="7">
        <v>0</v>
      </c>
      <c r="X966" t="str">
        <f t="shared" si="31"/>
        <v>Active</v>
      </c>
    </row>
    <row r="967" spans="1:24" x14ac:dyDescent="0.3">
      <c r="A967" s="2">
        <v>966</v>
      </c>
      <c r="B967" s="7">
        <v>24.2</v>
      </c>
      <c r="C967" s="2" t="s">
        <v>11</v>
      </c>
      <c r="D967" s="7">
        <f>IF(ISBLANK('Raw sheet'!D967),AVERAGE('Raw sheet'!$D$2:'Raw sheet'!$D$1500),'Raw sheet'!D967)</f>
        <v>25000</v>
      </c>
      <c r="E967" s="7" t="str">
        <f>IF(Table1[[#This Row],[Family_Income]]&gt;=100000,"Upper",IF(D967&gt;=50000,"Middle","Lower"))</f>
        <v>Lower</v>
      </c>
      <c r="F967" s="2" t="s">
        <v>4</v>
      </c>
      <c r="G967" s="3">
        <f>IF(ISBLANK('Raw sheet'!F967),AVERAGE('Raw sheet'!$F$2:'Raw sheet'!$F$1500),'Raw sheet'!F967)</f>
        <v>4.0199999999999996</v>
      </c>
      <c r="H967" s="18">
        <v>70.900000000000006</v>
      </c>
      <c r="I967" s="9" t="str">
        <f t="shared" si="30"/>
        <v>Low</v>
      </c>
      <c r="J967" s="2">
        <v>2</v>
      </c>
      <c r="K967" s="2">
        <v>48.5</v>
      </c>
      <c r="L967" s="2" t="s">
        <v>3</v>
      </c>
      <c r="M967" s="2" t="s">
        <v>4</v>
      </c>
      <c r="N967" s="5">
        <f>IF(ISBLANK('Raw sheet'!L967),AVERAGE('Raw sheet'!$L$2:'Raw sheet'!$L$1500),'Raw sheet'!L967)</f>
        <v>7.6</v>
      </c>
      <c r="O967" s="5" t="str">
        <f>IF(Table1[[#This Row],[Stress_Index]]&gt;=8,"High",IF(N967&gt;=5,"Medium","Low"))</f>
        <v>Medium</v>
      </c>
      <c r="P967" s="3">
        <v>0.83</v>
      </c>
      <c r="Q967" s="2">
        <v>1.17</v>
      </c>
      <c r="R967" s="3">
        <v>1.1299999999999999</v>
      </c>
      <c r="S967" s="3" t="str">
        <f>IF(Table1[[#This Row],[CGPA]]&gt;=3,"High",IF(R966&gt;=2,"Medium","Low"))</f>
        <v>Medium</v>
      </c>
      <c r="T967" s="2" t="s">
        <v>10</v>
      </c>
      <c r="U967" s="2" t="s">
        <v>6</v>
      </c>
      <c r="V967" s="2" t="s">
        <v>16</v>
      </c>
      <c r="W967" s="7">
        <v>0</v>
      </c>
      <c r="X967" t="str">
        <f t="shared" si="31"/>
        <v>Active</v>
      </c>
    </row>
    <row r="968" spans="1:24" x14ac:dyDescent="0.3">
      <c r="A968" s="2">
        <v>967</v>
      </c>
      <c r="B968" s="7">
        <v>19.5</v>
      </c>
      <c r="C968" s="2" t="s">
        <v>11</v>
      </c>
      <c r="D968" s="7">
        <f>IF(ISBLANK('Raw sheet'!D968),AVERAGE('Raw sheet'!$D$2:'Raw sheet'!$D$1500),'Raw sheet'!D968)</f>
        <v>54473</v>
      </c>
      <c r="E968" s="7" t="str">
        <f>IF(Table1[[#This Row],[Family_Income]]&gt;=100000,"Upper",IF(D968&gt;=50000,"Middle","Lower"))</f>
        <v>Middle</v>
      </c>
      <c r="F968" s="2" t="s">
        <v>4</v>
      </c>
      <c r="G968" s="3">
        <f>IF(ISBLANK('Raw sheet'!F968),AVERAGE('Raw sheet'!$F$2:'Raw sheet'!$F$1500),'Raw sheet'!F968)</f>
        <v>3.55</v>
      </c>
      <c r="H968" s="18">
        <v>84.4</v>
      </c>
      <c r="I968" s="9" t="str">
        <f t="shared" si="30"/>
        <v>Good</v>
      </c>
      <c r="J968" s="2">
        <v>2</v>
      </c>
      <c r="K968" s="2">
        <v>46.4</v>
      </c>
      <c r="L968" s="2" t="s">
        <v>3</v>
      </c>
      <c r="M968" s="2" t="s">
        <v>4</v>
      </c>
      <c r="N968" s="5">
        <f>IF(ISBLANK('Raw sheet'!L968),AVERAGE('Raw sheet'!$L$2:'Raw sheet'!$L$1500),'Raw sheet'!L968)</f>
        <v>7.8</v>
      </c>
      <c r="O968" s="5" t="str">
        <f>IF(Table1[[#This Row],[Stress_Index]]&gt;=8,"High",IF(N968&gt;=5,"Medium","Low"))</f>
        <v>Medium</v>
      </c>
      <c r="P968" s="3">
        <v>1.58</v>
      </c>
      <c r="Q968" s="2">
        <v>1.68</v>
      </c>
      <c r="R968" s="3">
        <v>1.66</v>
      </c>
      <c r="S968" s="3" t="str">
        <f>IF(Table1[[#This Row],[CGPA]]&gt;=3,"High",IF(R967&gt;=2,"Medium","Low"))</f>
        <v>Low</v>
      </c>
      <c r="T968" s="2" t="s">
        <v>10</v>
      </c>
      <c r="U968" s="2" t="s">
        <v>14</v>
      </c>
      <c r="V968" s="2" t="s">
        <v>15</v>
      </c>
      <c r="W968" s="7">
        <v>0</v>
      </c>
      <c r="X968" t="str">
        <f t="shared" si="31"/>
        <v>Active</v>
      </c>
    </row>
    <row r="969" spans="1:24" x14ac:dyDescent="0.3">
      <c r="A969" s="2">
        <v>968</v>
      </c>
      <c r="B969" s="7">
        <v>25</v>
      </c>
      <c r="C969" s="2" t="s">
        <v>11</v>
      </c>
      <c r="D969" s="7">
        <f>IF(ISBLANK('Raw sheet'!D969),AVERAGE('Raw sheet'!$D$2:'Raw sheet'!$D$1500),'Raw sheet'!D969)</f>
        <v>25000</v>
      </c>
      <c r="E969" s="7" t="str">
        <f>IF(Table1[[#This Row],[Family_Income]]&gt;=100000,"Upper",IF(D969&gt;=50000,"Middle","Lower"))</f>
        <v>Lower</v>
      </c>
      <c r="F969" s="2" t="s">
        <v>4</v>
      </c>
      <c r="G969" s="3">
        <f>IF(ISBLANK('Raw sheet'!F969),AVERAGE('Raw sheet'!$F$2:'Raw sheet'!$F$1500),'Raw sheet'!F969)</f>
        <v>5.03</v>
      </c>
      <c r="H969" s="18">
        <v>79.3</v>
      </c>
      <c r="I969" s="9" t="str">
        <f t="shared" si="30"/>
        <v>Good</v>
      </c>
      <c r="J969" s="2">
        <v>1</v>
      </c>
      <c r="K969" s="2">
        <v>33.4</v>
      </c>
      <c r="L969" s="2" t="s">
        <v>3</v>
      </c>
      <c r="M969" s="2" t="s">
        <v>3</v>
      </c>
      <c r="N969" s="5">
        <f>IF(ISBLANK('Raw sheet'!L969),AVERAGE('Raw sheet'!$L$2:'Raw sheet'!$L$1500),'Raw sheet'!L969)</f>
        <v>2.1</v>
      </c>
      <c r="O969" s="5" t="str">
        <f>IF(Table1[[#This Row],[Stress_Index]]&gt;=8,"High",IF(N969&gt;=5,"Medium","Low"))</f>
        <v>Low</v>
      </c>
      <c r="P969" s="3">
        <v>4</v>
      </c>
      <c r="Q969" s="2">
        <v>4</v>
      </c>
      <c r="R969" s="3">
        <v>4</v>
      </c>
      <c r="S969" s="3" t="str">
        <f>IF(Table1[[#This Row],[CGPA]]&gt;=3,"High",IF(R968&gt;=2,"Medium","Low"))</f>
        <v>High</v>
      </c>
      <c r="T969" s="2" t="s">
        <v>10</v>
      </c>
      <c r="U969" s="2" t="s">
        <v>13</v>
      </c>
      <c r="V969" s="2" t="s">
        <v>9</v>
      </c>
      <c r="W969" s="7">
        <v>0</v>
      </c>
      <c r="X969" t="str">
        <f t="shared" si="31"/>
        <v>Active</v>
      </c>
    </row>
    <row r="970" spans="1:24" x14ac:dyDescent="0.3">
      <c r="A970" s="2">
        <v>969</v>
      </c>
      <c r="B970" s="7">
        <v>20.9</v>
      </c>
      <c r="C970" s="2" t="s">
        <v>11</v>
      </c>
      <c r="D970" s="7">
        <f>IF(ISBLANK('Raw sheet'!D970),AVERAGE('Raw sheet'!$D$2:'Raw sheet'!$D$1500),'Raw sheet'!D970)</f>
        <v>25192</v>
      </c>
      <c r="E970" s="7" t="str">
        <f>IF(Table1[[#This Row],[Family_Income]]&gt;=100000,"Upper",IF(D970&gt;=50000,"Middle","Lower"))</f>
        <v>Lower</v>
      </c>
      <c r="F970" s="2" t="s">
        <v>4</v>
      </c>
      <c r="G970" s="3">
        <f>IF(ISBLANK('Raw sheet'!F970),AVERAGE('Raw sheet'!$F$2:'Raw sheet'!$F$1500),'Raw sheet'!F970)</f>
        <v>0.83</v>
      </c>
      <c r="H970" s="18">
        <v>85.8</v>
      </c>
      <c r="I970" s="9" t="str">
        <f t="shared" si="30"/>
        <v>Good</v>
      </c>
      <c r="J970" s="2">
        <v>1</v>
      </c>
      <c r="K970" s="2">
        <v>23.6</v>
      </c>
      <c r="L970" s="2" t="s">
        <v>3</v>
      </c>
      <c r="M970" s="2" t="s">
        <v>3</v>
      </c>
      <c r="N970" s="5">
        <f>IF(ISBLANK('Raw sheet'!L970),AVERAGE('Raw sheet'!$L$2:'Raw sheet'!$L$1500),'Raw sheet'!L970)</f>
        <v>7.5</v>
      </c>
      <c r="O970" s="5" t="str">
        <f>IF(Table1[[#This Row],[Stress_Index]]&gt;=8,"High",IF(N970&gt;=5,"Medium","Low"))</f>
        <v>Medium</v>
      </c>
      <c r="P970" s="3">
        <v>0.89</v>
      </c>
      <c r="Q970" s="2">
        <v>0.75</v>
      </c>
      <c r="R970" s="3">
        <v>0.77</v>
      </c>
      <c r="S970" s="3" t="str">
        <f>IF(Table1[[#This Row],[CGPA]]&gt;=3,"High",IF(R969&gt;=2,"Medium","Low"))</f>
        <v>Medium</v>
      </c>
      <c r="T970" s="2" t="s">
        <v>7</v>
      </c>
      <c r="U970" s="2" t="s">
        <v>14</v>
      </c>
      <c r="V970" s="2" t="s">
        <v>17</v>
      </c>
      <c r="W970" s="7">
        <v>0</v>
      </c>
      <c r="X970" t="str">
        <f t="shared" si="31"/>
        <v>Active</v>
      </c>
    </row>
    <row r="971" spans="1:24" x14ac:dyDescent="0.3">
      <c r="A971" s="2">
        <v>970</v>
      </c>
      <c r="B971" s="7">
        <v>17.899999999999999</v>
      </c>
      <c r="C971" s="2" t="s">
        <v>5</v>
      </c>
      <c r="D971" s="7">
        <f>IF(ISBLANK('Raw sheet'!D971),AVERAGE('Raw sheet'!$D$2:'Raw sheet'!$D$1500),'Raw sheet'!D971)</f>
        <v>69350</v>
      </c>
      <c r="E971" s="7" t="str">
        <f>IF(Table1[[#This Row],[Family_Income]]&gt;=100000,"Upper",IF(D971&gt;=50000,"Middle","Lower"))</f>
        <v>Middle</v>
      </c>
      <c r="F971" s="2" t="s">
        <v>4</v>
      </c>
      <c r="G971" s="3">
        <f>IF(ISBLANK('Raw sheet'!F971),AVERAGE('Raw sheet'!$F$2:'Raw sheet'!$F$1500),'Raw sheet'!F971)</f>
        <v>6.08</v>
      </c>
      <c r="H971" s="18">
        <v>94.6</v>
      </c>
      <c r="I971" s="9" t="str">
        <f t="shared" si="30"/>
        <v>Good</v>
      </c>
      <c r="J971" s="2">
        <v>2</v>
      </c>
      <c r="K971" s="2">
        <v>11.8</v>
      </c>
      <c r="L971" s="2" t="s">
        <v>4</v>
      </c>
      <c r="M971" s="2" t="s">
        <v>4</v>
      </c>
      <c r="N971" s="5">
        <f>IF(ISBLANK('Raw sheet'!L971),AVERAGE('Raw sheet'!$L$2:'Raw sheet'!$L$1500),'Raw sheet'!L971)</f>
        <v>5.8</v>
      </c>
      <c r="O971" s="5" t="str">
        <f>IF(Table1[[#This Row],[Stress_Index]]&gt;=8,"High",IF(N971&gt;=5,"Medium","Low"))</f>
        <v>Medium</v>
      </c>
      <c r="P971" s="3">
        <v>3.3</v>
      </c>
      <c r="Q971" s="2">
        <v>3.35</v>
      </c>
      <c r="R971" s="3">
        <v>3.3</v>
      </c>
      <c r="S971" s="3" t="str">
        <f>IF(Table1[[#This Row],[CGPA]]&gt;=3,"High",IF(R970&gt;=2,"Medium","Low"))</f>
        <v>High</v>
      </c>
      <c r="T971" s="2" t="s">
        <v>7</v>
      </c>
      <c r="U971" s="2" t="s">
        <v>8</v>
      </c>
      <c r="V971" s="2" t="s">
        <v>16</v>
      </c>
      <c r="W971" s="7">
        <v>0</v>
      </c>
      <c r="X971" t="str">
        <f t="shared" si="31"/>
        <v>Active</v>
      </c>
    </row>
    <row r="972" spans="1:24" x14ac:dyDescent="0.3">
      <c r="A972" s="2">
        <v>971</v>
      </c>
      <c r="B972" s="7">
        <v>21.3</v>
      </c>
      <c r="C972" s="2" t="s">
        <v>11</v>
      </c>
      <c r="D972" s="7">
        <f>IF(ISBLANK('Raw sheet'!D972),AVERAGE('Raw sheet'!$D$2:'Raw sheet'!$D$1500),'Raw sheet'!D972)</f>
        <v>38587.00282087447</v>
      </c>
      <c r="E972" s="7" t="str">
        <f>IF(Table1[[#This Row],[Family_Income]]&gt;=100000,"Upper",IF(D972&gt;=50000,"Middle","Lower"))</f>
        <v>Lower</v>
      </c>
      <c r="F972" s="2" t="s">
        <v>4</v>
      </c>
      <c r="G972" s="3">
        <f>IF(ISBLANK('Raw sheet'!F972),AVERAGE('Raw sheet'!$F$2:'Raw sheet'!$F$1500),'Raw sheet'!F972)</f>
        <v>4.0178702397743278</v>
      </c>
      <c r="H972" s="18">
        <v>77.900000000000006</v>
      </c>
      <c r="I972" s="9" t="str">
        <f t="shared" si="30"/>
        <v>Good</v>
      </c>
      <c r="J972" s="2">
        <v>0</v>
      </c>
      <c r="K972" s="2">
        <v>34.5</v>
      </c>
      <c r="L972" s="2" t="s">
        <v>3</v>
      </c>
      <c r="M972" s="2" t="s">
        <v>3</v>
      </c>
      <c r="N972" s="5">
        <f>IF(ISBLANK('Raw sheet'!L972),AVERAGE('Raw sheet'!$L$2:'Raw sheet'!$L$1500),'Raw sheet'!L972)</f>
        <v>5.5242595204513369</v>
      </c>
      <c r="O972" s="5" t="str">
        <f>IF(Table1[[#This Row],[Stress_Index]]&gt;=8,"High",IF(N972&gt;=5,"Medium","Low"))</f>
        <v>Medium</v>
      </c>
      <c r="P972" s="3">
        <v>2.57</v>
      </c>
      <c r="Q972" s="2">
        <v>2.35</v>
      </c>
      <c r="R972" s="3">
        <v>2.37</v>
      </c>
      <c r="S972" s="3" t="str">
        <f>IF(Table1[[#This Row],[CGPA]]&gt;=3,"High",IF(R971&gt;=2,"Medium","Low"))</f>
        <v>Medium</v>
      </c>
      <c r="T972" s="2" t="s">
        <v>12</v>
      </c>
      <c r="U972" s="2" t="s">
        <v>8</v>
      </c>
      <c r="V972" s="2" t="s">
        <v>9</v>
      </c>
      <c r="W972" s="7">
        <v>0</v>
      </c>
      <c r="X972" t="str">
        <f t="shared" si="31"/>
        <v>Active</v>
      </c>
    </row>
    <row r="973" spans="1:24" x14ac:dyDescent="0.3">
      <c r="A973" s="2">
        <v>972</v>
      </c>
      <c r="B973" s="7">
        <v>19.5</v>
      </c>
      <c r="C973" s="2" t="s">
        <v>11</v>
      </c>
      <c r="D973" s="7">
        <f>IF(ISBLANK('Raw sheet'!D973),AVERAGE('Raw sheet'!$D$2:'Raw sheet'!$D$1500),'Raw sheet'!D973)</f>
        <v>38587.00282087447</v>
      </c>
      <c r="E973" s="7" t="str">
        <f>IF(Table1[[#This Row],[Family_Income]]&gt;=100000,"Upper",IF(D973&gt;=50000,"Middle","Lower"))</f>
        <v>Lower</v>
      </c>
      <c r="F973" s="2" t="s">
        <v>4</v>
      </c>
      <c r="G973" s="3">
        <f>IF(ISBLANK('Raw sheet'!F973),AVERAGE('Raw sheet'!$F$2:'Raw sheet'!$F$1500),'Raw sheet'!F973)</f>
        <v>4.0178702397743278</v>
      </c>
      <c r="H973" s="18">
        <v>70.099999999999994</v>
      </c>
      <c r="I973" s="9" t="str">
        <f t="shared" si="30"/>
        <v>Low</v>
      </c>
      <c r="J973" s="2">
        <v>0</v>
      </c>
      <c r="K973" s="2">
        <v>32.5</v>
      </c>
      <c r="L973" s="2" t="s">
        <v>3</v>
      </c>
      <c r="M973" s="2" t="s">
        <v>3</v>
      </c>
      <c r="N973" s="5">
        <f>IF(ISBLANK('Raw sheet'!L973),AVERAGE('Raw sheet'!$L$2:'Raw sheet'!$L$1500),'Raw sheet'!L973)</f>
        <v>5.5242595204513369</v>
      </c>
      <c r="O973" s="5" t="str">
        <f>IF(Table1[[#This Row],[Stress_Index]]&gt;=8,"High",IF(N973&gt;=5,"Medium","Low"))</f>
        <v>Medium</v>
      </c>
      <c r="P973" s="3">
        <v>2.15</v>
      </c>
      <c r="Q973" s="2">
        <v>1.54</v>
      </c>
      <c r="R973" s="3">
        <v>1.5</v>
      </c>
      <c r="S973" s="3" t="str">
        <f>IF(Table1[[#This Row],[CGPA]]&gt;=3,"High",IF(R972&gt;=2,"Medium","Low"))</f>
        <v>Medium</v>
      </c>
      <c r="T973" s="2" t="s">
        <v>10</v>
      </c>
      <c r="U973" s="2" t="s">
        <v>13</v>
      </c>
      <c r="V973" s="2" t="s">
        <v>0</v>
      </c>
      <c r="W973" s="7">
        <v>1</v>
      </c>
      <c r="X973" t="str">
        <f t="shared" si="31"/>
        <v>Dropped Out</v>
      </c>
    </row>
    <row r="974" spans="1:24" x14ac:dyDescent="0.3">
      <c r="A974" s="2">
        <v>973</v>
      </c>
      <c r="B974" s="7">
        <v>22.8</v>
      </c>
      <c r="C974" s="2" t="s">
        <v>11</v>
      </c>
      <c r="D974" s="7">
        <f>IF(ISBLANK('Raw sheet'!D974),AVERAGE('Raw sheet'!$D$2:'Raw sheet'!$D$1500),'Raw sheet'!D974)</f>
        <v>63286</v>
      </c>
      <c r="E974" s="7" t="str">
        <f>IF(Table1[[#This Row],[Family_Income]]&gt;=100000,"Upper",IF(D974&gt;=50000,"Middle","Lower"))</f>
        <v>Middle</v>
      </c>
      <c r="F974" s="2" t="s">
        <v>4</v>
      </c>
      <c r="G974" s="3">
        <f>IF(ISBLANK('Raw sheet'!F974),AVERAGE('Raw sheet'!$F$2:'Raw sheet'!$F$1500),'Raw sheet'!F974)</f>
        <v>3.57</v>
      </c>
      <c r="H974" s="18">
        <v>88.9</v>
      </c>
      <c r="I974" s="9" t="str">
        <f t="shared" si="30"/>
        <v>Good</v>
      </c>
      <c r="J974" s="2">
        <v>1</v>
      </c>
      <c r="K974" s="2">
        <v>40.299999999999997</v>
      </c>
      <c r="L974" s="2" t="s">
        <v>4</v>
      </c>
      <c r="M974" s="2" t="s">
        <v>4</v>
      </c>
      <c r="N974" s="5">
        <f>IF(ISBLANK('Raw sheet'!L974),AVERAGE('Raw sheet'!$L$2:'Raw sheet'!$L$1500),'Raw sheet'!L974)</f>
        <v>6.2</v>
      </c>
      <c r="O974" s="5" t="str">
        <f>IF(Table1[[#This Row],[Stress_Index]]&gt;=8,"High",IF(N974&gt;=5,"Medium","Low"))</f>
        <v>Medium</v>
      </c>
      <c r="P974" s="3">
        <v>0</v>
      </c>
      <c r="Q974" s="2">
        <v>0</v>
      </c>
      <c r="R974" s="3">
        <v>0</v>
      </c>
      <c r="S974" s="3" t="str">
        <f>IF(Table1[[#This Row],[CGPA]]&gt;=3,"High",IF(R973&gt;=2,"Medium","Low"))</f>
        <v>Low</v>
      </c>
      <c r="T974" s="2" t="s">
        <v>10</v>
      </c>
      <c r="U974" s="2" t="s">
        <v>6</v>
      </c>
      <c r="V974" s="2" t="s">
        <v>15</v>
      </c>
      <c r="W974" s="7">
        <v>1</v>
      </c>
      <c r="X974" t="str">
        <f t="shared" si="31"/>
        <v>Dropped Out</v>
      </c>
    </row>
    <row r="975" spans="1:24" x14ac:dyDescent="0.3">
      <c r="A975" s="2">
        <v>974</v>
      </c>
      <c r="B975" s="7">
        <v>19.600000000000001</v>
      </c>
      <c r="C975" s="2" t="s">
        <v>5</v>
      </c>
      <c r="D975" s="7">
        <f>IF(ISBLANK('Raw sheet'!D975),AVERAGE('Raw sheet'!$D$2:'Raw sheet'!$D$1500),'Raw sheet'!D975)</f>
        <v>25000</v>
      </c>
      <c r="E975" s="7" t="str">
        <f>IF(Table1[[#This Row],[Family_Income]]&gt;=100000,"Upper",IF(D975&gt;=50000,"Middle","Lower"))</f>
        <v>Lower</v>
      </c>
      <c r="F975" s="2" t="s">
        <v>4</v>
      </c>
      <c r="G975" s="3">
        <f>IF(ISBLANK('Raw sheet'!F975),AVERAGE('Raw sheet'!$F$2:'Raw sheet'!$F$1500),'Raw sheet'!F975)</f>
        <v>6.7</v>
      </c>
      <c r="H975" s="18">
        <v>92.8</v>
      </c>
      <c r="I975" s="9" t="str">
        <f t="shared" si="30"/>
        <v>Good</v>
      </c>
      <c r="J975" s="2">
        <v>2</v>
      </c>
      <c r="K975" s="2">
        <v>12.4</v>
      </c>
      <c r="L975" s="2" t="s">
        <v>3</v>
      </c>
      <c r="M975" s="2" t="s">
        <v>3</v>
      </c>
      <c r="N975" s="5">
        <f>IF(ISBLANK('Raw sheet'!L975),AVERAGE('Raw sheet'!$L$2:'Raw sheet'!$L$1500),'Raw sheet'!L975)</f>
        <v>5</v>
      </c>
      <c r="O975" s="5" t="str">
        <f>IF(Table1[[#This Row],[Stress_Index]]&gt;=8,"High",IF(N975&gt;=5,"Medium","Low"))</f>
        <v>Medium</v>
      </c>
      <c r="P975" s="3">
        <v>3.83</v>
      </c>
      <c r="Q975" s="2">
        <v>3.74</v>
      </c>
      <c r="R975" s="3">
        <v>3.69</v>
      </c>
      <c r="S975" s="3" t="str">
        <f>IF(Table1[[#This Row],[CGPA]]&gt;=3,"High",IF(R974&gt;=2,"Medium","Low"))</f>
        <v>High</v>
      </c>
      <c r="T975" s="2" t="s">
        <v>7</v>
      </c>
      <c r="U975" s="2" t="s">
        <v>1</v>
      </c>
      <c r="V975" s="2" t="s">
        <v>9</v>
      </c>
      <c r="W975" s="7">
        <v>0</v>
      </c>
      <c r="X975" t="str">
        <f t="shared" si="31"/>
        <v>Active</v>
      </c>
    </row>
    <row r="976" spans="1:24" x14ac:dyDescent="0.3">
      <c r="A976" s="2">
        <v>975</v>
      </c>
      <c r="B976" s="7">
        <v>20</v>
      </c>
      <c r="C976" s="2" t="s">
        <v>11</v>
      </c>
      <c r="D976" s="7">
        <f>IF(ISBLANK('Raw sheet'!D976),AVERAGE('Raw sheet'!$D$2:'Raw sheet'!$D$1500),'Raw sheet'!D976)</f>
        <v>53851</v>
      </c>
      <c r="E976" s="7" t="str">
        <f>IF(Table1[[#This Row],[Family_Income]]&gt;=100000,"Upper",IF(D976&gt;=50000,"Middle","Lower"))</f>
        <v>Middle</v>
      </c>
      <c r="F976" s="2" t="s">
        <v>3</v>
      </c>
      <c r="G976" s="3">
        <f>IF(ISBLANK('Raw sheet'!F976),AVERAGE('Raw sheet'!$F$2:'Raw sheet'!$F$1500),'Raw sheet'!F976)</f>
        <v>2.66</v>
      </c>
      <c r="H976" s="18">
        <v>89.9</v>
      </c>
      <c r="I976" s="9" t="str">
        <f t="shared" si="30"/>
        <v>Good</v>
      </c>
      <c r="J976" s="2">
        <v>2</v>
      </c>
      <c r="K976" s="2">
        <v>31.7</v>
      </c>
      <c r="L976" s="2" t="s">
        <v>4</v>
      </c>
      <c r="M976" s="2" t="s">
        <v>4</v>
      </c>
      <c r="N976" s="5">
        <f>IF(ISBLANK('Raw sheet'!L976),AVERAGE('Raw sheet'!$L$2:'Raw sheet'!$L$1500),'Raw sheet'!L976)</f>
        <v>7.3</v>
      </c>
      <c r="O976" s="5" t="str">
        <f>IF(Table1[[#This Row],[Stress_Index]]&gt;=8,"High",IF(N976&gt;=5,"Medium","Low"))</f>
        <v>Medium</v>
      </c>
      <c r="P976" s="3">
        <v>4</v>
      </c>
      <c r="Q976" s="2">
        <v>3.99</v>
      </c>
      <c r="R976" s="3">
        <v>4</v>
      </c>
      <c r="S976" s="3" t="str">
        <f>IF(Table1[[#This Row],[CGPA]]&gt;=3,"High",IF(R975&gt;=2,"Medium","Low"))</f>
        <v>High</v>
      </c>
      <c r="T976" s="2" t="s">
        <v>10</v>
      </c>
      <c r="U976" s="2" t="s">
        <v>14</v>
      </c>
      <c r="V976" s="2" t="s">
        <v>9</v>
      </c>
      <c r="W976" s="7">
        <v>0</v>
      </c>
      <c r="X976" t="str">
        <f t="shared" si="31"/>
        <v>Active</v>
      </c>
    </row>
    <row r="977" spans="1:24" x14ac:dyDescent="0.3">
      <c r="A977" s="2">
        <v>976</v>
      </c>
      <c r="B977" s="7">
        <v>17</v>
      </c>
      <c r="C977" s="2" t="s">
        <v>11</v>
      </c>
      <c r="D977" s="7">
        <f>IF(ISBLANK('Raw sheet'!D977),AVERAGE('Raw sheet'!$D$2:'Raw sheet'!$D$1500),'Raw sheet'!D977)</f>
        <v>74249</v>
      </c>
      <c r="E977" s="7" t="str">
        <f>IF(Table1[[#This Row],[Family_Income]]&gt;=100000,"Upper",IF(D977&gt;=50000,"Middle","Lower"))</f>
        <v>Middle</v>
      </c>
      <c r="F977" s="2" t="s">
        <v>4</v>
      </c>
      <c r="G977" s="3">
        <f>IF(ISBLANK('Raw sheet'!F977),AVERAGE('Raw sheet'!$F$2:'Raw sheet'!$F$1500),'Raw sheet'!F977)</f>
        <v>3.66</v>
      </c>
      <c r="H977" s="18">
        <v>73.099999999999994</v>
      </c>
      <c r="I977" s="9" t="str">
        <f t="shared" si="30"/>
        <v>Low</v>
      </c>
      <c r="J977" s="2">
        <v>1</v>
      </c>
      <c r="K977" s="2">
        <v>35.1</v>
      </c>
      <c r="L977" s="2" t="s">
        <v>4</v>
      </c>
      <c r="M977" s="2" t="s">
        <v>3</v>
      </c>
      <c r="N977" s="5">
        <f>IF(ISBLANK('Raw sheet'!L977),AVERAGE('Raw sheet'!$L$2:'Raw sheet'!$L$1500),'Raw sheet'!L977)</f>
        <v>4.3</v>
      </c>
      <c r="O977" s="5" t="str">
        <f>IF(Table1[[#This Row],[Stress_Index]]&gt;=8,"High",IF(N977&gt;=5,"Medium","Low"))</f>
        <v>Low</v>
      </c>
      <c r="P977" s="3">
        <v>2.71</v>
      </c>
      <c r="Q977" s="2">
        <v>2.71</v>
      </c>
      <c r="R977" s="3">
        <v>2.71</v>
      </c>
      <c r="S977" s="3" t="str">
        <f>IF(Table1[[#This Row],[CGPA]]&gt;=3,"High",IF(R976&gt;=2,"Medium","Low"))</f>
        <v>Medium</v>
      </c>
      <c r="T977" s="2" t="s">
        <v>2</v>
      </c>
      <c r="U977" s="2" t="s">
        <v>8</v>
      </c>
      <c r="V977" s="2" t="s">
        <v>9</v>
      </c>
      <c r="W977" s="7">
        <v>0</v>
      </c>
      <c r="X977" t="str">
        <f t="shared" si="31"/>
        <v>Active</v>
      </c>
    </row>
    <row r="978" spans="1:24" x14ac:dyDescent="0.3">
      <c r="A978" s="2">
        <v>977</v>
      </c>
      <c r="B978" s="7">
        <v>20</v>
      </c>
      <c r="C978" s="2" t="s">
        <v>11</v>
      </c>
      <c r="D978" s="7">
        <f>IF(ISBLANK('Raw sheet'!D978),AVERAGE('Raw sheet'!$D$2:'Raw sheet'!$D$1500),'Raw sheet'!D978)</f>
        <v>74584</v>
      </c>
      <c r="E978" s="7" t="str">
        <f>IF(Table1[[#This Row],[Family_Income]]&gt;=100000,"Upper",IF(D978&gt;=50000,"Middle","Lower"))</f>
        <v>Middle</v>
      </c>
      <c r="F978" s="2" t="s">
        <v>3</v>
      </c>
      <c r="G978" s="3">
        <f>IF(ISBLANK('Raw sheet'!F978),AVERAGE('Raw sheet'!$F$2:'Raw sheet'!$F$1500),'Raw sheet'!F978)</f>
        <v>6.28</v>
      </c>
      <c r="H978" s="18">
        <v>73.099999999999994</v>
      </c>
      <c r="I978" s="9" t="str">
        <f t="shared" si="30"/>
        <v>Low</v>
      </c>
      <c r="J978" s="2">
        <v>4</v>
      </c>
      <c r="K978" s="2">
        <v>19.2</v>
      </c>
      <c r="L978" s="2" t="s">
        <v>4</v>
      </c>
      <c r="M978" s="2" t="s">
        <v>3</v>
      </c>
      <c r="N978" s="5">
        <f>IF(ISBLANK('Raw sheet'!L978),AVERAGE('Raw sheet'!$L$2:'Raw sheet'!$L$1500),'Raw sheet'!L978)</f>
        <v>7.3</v>
      </c>
      <c r="O978" s="5" t="str">
        <f>IF(Table1[[#This Row],[Stress_Index]]&gt;=8,"High",IF(N978&gt;=5,"Medium","Low"))</f>
        <v>Medium</v>
      </c>
      <c r="P978" s="3">
        <v>1.1200000000000001</v>
      </c>
      <c r="Q978" s="2">
        <v>1.27</v>
      </c>
      <c r="R978" s="3">
        <v>1.31</v>
      </c>
      <c r="S978" s="3" t="str">
        <f>IF(Table1[[#This Row],[CGPA]]&gt;=3,"High",IF(R977&gt;=2,"Medium","Low"))</f>
        <v>Medium</v>
      </c>
      <c r="T978" s="2" t="s">
        <v>10</v>
      </c>
      <c r="U978" s="2" t="s">
        <v>14</v>
      </c>
      <c r="V978" s="2" t="s">
        <v>15</v>
      </c>
      <c r="W978" s="7">
        <v>1</v>
      </c>
      <c r="X978" t="str">
        <f t="shared" si="31"/>
        <v>Dropped Out</v>
      </c>
    </row>
    <row r="979" spans="1:24" x14ac:dyDescent="0.3">
      <c r="A979" s="2">
        <v>978</v>
      </c>
      <c r="B979" s="7">
        <v>17</v>
      </c>
      <c r="C979" s="2" t="s">
        <v>11</v>
      </c>
      <c r="D979" s="7">
        <f>IF(ISBLANK('Raw sheet'!D979),AVERAGE('Raw sheet'!$D$2:'Raw sheet'!$D$1500),'Raw sheet'!D979)</f>
        <v>53791</v>
      </c>
      <c r="E979" s="7" t="str">
        <f>IF(Table1[[#This Row],[Family_Income]]&gt;=100000,"Upper",IF(D979&gt;=50000,"Middle","Lower"))</f>
        <v>Middle</v>
      </c>
      <c r="F979" s="2" t="s">
        <v>4</v>
      </c>
      <c r="G979" s="3">
        <f>IF(ISBLANK('Raw sheet'!F979),AVERAGE('Raw sheet'!$F$2:'Raw sheet'!$F$1500),'Raw sheet'!F979)</f>
        <v>2.6</v>
      </c>
      <c r="H979" s="18">
        <v>88.1</v>
      </c>
      <c r="I979" s="9" t="str">
        <f t="shared" si="30"/>
        <v>Good</v>
      </c>
      <c r="J979" s="2">
        <v>0</v>
      </c>
      <c r="K979" s="2">
        <v>31.4</v>
      </c>
      <c r="L979" s="2" t="s">
        <v>4</v>
      </c>
      <c r="M979" s="2" t="s">
        <v>3</v>
      </c>
      <c r="N979" s="5">
        <f>IF(ISBLANK('Raw sheet'!L979),AVERAGE('Raw sheet'!$L$2:'Raw sheet'!$L$1500),'Raw sheet'!L979)</f>
        <v>5.8</v>
      </c>
      <c r="O979" s="5" t="str">
        <f>IF(Table1[[#This Row],[Stress_Index]]&gt;=8,"High",IF(N979&gt;=5,"Medium","Low"))</f>
        <v>Medium</v>
      </c>
      <c r="P979" s="3">
        <v>2.68</v>
      </c>
      <c r="Q979" s="2">
        <v>2.73</v>
      </c>
      <c r="R979" s="3">
        <v>2.73</v>
      </c>
      <c r="S979" s="3" t="str">
        <f>IF(Table1[[#This Row],[CGPA]]&gt;=3,"High",IF(R978&gt;=2,"Medium","Low"))</f>
        <v>Low</v>
      </c>
      <c r="T979" s="2" t="s">
        <v>2</v>
      </c>
      <c r="U979" s="2" t="s">
        <v>6</v>
      </c>
      <c r="V979" s="2" t="s">
        <v>15</v>
      </c>
      <c r="W979" s="7">
        <v>1</v>
      </c>
      <c r="X979" t="str">
        <f t="shared" si="31"/>
        <v>Dropped Out</v>
      </c>
    </row>
    <row r="980" spans="1:24" x14ac:dyDescent="0.3">
      <c r="A980" s="2">
        <v>979</v>
      </c>
      <c r="B980" s="7">
        <v>17.5</v>
      </c>
      <c r="C980" s="2" t="s">
        <v>11</v>
      </c>
      <c r="D980" s="7">
        <f>IF(ISBLANK('Raw sheet'!D980),AVERAGE('Raw sheet'!$D$2:'Raw sheet'!$D$1500),'Raw sheet'!D980)</f>
        <v>53131</v>
      </c>
      <c r="E980" s="7" t="str">
        <f>IF(Table1[[#This Row],[Family_Income]]&gt;=100000,"Upper",IF(D980&gt;=50000,"Middle","Lower"))</f>
        <v>Middle</v>
      </c>
      <c r="F980" s="2" t="s">
        <v>4</v>
      </c>
      <c r="G980" s="3">
        <f>IF(ISBLANK('Raw sheet'!F980),AVERAGE('Raw sheet'!$F$2:'Raw sheet'!$F$1500),'Raw sheet'!F980)</f>
        <v>4.21</v>
      </c>
      <c r="H980" s="18">
        <v>78.900000000000006</v>
      </c>
      <c r="I980" s="9" t="str">
        <f t="shared" si="30"/>
        <v>Good</v>
      </c>
      <c r="J980" s="2">
        <v>2</v>
      </c>
      <c r="K980" s="2">
        <v>21.3</v>
      </c>
      <c r="L980" s="2" t="s">
        <v>3</v>
      </c>
      <c r="M980" s="2" t="s">
        <v>4</v>
      </c>
      <c r="N980" s="5">
        <f>IF(ISBLANK('Raw sheet'!L980),AVERAGE('Raw sheet'!$L$2:'Raw sheet'!$L$1500),'Raw sheet'!L980)</f>
        <v>6.9</v>
      </c>
      <c r="O980" s="5" t="str">
        <f>IF(Table1[[#This Row],[Stress_Index]]&gt;=8,"High",IF(N980&gt;=5,"Medium","Low"))</f>
        <v>Medium</v>
      </c>
      <c r="P980" s="3">
        <v>1.24</v>
      </c>
      <c r="Q980" s="2">
        <v>0.76</v>
      </c>
      <c r="R980" s="3">
        <v>0.7</v>
      </c>
      <c r="S980" s="3" t="str">
        <f>IF(Table1[[#This Row],[CGPA]]&gt;=3,"High",IF(R979&gt;=2,"Medium","Low"))</f>
        <v>Medium</v>
      </c>
      <c r="T980" s="2" t="s">
        <v>7</v>
      </c>
      <c r="U980" s="2" t="s">
        <v>14</v>
      </c>
      <c r="V980" s="2" t="s">
        <v>9</v>
      </c>
      <c r="W980" s="7">
        <v>0</v>
      </c>
      <c r="X980" t="str">
        <f t="shared" si="31"/>
        <v>Active</v>
      </c>
    </row>
    <row r="981" spans="1:24" x14ac:dyDescent="0.3">
      <c r="A981" s="2">
        <v>980</v>
      </c>
      <c r="B981" s="7">
        <v>22.7</v>
      </c>
      <c r="C981" s="2" t="s">
        <v>11</v>
      </c>
      <c r="D981" s="7">
        <f>IF(ISBLANK('Raw sheet'!D981),AVERAGE('Raw sheet'!$D$2:'Raw sheet'!$D$1500),'Raw sheet'!D981)</f>
        <v>25000</v>
      </c>
      <c r="E981" s="7" t="str">
        <f>IF(Table1[[#This Row],[Family_Income]]&gt;=100000,"Upper",IF(D981&gt;=50000,"Middle","Lower"))</f>
        <v>Lower</v>
      </c>
      <c r="F981" s="2" t="s">
        <v>4</v>
      </c>
      <c r="G981" s="3">
        <f>IF(ISBLANK('Raw sheet'!F981),AVERAGE('Raw sheet'!$F$2:'Raw sheet'!$F$1500),'Raw sheet'!F981)</f>
        <v>3.69</v>
      </c>
      <c r="H981" s="18">
        <v>74.099999999999994</v>
      </c>
      <c r="I981" s="9" t="str">
        <f t="shared" si="30"/>
        <v>Low</v>
      </c>
      <c r="J981" s="2">
        <v>5</v>
      </c>
      <c r="K981" s="2">
        <v>20.100000000000001</v>
      </c>
      <c r="L981" s="2" t="s">
        <v>3</v>
      </c>
      <c r="M981" s="2" t="s">
        <v>4</v>
      </c>
      <c r="N981" s="5">
        <f>IF(ISBLANK('Raw sheet'!L981),AVERAGE('Raw sheet'!$L$2:'Raw sheet'!$L$1500),'Raw sheet'!L981)</f>
        <v>3.7</v>
      </c>
      <c r="O981" s="5" t="str">
        <f>IF(Table1[[#This Row],[Stress_Index]]&gt;=8,"High",IF(N981&gt;=5,"Medium","Low"))</f>
        <v>Low</v>
      </c>
      <c r="P981" s="3">
        <v>4</v>
      </c>
      <c r="Q981" s="2">
        <v>3.78</v>
      </c>
      <c r="R981" s="3">
        <v>3.79</v>
      </c>
      <c r="S981" s="3" t="str">
        <f>IF(Table1[[#This Row],[CGPA]]&gt;=3,"High",IF(R980&gt;=2,"Medium","Low"))</f>
        <v>High</v>
      </c>
      <c r="T981" s="2" t="s">
        <v>7</v>
      </c>
      <c r="U981" s="2" t="s">
        <v>14</v>
      </c>
      <c r="V981" s="2" t="s">
        <v>15</v>
      </c>
      <c r="W981" s="7">
        <v>0</v>
      </c>
      <c r="X981" t="str">
        <f t="shared" si="31"/>
        <v>Active</v>
      </c>
    </row>
    <row r="982" spans="1:24" x14ac:dyDescent="0.3">
      <c r="A982" s="2">
        <v>981</v>
      </c>
      <c r="B982" s="7">
        <v>22.7</v>
      </c>
      <c r="C982" s="2" t="s">
        <v>11</v>
      </c>
      <c r="D982" s="7">
        <f>IF(ISBLANK('Raw sheet'!D982),AVERAGE('Raw sheet'!$D$2:'Raw sheet'!$D$1500),'Raw sheet'!D982)</f>
        <v>25000</v>
      </c>
      <c r="E982" s="7" t="str">
        <f>IF(Table1[[#This Row],[Family_Income]]&gt;=100000,"Upper",IF(D982&gt;=50000,"Middle","Lower"))</f>
        <v>Lower</v>
      </c>
      <c r="F982" s="2" t="s">
        <v>4</v>
      </c>
      <c r="G982" s="3">
        <f>IF(ISBLANK('Raw sheet'!F982),AVERAGE('Raw sheet'!$F$2:'Raw sheet'!$F$1500),'Raw sheet'!F982)</f>
        <v>6.68</v>
      </c>
      <c r="H982" s="18">
        <v>91.5</v>
      </c>
      <c r="I982" s="9" t="str">
        <f t="shared" si="30"/>
        <v>Good</v>
      </c>
      <c r="J982" s="2">
        <v>0</v>
      </c>
      <c r="K982" s="2">
        <v>23.6</v>
      </c>
      <c r="L982" s="2" t="s">
        <v>4</v>
      </c>
      <c r="M982" s="2" t="s">
        <v>4</v>
      </c>
      <c r="N982" s="5">
        <f>IF(ISBLANK('Raw sheet'!L982),AVERAGE('Raw sheet'!$L$2:'Raw sheet'!$L$1500),'Raw sheet'!L982)</f>
        <v>6.3</v>
      </c>
      <c r="O982" s="5" t="str">
        <f>IF(Table1[[#This Row],[Stress_Index]]&gt;=8,"High",IF(N982&gt;=5,"Medium","Low"))</f>
        <v>Medium</v>
      </c>
      <c r="P982" s="3">
        <v>3.34</v>
      </c>
      <c r="Q982" s="2">
        <v>4</v>
      </c>
      <c r="R982" s="3">
        <v>4</v>
      </c>
      <c r="S982" s="3" t="str">
        <f>IF(Table1[[#This Row],[CGPA]]&gt;=3,"High",IF(R981&gt;=2,"Medium","Low"))</f>
        <v>High</v>
      </c>
      <c r="T982" s="2" t="s">
        <v>12</v>
      </c>
      <c r="U982" s="2" t="s">
        <v>13</v>
      </c>
      <c r="V982" s="2" t="s">
        <v>15</v>
      </c>
      <c r="W982" s="7">
        <v>0</v>
      </c>
      <c r="X982" t="str">
        <f t="shared" si="31"/>
        <v>Active</v>
      </c>
    </row>
    <row r="983" spans="1:24" x14ac:dyDescent="0.3">
      <c r="A983" s="2">
        <v>982</v>
      </c>
      <c r="B983" s="7">
        <v>21.9</v>
      </c>
      <c r="C983" s="2" t="s">
        <v>11</v>
      </c>
      <c r="D983" s="7">
        <f>IF(ISBLANK('Raw sheet'!D983),AVERAGE('Raw sheet'!$D$2:'Raw sheet'!$D$1500),'Raw sheet'!D983)</f>
        <v>25000</v>
      </c>
      <c r="E983" s="7" t="str">
        <f>IF(Table1[[#This Row],[Family_Income]]&gt;=100000,"Upper",IF(D983&gt;=50000,"Middle","Lower"))</f>
        <v>Lower</v>
      </c>
      <c r="F983" s="2" t="s">
        <v>4</v>
      </c>
      <c r="G983" s="3">
        <f>IF(ISBLANK('Raw sheet'!F983),AVERAGE('Raw sheet'!$F$2:'Raw sheet'!$F$1500),'Raw sheet'!F983)</f>
        <v>3.29</v>
      </c>
      <c r="H983" s="18">
        <v>79</v>
      </c>
      <c r="I983" s="9" t="str">
        <f t="shared" si="30"/>
        <v>Good</v>
      </c>
      <c r="J983" s="2">
        <v>1</v>
      </c>
      <c r="K983" s="2">
        <v>26.8</v>
      </c>
      <c r="L983" s="2" t="s">
        <v>3</v>
      </c>
      <c r="M983" s="2" t="s">
        <v>4</v>
      </c>
      <c r="N983" s="5">
        <f>IF(ISBLANK('Raw sheet'!L983),AVERAGE('Raw sheet'!$L$2:'Raw sheet'!$L$1500),'Raw sheet'!L983)</f>
        <v>6.5</v>
      </c>
      <c r="O983" s="5" t="str">
        <f>IF(Table1[[#This Row],[Stress_Index]]&gt;=8,"High",IF(N983&gt;=5,"Medium","Low"))</f>
        <v>Medium</v>
      </c>
      <c r="P983" s="3">
        <v>1.25</v>
      </c>
      <c r="Q983" s="2">
        <v>1.52</v>
      </c>
      <c r="R983" s="3">
        <v>1.54</v>
      </c>
      <c r="S983" s="3" t="str">
        <f>IF(Table1[[#This Row],[CGPA]]&gt;=3,"High",IF(R982&gt;=2,"Medium","Low"))</f>
        <v>Medium</v>
      </c>
      <c r="T983" s="2" t="s">
        <v>7</v>
      </c>
      <c r="U983" s="2" t="s">
        <v>13</v>
      </c>
      <c r="V983" s="2" t="s">
        <v>9</v>
      </c>
      <c r="W983" s="7">
        <v>1</v>
      </c>
      <c r="X983" t="str">
        <f t="shared" si="31"/>
        <v>Dropped Out</v>
      </c>
    </row>
    <row r="984" spans="1:24" x14ac:dyDescent="0.3">
      <c r="A984" s="2">
        <v>983</v>
      </c>
      <c r="B984" s="7">
        <v>18.899999999999999</v>
      </c>
      <c r="C984" s="2" t="s">
        <v>5</v>
      </c>
      <c r="D984" s="7">
        <f>IF(ISBLANK('Raw sheet'!D984),AVERAGE('Raw sheet'!$D$2:'Raw sheet'!$D$1500),'Raw sheet'!D984)</f>
        <v>25000</v>
      </c>
      <c r="E984" s="7" t="str">
        <f>IF(Table1[[#This Row],[Family_Income]]&gt;=100000,"Upper",IF(D984&gt;=50000,"Middle","Lower"))</f>
        <v>Lower</v>
      </c>
      <c r="F984" s="2" t="s">
        <v>4</v>
      </c>
      <c r="G984" s="3">
        <f>IF(ISBLANK('Raw sheet'!F984),AVERAGE('Raw sheet'!$F$2:'Raw sheet'!$F$1500),'Raw sheet'!F984)</f>
        <v>2.2400000000000002</v>
      </c>
      <c r="H984" s="18">
        <v>95</v>
      </c>
      <c r="I984" s="9" t="str">
        <f t="shared" si="30"/>
        <v>Good</v>
      </c>
      <c r="J984" s="2">
        <v>2</v>
      </c>
      <c r="K984" s="2">
        <v>44.9</v>
      </c>
      <c r="L984" s="2" t="s">
        <v>4</v>
      </c>
      <c r="M984" s="2" t="s">
        <v>3</v>
      </c>
      <c r="N984" s="5">
        <f>IF(ISBLANK('Raw sheet'!L984),AVERAGE('Raw sheet'!$L$2:'Raw sheet'!$L$1500),'Raw sheet'!L984)</f>
        <v>8.8000000000000007</v>
      </c>
      <c r="O984" s="5" t="str">
        <f>IF(Table1[[#This Row],[Stress_Index]]&gt;=8,"High",IF(N984&gt;=5,"Medium","Low"))</f>
        <v>High</v>
      </c>
      <c r="P984" s="3">
        <v>2.84</v>
      </c>
      <c r="Q984" s="2">
        <v>2.88</v>
      </c>
      <c r="R984" s="3">
        <v>2.88</v>
      </c>
      <c r="S984" s="3" t="str">
        <f>IF(Table1[[#This Row],[CGPA]]&gt;=3,"High",IF(R983&gt;=2,"Medium","Low"))</f>
        <v>Low</v>
      </c>
      <c r="T984" s="2" t="s">
        <v>2</v>
      </c>
      <c r="U984" s="2" t="s">
        <v>8</v>
      </c>
      <c r="V984" s="2" t="s">
        <v>9</v>
      </c>
      <c r="W984" s="7">
        <v>0</v>
      </c>
      <c r="X984" t="str">
        <f t="shared" si="31"/>
        <v>Active</v>
      </c>
    </row>
    <row r="985" spans="1:24" x14ac:dyDescent="0.3">
      <c r="A985" s="2">
        <v>984</v>
      </c>
      <c r="B985" s="7">
        <v>20.9</v>
      </c>
      <c r="C985" s="2" t="s">
        <v>5</v>
      </c>
      <c r="D985" s="7">
        <f>IF(ISBLANK('Raw sheet'!D985),AVERAGE('Raw sheet'!$D$2:'Raw sheet'!$D$1500),'Raw sheet'!D985)</f>
        <v>66548</v>
      </c>
      <c r="E985" s="7" t="str">
        <f>IF(Table1[[#This Row],[Family_Income]]&gt;=100000,"Upper",IF(D985&gt;=50000,"Middle","Lower"))</f>
        <v>Middle</v>
      </c>
      <c r="F985" s="2" t="s">
        <v>4</v>
      </c>
      <c r="G985" s="3">
        <f>IF(ISBLANK('Raw sheet'!F985),AVERAGE('Raw sheet'!$F$2:'Raw sheet'!$F$1500),'Raw sheet'!F985)</f>
        <v>4.3099999999999996</v>
      </c>
      <c r="H985" s="18">
        <v>78.5</v>
      </c>
      <c r="I985" s="9" t="str">
        <f t="shared" si="30"/>
        <v>Good</v>
      </c>
      <c r="J985" s="2">
        <v>0</v>
      </c>
      <c r="K985" s="2">
        <v>26.1</v>
      </c>
      <c r="L985" s="2" t="s">
        <v>3</v>
      </c>
      <c r="M985" s="2" t="s">
        <v>3</v>
      </c>
      <c r="N985" s="5">
        <f>IF(ISBLANK('Raw sheet'!L985),AVERAGE('Raw sheet'!$L$2:'Raw sheet'!$L$1500),'Raw sheet'!L985)</f>
        <v>6.8</v>
      </c>
      <c r="O985" s="5" t="str">
        <f>IF(Table1[[#This Row],[Stress_Index]]&gt;=8,"High",IF(N985&gt;=5,"Medium","Low"))</f>
        <v>Medium</v>
      </c>
      <c r="P985" s="3">
        <v>2.39</v>
      </c>
      <c r="Q985" s="2">
        <v>2.58</v>
      </c>
      <c r="R985" s="3">
        <v>2.52</v>
      </c>
      <c r="S985" s="3" t="str">
        <f>IF(Table1[[#This Row],[CGPA]]&gt;=3,"High",IF(R984&gt;=2,"Medium","Low"))</f>
        <v>Medium</v>
      </c>
      <c r="T985" s="2" t="s">
        <v>10</v>
      </c>
      <c r="U985" s="2" t="s">
        <v>14</v>
      </c>
      <c r="V985" s="2" t="s">
        <v>0</v>
      </c>
      <c r="W985" s="7">
        <v>0</v>
      </c>
      <c r="X985" t="str">
        <f t="shared" si="31"/>
        <v>Active</v>
      </c>
    </row>
    <row r="986" spans="1:24" x14ac:dyDescent="0.3">
      <c r="A986" s="2">
        <v>985</v>
      </c>
      <c r="B986" s="7">
        <v>21</v>
      </c>
      <c r="C986" s="2" t="s">
        <v>5</v>
      </c>
      <c r="D986" s="7">
        <f>IF(ISBLANK('Raw sheet'!D986),AVERAGE('Raw sheet'!$D$2:'Raw sheet'!$D$1500),'Raw sheet'!D986)</f>
        <v>25085</v>
      </c>
      <c r="E986" s="7" t="str">
        <f>IF(Table1[[#This Row],[Family_Income]]&gt;=100000,"Upper",IF(D986&gt;=50000,"Middle","Lower"))</f>
        <v>Lower</v>
      </c>
      <c r="F986" s="2" t="s">
        <v>4</v>
      </c>
      <c r="G986" s="3">
        <f>IF(ISBLANK('Raw sheet'!F986),AVERAGE('Raw sheet'!$F$2:'Raw sheet'!$F$1500),'Raw sheet'!F986)</f>
        <v>3.29</v>
      </c>
      <c r="H986" s="18">
        <v>76</v>
      </c>
      <c r="I986" s="9" t="str">
        <f t="shared" si="30"/>
        <v>Good</v>
      </c>
      <c r="J986" s="2">
        <v>3</v>
      </c>
      <c r="K986" s="2">
        <v>19.8</v>
      </c>
      <c r="L986" s="2" t="s">
        <v>4</v>
      </c>
      <c r="M986" s="2" t="s">
        <v>3</v>
      </c>
      <c r="N986" s="5">
        <f>IF(ISBLANK('Raw sheet'!L986),AVERAGE('Raw sheet'!$L$2:'Raw sheet'!$L$1500),'Raw sheet'!L986)</f>
        <v>4.4000000000000004</v>
      </c>
      <c r="O986" s="5" t="str">
        <f>IF(Table1[[#This Row],[Stress_Index]]&gt;=8,"High",IF(N986&gt;=5,"Medium","Low"))</f>
        <v>Low</v>
      </c>
      <c r="P986" s="3">
        <v>2.6</v>
      </c>
      <c r="Q986" s="2">
        <v>2.34</v>
      </c>
      <c r="R986" s="3">
        <v>2.33</v>
      </c>
      <c r="S986" s="3" t="str">
        <f>IF(Table1[[#This Row],[CGPA]]&gt;=3,"High",IF(R985&gt;=2,"Medium","Low"))</f>
        <v>Medium</v>
      </c>
      <c r="T986" s="2" t="s">
        <v>12</v>
      </c>
      <c r="U986" s="2" t="s">
        <v>8</v>
      </c>
      <c r="V986" s="2" t="s">
        <v>9</v>
      </c>
      <c r="W986" s="7">
        <v>0</v>
      </c>
      <c r="X986" t="str">
        <f t="shared" si="31"/>
        <v>Active</v>
      </c>
    </row>
    <row r="987" spans="1:24" x14ac:dyDescent="0.3">
      <c r="A987" s="2">
        <v>986</v>
      </c>
      <c r="B987" s="7">
        <v>18.5</v>
      </c>
      <c r="C987" s="2" t="s">
        <v>11</v>
      </c>
      <c r="D987" s="7">
        <f>IF(ISBLANK('Raw sheet'!D987),AVERAGE('Raw sheet'!$D$2:'Raw sheet'!$D$1500),'Raw sheet'!D987)</f>
        <v>64524</v>
      </c>
      <c r="E987" s="7" t="str">
        <f>IF(Table1[[#This Row],[Family_Income]]&gt;=100000,"Upper",IF(D987&gt;=50000,"Middle","Lower"))</f>
        <v>Middle</v>
      </c>
      <c r="F987" s="2" t="s">
        <v>4</v>
      </c>
      <c r="G987" s="3">
        <f>IF(ISBLANK('Raw sheet'!F987),AVERAGE('Raw sheet'!$F$2:'Raw sheet'!$F$1500),'Raw sheet'!F987)</f>
        <v>4.78</v>
      </c>
      <c r="H987" s="18">
        <v>81.5</v>
      </c>
      <c r="I987" s="9" t="str">
        <f t="shared" si="30"/>
        <v>Good</v>
      </c>
      <c r="J987" s="2">
        <v>1</v>
      </c>
      <c r="K987" s="2">
        <v>39.799999999999997</v>
      </c>
      <c r="L987" s="2" t="s">
        <v>3</v>
      </c>
      <c r="M987" s="2" t="s">
        <v>4</v>
      </c>
      <c r="N987" s="5">
        <f>IF(ISBLANK('Raw sheet'!L987),AVERAGE('Raw sheet'!$L$2:'Raw sheet'!$L$1500),'Raw sheet'!L987)</f>
        <v>4.4000000000000004</v>
      </c>
      <c r="O987" s="5" t="str">
        <f>IF(Table1[[#This Row],[Stress_Index]]&gt;=8,"High",IF(N987&gt;=5,"Medium","Low"))</f>
        <v>Low</v>
      </c>
      <c r="P987" s="3">
        <v>4</v>
      </c>
      <c r="Q987" s="2">
        <v>4</v>
      </c>
      <c r="R987" s="3">
        <v>4</v>
      </c>
      <c r="S987" s="3" t="str">
        <f>IF(Table1[[#This Row],[CGPA]]&gt;=3,"High",IF(R986&gt;=2,"Medium","Low"))</f>
        <v>High</v>
      </c>
      <c r="T987" s="2" t="s">
        <v>12</v>
      </c>
      <c r="U987" s="2" t="s">
        <v>6</v>
      </c>
      <c r="V987" s="2" t="s">
        <v>15</v>
      </c>
      <c r="W987" s="7">
        <v>0</v>
      </c>
      <c r="X987" t="str">
        <f t="shared" si="31"/>
        <v>Active</v>
      </c>
    </row>
    <row r="988" spans="1:24" x14ac:dyDescent="0.3">
      <c r="A988" s="2">
        <v>987</v>
      </c>
      <c r="B988" s="7">
        <v>24.3</v>
      </c>
      <c r="C988" s="2" t="s">
        <v>11</v>
      </c>
      <c r="D988" s="7">
        <f>IF(ISBLANK('Raw sheet'!D988),AVERAGE('Raw sheet'!$D$2:'Raw sheet'!$D$1500),'Raw sheet'!D988)</f>
        <v>25000</v>
      </c>
      <c r="E988" s="7" t="str">
        <f>IF(Table1[[#This Row],[Family_Income]]&gt;=100000,"Upper",IF(D988&gt;=50000,"Middle","Lower"))</f>
        <v>Lower</v>
      </c>
      <c r="F988" s="2" t="s">
        <v>3</v>
      </c>
      <c r="G988" s="3">
        <f>IF(ISBLANK('Raw sheet'!F988),AVERAGE('Raw sheet'!$F$2:'Raw sheet'!$F$1500),'Raw sheet'!F988)</f>
        <v>4.5599999999999996</v>
      </c>
      <c r="H988" s="18">
        <v>88.1</v>
      </c>
      <c r="I988" s="9" t="str">
        <f t="shared" si="30"/>
        <v>Good</v>
      </c>
      <c r="J988" s="2">
        <v>0</v>
      </c>
      <c r="K988" s="2">
        <v>42.3</v>
      </c>
      <c r="L988" s="2" t="s">
        <v>4</v>
      </c>
      <c r="M988" s="2" t="s">
        <v>3</v>
      </c>
      <c r="N988" s="5">
        <f>IF(ISBLANK('Raw sheet'!L988),AVERAGE('Raw sheet'!$L$2:'Raw sheet'!$L$1500),'Raw sheet'!L988)</f>
        <v>6.9</v>
      </c>
      <c r="O988" s="5" t="str">
        <f>IF(Table1[[#This Row],[Stress_Index]]&gt;=8,"High",IF(N988&gt;=5,"Medium","Low"))</f>
        <v>Medium</v>
      </c>
      <c r="P988" s="3">
        <v>1.1499999999999999</v>
      </c>
      <c r="Q988" s="2">
        <v>1.23</v>
      </c>
      <c r="R988" s="3">
        <v>1.28</v>
      </c>
      <c r="S988" s="3" t="str">
        <f>IF(Table1[[#This Row],[CGPA]]&gt;=3,"High",IF(R987&gt;=2,"Medium","Low"))</f>
        <v>Medium</v>
      </c>
      <c r="T988" s="2" t="s">
        <v>7</v>
      </c>
      <c r="U988" s="2" t="s">
        <v>1</v>
      </c>
      <c r="V988" s="2" t="s">
        <v>15</v>
      </c>
      <c r="W988" s="7">
        <v>1</v>
      </c>
      <c r="X988" t="str">
        <f t="shared" si="31"/>
        <v>Dropped Out</v>
      </c>
    </row>
    <row r="989" spans="1:24" x14ac:dyDescent="0.3">
      <c r="A989" s="2">
        <v>988</v>
      </c>
      <c r="B989" s="7">
        <v>22.9</v>
      </c>
      <c r="C989" s="2" t="s">
        <v>11</v>
      </c>
      <c r="D989" s="7">
        <f>IF(ISBLANK('Raw sheet'!D989),AVERAGE('Raw sheet'!$D$2:'Raw sheet'!$D$1500),'Raw sheet'!D989)</f>
        <v>56930</v>
      </c>
      <c r="E989" s="7" t="str">
        <f>IF(Table1[[#This Row],[Family_Income]]&gt;=100000,"Upper",IF(D989&gt;=50000,"Middle","Lower"))</f>
        <v>Middle</v>
      </c>
      <c r="F989" s="2" t="s">
        <v>4</v>
      </c>
      <c r="G989" s="3">
        <f>IF(ISBLANK('Raw sheet'!F989),AVERAGE('Raw sheet'!$F$2:'Raw sheet'!$F$1500),'Raw sheet'!F989)</f>
        <v>2.48</v>
      </c>
      <c r="H989" s="18">
        <v>84.3</v>
      </c>
      <c r="I989" s="9" t="str">
        <f t="shared" si="30"/>
        <v>Good</v>
      </c>
      <c r="J989" s="2">
        <v>2</v>
      </c>
      <c r="K989" s="2">
        <v>39.799999999999997</v>
      </c>
      <c r="L989" s="2" t="s">
        <v>3</v>
      </c>
      <c r="M989" s="2" t="s">
        <v>4</v>
      </c>
      <c r="N989" s="5">
        <f>IF(ISBLANK('Raw sheet'!L989),AVERAGE('Raw sheet'!$L$2:'Raw sheet'!$L$1500),'Raw sheet'!L989)</f>
        <v>4.5</v>
      </c>
      <c r="O989" s="5" t="str">
        <f>IF(Table1[[#This Row],[Stress_Index]]&gt;=8,"High",IF(N989&gt;=5,"Medium","Low"))</f>
        <v>Low</v>
      </c>
      <c r="P989" s="3">
        <v>3.76</v>
      </c>
      <c r="Q989" s="2">
        <v>3.87</v>
      </c>
      <c r="R989" s="3">
        <v>3.83</v>
      </c>
      <c r="S989" s="3" t="str">
        <f>IF(Table1[[#This Row],[CGPA]]&gt;=3,"High",IF(R988&gt;=2,"Medium","Low"))</f>
        <v>High</v>
      </c>
      <c r="T989" s="2" t="s">
        <v>7</v>
      </c>
      <c r="U989" s="2" t="s">
        <v>13</v>
      </c>
      <c r="V989" s="2" t="s">
        <v>9</v>
      </c>
      <c r="W989" s="7">
        <v>0</v>
      </c>
      <c r="X989" t="str">
        <f t="shared" si="31"/>
        <v>Active</v>
      </c>
    </row>
    <row r="990" spans="1:24" x14ac:dyDescent="0.3">
      <c r="A990" s="2">
        <v>989</v>
      </c>
      <c r="B990" s="7">
        <v>20.5</v>
      </c>
      <c r="C990" s="2" t="s">
        <v>5</v>
      </c>
      <c r="D990" s="7">
        <f>IF(ISBLANK('Raw sheet'!D990),AVERAGE('Raw sheet'!$D$2:'Raw sheet'!$D$1500),'Raw sheet'!D990)</f>
        <v>25000</v>
      </c>
      <c r="E990" s="7" t="str">
        <f>IF(Table1[[#This Row],[Family_Income]]&gt;=100000,"Upper",IF(D990&gt;=50000,"Middle","Lower"))</f>
        <v>Lower</v>
      </c>
      <c r="F990" s="2" t="s">
        <v>4</v>
      </c>
      <c r="G990" s="3">
        <f>IF(ISBLANK('Raw sheet'!F990),AVERAGE('Raw sheet'!$F$2:'Raw sheet'!$F$1500),'Raw sheet'!F990)</f>
        <v>6.39</v>
      </c>
      <c r="H990" s="18">
        <v>97.1</v>
      </c>
      <c r="I990" s="9" t="str">
        <f t="shared" si="30"/>
        <v>Good</v>
      </c>
      <c r="J990" s="2">
        <v>2</v>
      </c>
      <c r="K990" s="2">
        <v>46.4</v>
      </c>
      <c r="L990" s="2" t="s">
        <v>3</v>
      </c>
      <c r="M990" s="2" t="s">
        <v>3</v>
      </c>
      <c r="N990" s="5">
        <f>IF(ISBLANK('Raw sheet'!L990),AVERAGE('Raw sheet'!$L$2:'Raw sheet'!$L$1500),'Raw sheet'!L990)</f>
        <v>4.5999999999999996</v>
      </c>
      <c r="O990" s="5" t="str">
        <f>IF(Table1[[#This Row],[Stress_Index]]&gt;=8,"High",IF(N990&gt;=5,"Medium","Low"))</f>
        <v>Low</v>
      </c>
      <c r="P990" s="3">
        <v>2.4700000000000002</v>
      </c>
      <c r="Q990" s="2">
        <v>2.29</v>
      </c>
      <c r="R990" s="3">
        <v>2.31</v>
      </c>
      <c r="S990" s="3" t="str">
        <f>IF(Table1[[#This Row],[CGPA]]&gt;=3,"High",IF(R989&gt;=2,"Medium","Low"))</f>
        <v>Medium</v>
      </c>
      <c r="T990" s="2" t="s">
        <v>7</v>
      </c>
      <c r="U990" s="2" t="s">
        <v>1</v>
      </c>
      <c r="V990" s="2" t="s">
        <v>15</v>
      </c>
      <c r="W990" s="7">
        <v>0</v>
      </c>
      <c r="X990" t="str">
        <f t="shared" si="31"/>
        <v>Active</v>
      </c>
    </row>
    <row r="991" spans="1:24" x14ac:dyDescent="0.3">
      <c r="A991" s="2">
        <v>990</v>
      </c>
      <c r="B991" s="7">
        <v>21.1</v>
      </c>
      <c r="C991" s="2" t="s">
        <v>5</v>
      </c>
      <c r="D991" s="7">
        <f>IF(ISBLANK('Raw sheet'!D991),AVERAGE('Raw sheet'!$D$2:'Raw sheet'!$D$1500),'Raw sheet'!D991)</f>
        <v>25000</v>
      </c>
      <c r="E991" s="7" t="str">
        <f>IF(Table1[[#This Row],[Family_Income]]&gt;=100000,"Upper",IF(D991&gt;=50000,"Middle","Lower"))</f>
        <v>Lower</v>
      </c>
      <c r="F991" s="2" t="s">
        <v>4</v>
      </c>
      <c r="G991" s="3">
        <f>IF(ISBLANK('Raw sheet'!F991),AVERAGE('Raw sheet'!$F$2:'Raw sheet'!$F$1500),'Raw sheet'!F991)</f>
        <v>3.21</v>
      </c>
      <c r="H991" s="18">
        <v>83.4</v>
      </c>
      <c r="I991" s="9" t="str">
        <f t="shared" si="30"/>
        <v>Good</v>
      </c>
      <c r="J991" s="2">
        <v>1</v>
      </c>
      <c r="K991" s="2">
        <v>32.299999999999997</v>
      </c>
      <c r="L991" s="2" t="s">
        <v>3</v>
      </c>
      <c r="M991" s="2" t="s">
        <v>4</v>
      </c>
      <c r="N991" s="5">
        <f>IF(ISBLANK('Raw sheet'!L991),AVERAGE('Raw sheet'!$L$2:'Raw sheet'!$L$1500),'Raw sheet'!L991)</f>
        <v>4</v>
      </c>
      <c r="O991" s="5" t="str">
        <f>IF(Table1[[#This Row],[Stress_Index]]&gt;=8,"High",IF(N991&gt;=5,"Medium","Low"))</f>
        <v>Low</v>
      </c>
      <c r="P991" s="3">
        <v>1.48</v>
      </c>
      <c r="Q991" s="2">
        <v>1.41</v>
      </c>
      <c r="R991" s="3">
        <v>1.36</v>
      </c>
      <c r="S991" s="3" t="str">
        <f>IF(Table1[[#This Row],[CGPA]]&gt;=3,"High",IF(R990&gt;=2,"Medium","Low"))</f>
        <v>Medium</v>
      </c>
      <c r="T991" s="2" t="s">
        <v>12</v>
      </c>
      <c r="U991" s="2" t="s">
        <v>1</v>
      </c>
      <c r="V991" s="2" t="s">
        <v>9</v>
      </c>
      <c r="W991" s="7">
        <v>1</v>
      </c>
      <c r="X991" t="str">
        <f t="shared" si="31"/>
        <v>Dropped Out</v>
      </c>
    </row>
    <row r="992" spans="1:24" x14ac:dyDescent="0.3">
      <c r="A992" s="2">
        <v>991</v>
      </c>
      <c r="B992" s="7">
        <v>21.5</v>
      </c>
      <c r="C992" s="2" t="s">
        <v>5</v>
      </c>
      <c r="D992" s="7">
        <f>IF(ISBLANK('Raw sheet'!D992),AVERAGE('Raw sheet'!$D$2:'Raw sheet'!$D$1500),'Raw sheet'!D992)</f>
        <v>78926</v>
      </c>
      <c r="E992" s="7" t="str">
        <f>IF(Table1[[#This Row],[Family_Income]]&gt;=100000,"Upper",IF(D992&gt;=50000,"Middle","Lower"))</f>
        <v>Middle</v>
      </c>
      <c r="F992" s="2" t="s">
        <v>4</v>
      </c>
      <c r="G992" s="3">
        <f>IF(ISBLANK('Raw sheet'!F992),AVERAGE('Raw sheet'!$F$2:'Raw sheet'!$F$1500),'Raw sheet'!F992)</f>
        <v>3.34</v>
      </c>
      <c r="H992" s="18">
        <v>80.599999999999994</v>
      </c>
      <c r="I992" s="9" t="str">
        <f t="shared" si="30"/>
        <v>Good</v>
      </c>
      <c r="J992" s="2">
        <v>0</v>
      </c>
      <c r="K992" s="2">
        <v>31.9</v>
      </c>
      <c r="L992" s="2" t="s">
        <v>4</v>
      </c>
      <c r="M992" s="2" t="s">
        <v>3</v>
      </c>
      <c r="N992" s="5">
        <f>IF(ISBLANK('Raw sheet'!L992),AVERAGE('Raw sheet'!$L$2:'Raw sheet'!$L$1500),'Raw sheet'!L992)</f>
        <v>5.7</v>
      </c>
      <c r="O992" s="5" t="str">
        <f>IF(Table1[[#This Row],[Stress_Index]]&gt;=8,"High",IF(N992&gt;=5,"Medium","Low"))</f>
        <v>Medium</v>
      </c>
      <c r="P992" s="3">
        <v>1.1499999999999999</v>
      </c>
      <c r="Q992" s="2">
        <v>1.26</v>
      </c>
      <c r="R992" s="3">
        <v>1.23</v>
      </c>
      <c r="S992" s="3" t="str">
        <f>IF(Table1[[#This Row],[CGPA]]&gt;=3,"High",IF(R991&gt;=2,"Medium","Low"))</f>
        <v>Low</v>
      </c>
      <c r="T992" s="2" t="s">
        <v>7</v>
      </c>
      <c r="U992" s="2" t="s">
        <v>13</v>
      </c>
      <c r="V992" s="2" t="s">
        <v>9</v>
      </c>
      <c r="W992" s="7">
        <v>0</v>
      </c>
      <c r="X992" t="str">
        <f t="shared" si="31"/>
        <v>Active</v>
      </c>
    </row>
    <row r="993" spans="1:24" x14ac:dyDescent="0.3">
      <c r="A993" s="2">
        <v>992</v>
      </c>
      <c r="B993" s="7">
        <v>17</v>
      </c>
      <c r="C993" s="2" t="s">
        <v>5</v>
      </c>
      <c r="D993" s="7">
        <f>IF(ISBLANK('Raw sheet'!D993),AVERAGE('Raw sheet'!$D$2:'Raw sheet'!$D$1500),'Raw sheet'!D993)</f>
        <v>57779</v>
      </c>
      <c r="E993" s="7" t="str">
        <f>IF(Table1[[#This Row],[Family_Income]]&gt;=100000,"Upper",IF(D993&gt;=50000,"Middle","Lower"))</f>
        <v>Middle</v>
      </c>
      <c r="F993" s="2" t="s">
        <v>4</v>
      </c>
      <c r="G993" s="3">
        <f>IF(ISBLANK('Raw sheet'!F993),AVERAGE('Raw sheet'!$F$2:'Raw sheet'!$F$1500),'Raw sheet'!F993)</f>
        <v>4.75</v>
      </c>
      <c r="H993" s="18">
        <v>94.1</v>
      </c>
      <c r="I993" s="9" t="str">
        <f t="shared" si="30"/>
        <v>Good</v>
      </c>
      <c r="J993" s="2">
        <v>1</v>
      </c>
      <c r="K993" s="2">
        <v>21.6</v>
      </c>
      <c r="L993" s="2" t="s">
        <v>3</v>
      </c>
      <c r="M993" s="2" t="s">
        <v>4</v>
      </c>
      <c r="N993" s="5">
        <f>IF(ISBLANK('Raw sheet'!L993),AVERAGE('Raw sheet'!$L$2:'Raw sheet'!$L$1500),'Raw sheet'!L993)</f>
        <v>5.9</v>
      </c>
      <c r="O993" s="5" t="str">
        <f>IF(Table1[[#This Row],[Stress_Index]]&gt;=8,"High",IF(N993&gt;=5,"Medium","Low"))</f>
        <v>Medium</v>
      </c>
      <c r="P993" s="3">
        <v>2.8</v>
      </c>
      <c r="Q993" s="2">
        <v>2.68</v>
      </c>
      <c r="R993" s="3">
        <v>2.68</v>
      </c>
      <c r="S993" s="3" t="str">
        <f>IF(Table1[[#This Row],[CGPA]]&gt;=3,"High",IF(R992&gt;=2,"Medium","Low"))</f>
        <v>Low</v>
      </c>
      <c r="T993" s="2" t="s">
        <v>7</v>
      </c>
      <c r="U993" s="2" t="s">
        <v>1</v>
      </c>
      <c r="V993" s="2" t="s">
        <v>9</v>
      </c>
      <c r="W993" s="7">
        <v>0</v>
      </c>
      <c r="X993" t="str">
        <f t="shared" si="31"/>
        <v>Active</v>
      </c>
    </row>
    <row r="994" spans="1:24" x14ac:dyDescent="0.3">
      <c r="A994" s="2">
        <v>993</v>
      </c>
      <c r="B994" s="7">
        <v>20.5</v>
      </c>
      <c r="C994" s="2" t="s">
        <v>11</v>
      </c>
      <c r="D994" s="7">
        <f>IF(ISBLANK('Raw sheet'!D994),AVERAGE('Raw sheet'!$D$2:'Raw sheet'!$D$1500),'Raw sheet'!D994)</f>
        <v>33761</v>
      </c>
      <c r="E994" s="7" t="str">
        <f>IF(Table1[[#This Row],[Family_Income]]&gt;=100000,"Upper",IF(D994&gt;=50000,"Middle","Lower"))</f>
        <v>Lower</v>
      </c>
      <c r="F994" s="2" t="s">
        <v>3</v>
      </c>
      <c r="G994" s="3">
        <f>IF(ISBLANK('Raw sheet'!F994),AVERAGE('Raw sheet'!$F$2:'Raw sheet'!$F$1500),'Raw sheet'!F994)</f>
        <v>6.12</v>
      </c>
      <c r="H994" s="18">
        <v>86.8</v>
      </c>
      <c r="I994" s="9" t="str">
        <f t="shared" si="30"/>
        <v>Good</v>
      </c>
      <c r="J994" s="2">
        <v>2</v>
      </c>
      <c r="K994" s="2">
        <v>46.8</v>
      </c>
      <c r="L994" s="2" t="s">
        <v>3</v>
      </c>
      <c r="M994" s="2" t="s">
        <v>4</v>
      </c>
      <c r="N994" s="5">
        <f>IF(ISBLANK('Raw sheet'!L994),AVERAGE('Raw sheet'!$L$2:'Raw sheet'!$L$1500),'Raw sheet'!L994)</f>
        <v>4.9000000000000004</v>
      </c>
      <c r="O994" s="5" t="str">
        <f>IF(Table1[[#This Row],[Stress_Index]]&gt;=8,"High",IF(N994&gt;=5,"Medium","Low"))</f>
        <v>Low</v>
      </c>
      <c r="P994" s="3">
        <v>1.03</v>
      </c>
      <c r="Q994" s="2">
        <v>1</v>
      </c>
      <c r="R994" s="3">
        <v>0.94</v>
      </c>
      <c r="S994" s="3" t="str">
        <f>IF(Table1[[#This Row],[CGPA]]&gt;=3,"High",IF(R993&gt;=2,"Medium","Low"))</f>
        <v>Medium</v>
      </c>
      <c r="T994" s="2" t="s">
        <v>10</v>
      </c>
      <c r="U994" s="2" t="s">
        <v>6</v>
      </c>
      <c r="V994" s="2" t="s">
        <v>15</v>
      </c>
      <c r="W994" s="7">
        <v>0</v>
      </c>
      <c r="X994" t="str">
        <f t="shared" si="31"/>
        <v>Active</v>
      </c>
    </row>
    <row r="995" spans="1:24" x14ac:dyDescent="0.3">
      <c r="A995" s="2">
        <v>994</v>
      </c>
      <c r="B995" s="7">
        <v>19.5</v>
      </c>
      <c r="C995" s="2" t="s">
        <v>5</v>
      </c>
      <c r="D995" s="7">
        <f>IF(ISBLANK('Raw sheet'!D995),AVERAGE('Raw sheet'!$D$2:'Raw sheet'!$D$1500),'Raw sheet'!D995)</f>
        <v>38587.00282087447</v>
      </c>
      <c r="E995" s="7" t="str">
        <f>IF(Table1[[#This Row],[Family_Income]]&gt;=100000,"Upper",IF(D995&gt;=50000,"Middle","Lower"))</f>
        <v>Lower</v>
      </c>
      <c r="F995" s="2" t="s">
        <v>4</v>
      </c>
      <c r="G995" s="3">
        <f>IF(ISBLANK('Raw sheet'!F995),AVERAGE('Raw sheet'!$F$2:'Raw sheet'!$F$1500),'Raw sheet'!F995)</f>
        <v>4.0178702397743278</v>
      </c>
      <c r="H995" s="18">
        <v>78.7</v>
      </c>
      <c r="I995" s="9" t="str">
        <f t="shared" si="30"/>
        <v>Good</v>
      </c>
      <c r="J995" s="2">
        <v>2</v>
      </c>
      <c r="K995" s="2">
        <v>28.9</v>
      </c>
      <c r="L995" s="2" t="s">
        <v>3</v>
      </c>
      <c r="M995" s="2" t="s">
        <v>3</v>
      </c>
      <c r="N995" s="5">
        <f>IF(ISBLANK('Raw sheet'!L995),AVERAGE('Raw sheet'!$L$2:'Raw sheet'!$L$1500),'Raw sheet'!L995)</f>
        <v>5.5242595204513369</v>
      </c>
      <c r="O995" s="5" t="str">
        <f>IF(Table1[[#This Row],[Stress_Index]]&gt;=8,"High",IF(N995&gt;=5,"Medium","Low"))</f>
        <v>Medium</v>
      </c>
      <c r="P995" s="3">
        <v>2.78</v>
      </c>
      <c r="Q995" s="2">
        <v>2.8</v>
      </c>
      <c r="R995" s="3">
        <v>2.8</v>
      </c>
      <c r="S995" s="3" t="str">
        <f>IF(Table1[[#This Row],[CGPA]]&gt;=3,"High",IF(R994&gt;=2,"Medium","Low"))</f>
        <v>Low</v>
      </c>
      <c r="T995" s="2" t="s">
        <v>12</v>
      </c>
      <c r="U995" s="2" t="s">
        <v>14</v>
      </c>
      <c r="V995" s="2" t="s">
        <v>0</v>
      </c>
      <c r="W995" s="7">
        <v>0</v>
      </c>
      <c r="X995" t="str">
        <f t="shared" si="31"/>
        <v>Active</v>
      </c>
    </row>
    <row r="996" spans="1:24" x14ac:dyDescent="0.3">
      <c r="A996" s="2">
        <v>995</v>
      </c>
      <c r="B996" s="7">
        <v>18.8</v>
      </c>
      <c r="C996" s="2" t="s">
        <v>11</v>
      </c>
      <c r="D996" s="7">
        <f>IF(ISBLANK('Raw sheet'!D996),AVERAGE('Raw sheet'!$D$2:'Raw sheet'!$D$1500),'Raw sheet'!D996)</f>
        <v>38704</v>
      </c>
      <c r="E996" s="7" t="str">
        <f>IF(Table1[[#This Row],[Family_Income]]&gt;=100000,"Upper",IF(D996&gt;=50000,"Middle","Lower"))</f>
        <v>Lower</v>
      </c>
      <c r="F996" s="2" t="s">
        <v>4</v>
      </c>
      <c r="G996" s="3">
        <f>IF(ISBLANK('Raw sheet'!F996),AVERAGE('Raw sheet'!$F$2:'Raw sheet'!$F$1500),'Raw sheet'!F996)</f>
        <v>3.4</v>
      </c>
      <c r="H996" s="18">
        <v>83.9</v>
      </c>
      <c r="I996" s="9" t="str">
        <f t="shared" si="30"/>
        <v>Good</v>
      </c>
      <c r="J996" s="2">
        <v>0</v>
      </c>
      <c r="K996" s="2">
        <v>26.4</v>
      </c>
      <c r="L996" s="2" t="s">
        <v>3</v>
      </c>
      <c r="M996" s="2" t="s">
        <v>3</v>
      </c>
      <c r="N996" s="5">
        <f>IF(ISBLANK('Raw sheet'!L996),AVERAGE('Raw sheet'!$L$2:'Raw sheet'!$L$1500),'Raw sheet'!L996)</f>
        <v>6.5</v>
      </c>
      <c r="O996" s="5" t="str">
        <f>IF(Table1[[#This Row],[Stress_Index]]&gt;=8,"High",IF(N996&gt;=5,"Medium","Low"))</f>
        <v>Medium</v>
      </c>
      <c r="P996" s="3">
        <v>2.25</v>
      </c>
      <c r="Q996" s="2">
        <v>2.83</v>
      </c>
      <c r="R996" s="3">
        <v>2.85</v>
      </c>
      <c r="S996" s="3" t="str">
        <f>IF(Table1[[#This Row],[CGPA]]&gt;=3,"High",IF(R995&gt;=2,"Medium","Low"))</f>
        <v>Medium</v>
      </c>
      <c r="T996" s="2" t="s">
        <v>7</v>
      </c>
      <c r="U996" s="2" t="s">
        <v>13</v>
      </c>
      <c r="V996" s="2" t="s">
        <v>15</v>
      </c>
      <c r="W996" s="7">
        <v>1</v>
      </c>
      <c r="X996" t="str">
        <f t="shared" si="31"/>
        <v>Dropped Out</v>
      </c>
    </row>
    <row r="997" spans="1:24" x14ac:dyDescent="0.3">
      <c r="A997" s="2">
        <v>996</v>
      </c>
      <c r="B997" s="7">
        <v>20.399999999999999</v>
      </c>
      <c r="C997" s="2" t="s">
        <v>11</v>
      </c>
      <c r="D997" s="7">
        <f>IF(ISBLANK('Raw sheet'!D997),AVERAGE('Raw sheet'!$D$2:'Raw sheet'!$D$1500),'Raw sheet'!D997)</f>
        <v>33416</v>
      </c>
      <c r="E997" s="7" t="str">
        <f>IF(Table1[[#This Row],[Family_Income]]&gt;=100000,"Upper",IF(D997&gt;=50000,"Middle","Lower"))</f>
        <v>Lower</v>
      </c>
      <c r="F997" s="2" t="s">
        <v>4</v>
      </c>
      <c r="G997" s="3">
        <f>IF(ISBLANK('Raw sheet'!F997),AVERAGE('Raw sheet'!$F$2:'Raw sheet'!$F$1500),'Raw sheet'!F997)</f>
        <v>5.24</v>
      </c>
      <c r="H997" s="18">
        <v>83.7</v>
      </c>
      <c r="I997" s="9" t="str">
        <f t="shared" si="30"/>
        <v>Good</v>
      </c>
      <c r="J997" s="2">
        <v>2</v>
      </c>
      <c r="K997" s="2">
        <v>25.3</v>
      </c>
      <c r="L997" s="2" t="s">
        <v>4</v>
      </c>
      <c r="M997" s="2" t="s">
        <v>3</v>
      </c>
      <c r="N997" s="5">
        <f>IF(ISBLANK('Raw sheet'!L997),AVERAGE('Raw sheet'!$L$2:'Raw sheet'!$L$1500),'Raw sheet'!L997)</f>
        <v>8.6999999999999993</v>
      </c>
      <c r="O997" s="5" t="str">
        <f>IF(Table1[[#This Row],[Stress_Index]]&gt;=8,"High",IF(N997&gt;=5,"Medium","Low"))</f>
        <v>High</v>
      </c>
      <c r="P997" s="3">
        <v>2.42</v>
      </c>
      <c r="Q997" s="2">
        <v>2.04</v>
      </c>
      <c r="R997" s="3">
        <v>2.02</v>
      </c>
      <c r="S997" s="3" t="str">
        <f>IF(Table1[[#This Row],[CGPA]]&gt;=3,"High",IF(R996&gt;=2,"Medium","Low"))</f>
        <v>Medium</v>
      </c>
      <c r="T997" s="2" t="s">
        <v>7</v>
      </c>
      <c r="U997" s="2" t="s">
        <v>1</v>
      </c>
      <c r="V997" s="2" t="s">
        <v>15</v>
      </c>
      <c r="W997" s="7">
        <v>1</v>
      </c>
      <c r="X997" t="str">
        <f t="shared" si="31"/>
        <v>Dropped Out</v>
      </c>
    </row>
    <row r="998" spans="1:24" x14ac:dyDescent="0.3">
      <c r="A998" s="2">
        <v>997</v>
      </c>
      <c r="B998" s="7">
        <v>25</v>
      </c>
      <c r="C998" s="2" t="s">
        <v>5</v>
      </c>
      <c r="D998" s="7">
        <f>IF(ISBLANK('Raw sheet'!D998),AVERAGE('Raw sheet'!$D$2:'Raw sheet'!$D$1500),'Raw sheet'!D998)</f>
        <v>25000</v>
      </c>
      <c r="E998" s="7" t="str">
        <f>IF(Table1[[#This Row],[Family_Income]]&gt;=100000,"Upper",IF(D998&gt;=50000,"Middle","Lower"))</f>
        <v>Lower</v>
      </c>
      <c r="F998" s="2" t="s">
        <v>4</v>
      </c>
      <c r="G998" s="3">
        <f>IF(ISBLANK('Raw sheet'!F998),AVERAGE('Raw sheet'!$F$2:'Raw sheet'!$F$1500),'Raw sheet'!F998)</f>
        <v>3.26</v>
      </c>
      <c r="H998" s="18">
        <v>80.400000000000006</v>
      </c>
      <c r="I998" s="9" t="str">
        <f t="shared" si="30"/>
        <v>Good</v>
      </c>
      <c r="J998" s="2">
        <v>2</v>
      </c>
      <c r="K998" s="2">
        <v>37.6</v>
      </c>
      <c r="L998" s="2" t="s">
        <v>3</v>
      </c>
      <c r="M998" s="2" t="s">
        <v>4</v>
      </c>
      <c r="N998" s="5">
        <f>IF(ISBLANK('Raw sheet'!L998),AVERAGE('Raw sheet'!$L$2:'Raw sheet'!$L$1500),'Raw sheet'!L998)</f>
        <v>5.7</v>
      </c>
      <c r="O998" s="5" t="str">
        <f>IF(Table1[[#This Row],[Stress_Index]]&gt;=8,"High",IF(N998&gt;=5,"Medium","Low"))</f>
        <v>Medium</v>
      </c>
      <c r="P998" s="3">
        <v>0.98</v>
      </c>
      <c r="Q998" s="2">
        <v>1.02</v>
      </c>
      <c r="R998" s="3">
        <v>1.02</v>
      </c>
      <c r="S998" s="3" t="str">
        <f>IF(Table1[[#This Row],[CGPA]]&gt;=3,"High",IF(R997&gt;=2,"Medium","Low"))</f>
        <v>Medium</v>
      </c>
      <c r="T998" s="2" t="s">
        <v>2</v>
      </c>
      <c r="U998" s="2" t="s">
        <v>8</v>
      </c>
      <c r="V998" s="2" t="s">
        <v>9</v>
      </c>
      <c r="W998" s="7">
        <v>0</v>
      </c>
      <c r="X998" t="str">
        <f t="shared" si="31"/>
        <v>Active</v>
      </c>
    </row>
    <row r="999" spans="1:24" x14ac:dyDescent="0.3">
      <c r="A999" s="2">
        <v>998</v>
      </c>
      <c r="B999" s="7">
        <v>22.4</v>
      </c>
      <c r="C999" s="2" t="s">
        <v>11</v>
      </c>
      <c r="D999" s="7">
        <f>IF(ISBLANK('Raw sheet'!D999),AVERAGE('Raw sheet'!$D$2:'Raw sheet'!$D$1500),'Raw sheet'!D999)</f>
        <v>25000</v>
      </c>
      <c r="E999" s="7" t="str">
        <f>IF(Table1[[#This Row],[Family_Income]]&gt;=100000,"Upper",IF(D999&gt;=50000,"Middle","Lower"))</f>
        <v>Lower</v>
      </c>
      <c r="F999" s="2" t="s">
        <v>4</v>
      </c>
      <c r="G999" s="3">
        <f>IF(ISBLANK('Raw sheet'!F999),AVERAGE('Raw sheet'!$F$2:'Raw sheet'!$F$1500),'Raw sheet'!F999)</f>
        <v>4.2</v>
      </c>
      <c r="H999" s="18">
        <v>83.5</v>
      </c>
      <c r="I999" s="9" t="str">
        <f t="shared" si="30"/>
        <v>Good</v>
      </c>
      <c r="J999" s="2">
        <v>0</v>
      </c>
      <c r="K999" s="2">
        <v>31</v>
      </c>
      <c r="L999" s="2" t="s">
        <v>4</v>
      </c>
      <c r="M999" s="2" t="s">
        <v>3</v>
      </c>
      <c r="N999" s="5">
        <f>IF(ISBLANK('Raw sheet'!L999),AVERAGE('Raw sheet'!$L$2:'Raw sheet'!$L$1500),'Raw sheet'!L999)</f>
        <v>4.2</v>
      </c>
      <c r="O999" s="5" t="str">
        <f>IF(Table1[[#This Row],[Stress_Index]]&gt;=8,"High",IF(N999&gt;=5,"Medium","Low"))</f>
        <v>Low</v>
      </c>
      <c r="P999" s="3">
        <v>2.73</v>
      </c>
      <c r="Q999" s="2">
        <v>2.0699999999999998</v>
      </c>
      <c r="R999" s="3">
        <v>1.98</v>
      </c>
      <c r="S999" s="3" t="str">
        <f>IF(Table1[[#This Row],[CGPA]]&gt;=3,"High",IF(R998&gt;=2,"Medium","Low"))</f>
        <v>Low</v>
      </c>
      <c r="T999" s="2" t="s">
        <v>12</v>
      </c>
      <c r="U999" s="2" t="s">
        <v>1</v>
      </c>
      <c r="V999" s="2" t="s">
        <v>9</v>
      </c>
      <c r="W999" s="7">
        <v>0</v>
      </c>
      <c r="X999" t="str">
        <f t="shared" si="31"/>
        <v>Active</v>
      </c>
    </row>
    <row r="1000" spans="1:24" x14ac:dyDescent="0.3">
      <c r="A1000" s="2">
        <v>999</v>
      </c>
      <c r="B1000" s="7">
        <v>19.7</v>
      </c>
      <c r="C1000" s="2" t="s">
        <v>5</v>
      </c>
      <c r="D1000" s="7">
        <f>IF(ISBLANK('Raw sheet'!D1000),AVERAGE('Raw sheet'!$D$2:'Raw sheet'!$D$1500),'Raw sheet'!D1000)</f>
        <v>96416</v>
      </c>
      <c r="E1000" s="7" t="str">
        <f>IF(Table1[[#This Row],[Family_Income]]&gt;=100000,"Upper",IF(D1000&gt;=50000,"Middle","Lower"))</f>
        <v>Middle</v>
      </c>
      <c r="F1000" s="2" t="s">
        <v>4</v>
      </c>
      <c r="G1000" s="3">
        <f>IF(ISBLANK('Raw sheet'!F1000),AVERAGE('Raw sheet'!$F$2:'Raw sheet'!$F$1500),'Raw sheet'!F1000)</f>
        <v>3.46</v>
      </c>
      <c r="H1000" s="18">
        <v>71.7</v>
      </c>
      <c r="I1000" s="9" t="str">
        <f t="shared" si="30"/>
        <v>Low</v>
      </c>
      <c r="J1000" s="2">
        <v>0</v>
      </c>
      <c r="K1000" s="2">
        <v>32.299999999999997</v>
      </c>
      <c r="L1000" s="2" t="s">
        <v>3</v>
      </c>
      <c r="M1000" s="2" t="s">
        <v>4</v>
      </c>
      <c r="N1000" s="5">
        <f>IF(ISBLANK('Raw sheet'!L1000),AVERAGE('Raw sheet'!$L$2:'Raw sheet'!$L$1500),'Raw sheet'!L1000)</f>
        <v>3.7</v>
      </c>
      <c r="O1000" s="5" t="str">
        <f>IF(Table1[[#This Row],[Stress_Index]]&gt;=8,"High",IF(N1000&gt;=5,"Medium","Low"))</f>
        <v>Low</v>
      </c>
      <c r="P1000" s="3">
        <v>1.79</v>
      </c>
      <c r="Q1000" s="2">
        <v>1.98</v>
      </c>
      <c r="R1000" s="3">
        <v>1.91</v>
      </c>
      <c r="S1000" s="3" t="str">
        <f>IF(Table1[[#This Row],[CGPA]]&gt;=3,"High",IF(R999&gt;=2,"Medium","Low"))</f>
        <v>Low</v>
      </c>
      <c r="T1000" s="2" t="s">
        <v>7</v>
      </c>
      <c r="U1000" s="2" t="s">
        <v>13</v>
      </c>
      <c r="V1000" s="2" t="s">
        <v>15</v>
      </c>
      <c r="W1000" s="7">
        <v>0</v>
      </c>
      <c r="X1000" t="str">
        <f t="shared" si="31"/>
        <v>Active</v>
      </c>
    </row>
    <row r="1001" spans="1:24" x14ac:dyDescent="0.3">
      <c r="A1001" s="2">
        <v>1000</v>
      </c>
      <c r="B1001" s="7">
        <v>22.3</v>
      </c>
      <c r="C1001" s="2" t="s">
        <v>5</v>
      </c>
      <c r="D1001" s="7">
        <f>IF(ISBLANK('Raw sheet'!D1001),AVERAGE('Raw sheet'!$D$2:'Raw sheet'!$D$1500),'Raw sheet'!D1001)</f>
        <v>147753</v>
      </c>
      <c r="E1001" s="7" t="str">
        <f>IF(Table1[[#This Row],[Family_Income]]&gt;=100000,"Upper",IF(D1001&gt;=50000,"Middle","Lower"))</f>
        <v>Upper</v>
      </c>
      <c r="F1001" s="2" t="s">
        <v>4</v>
      </c>
      <c r="G1001" s="3">
        <f>IF(ISBLANK('Raw sheet'!F1001),AVERAGE('Raw sheet'!$F$2:'Raw sheet'!$F$1500),'Raw sheet'!F1001)</f>
        <v>4.6399999999999997</v>
      </c>
      <c r="H1001" s="18">
        <v>79.2</v>
      </c>
      <c r="I1001" s="9" t="str">
        <f t="shared" si="30"/>
        <v>Good</v>
      </c>
      <c r="J1001" s="2">
        <v>2</v>
      </c>
      <c r="K1001" s="2">
        <v>26.1</v>
      </c>
      <c r="L1001" s="2" t="s">
        <v>3</v>
      </c>
      <c r="M1001" s="2" t="s">
        <v>3</v>
      </c>
      <c r="N1001" s="5">
        <f>IF(ISBLANK('Raw sheet'!L1001),AVERAGE('Raw sheet'!$L$2:'Raw sheet'!$L$1500),'Raw sheet'!L1001)</f>
        <v>5.3</v>
      </c>
      <c r="O1001" s="5" t="str">
        <f>IF(Table1[[#This Row],[Stress_Index]]&gt;=8,"High",IF(N1001&gt;=5,"Medium","Low"))</f>
        <v>Medium</v>
      </c>
      <c r="P1001" s="3">
        <v>0</v>
      </c>
      <c r="Q1001" s="2">
        <v>0</v>
      </c>
      <c r="R1001" s="3">
        <v>0</v>
      </c>
      <c r="S1001" s="3" t="str">
        <f>IF(Table1[[#This Row],[CGPA]]&gt;=3,"High",IF(R1000&gt;=2,"Medium","Low"))</f>
        <v>Low</v>
      </c>
      <c r="T1001" s="2" t="s">
        <v>2</v>
      </c>
      <c r="U1001" s="2" t="s">
        <v>1</v>
      </c>
      <c r="V1001" s="2" t="s">
        <v>15</v>
      </c>
      <c r="W1001" s="7">
        <v>1</v>
      </c>
      <c r="X1001" t="str">
        <f t="shared" si="31"/>
        <v>Dropped Out</v>
      </c>
    </row>
    <row r="1002" spans="1:24" x14ac:dyDescent="0.3">
      <c r="A1002" s="2">
        <v>1001</v>
      </c>
      <c r="B1002" s="7">
        <v>24.1</v>
      </c>
      <c r="C1002" s="2" t="s">
        <v>11</v>
      </c>
      <c r="D1002" s="7">
        <f>IF(ISBLANK('Raw sheet'!D1002),AVERAGE('Raw sheet'!$D$2:'Raw sheet'!$D$1500),'Raw sheet'!D1002)</f>
        <v>75933</v>
      </c>
      <c r="E1002" s="7" t="str">
        <f>IF(Table1[[#This Row],[Family_Income]]&gt;=100000,"Upper",IF(D1002&gt;=50000,"Middle","Lower"))</f>
        <v>Middle</v>
      </c>
      <c r="F1002" s="2" t="s">
        <v>3</v>
      </c>
      <c r="G1002" s="3">
        <f>IF(ISBLANK('Raw sheet'!F1002),AVERAGE('Raw sheet'!$F$2:'Raw sheet'!$F$1500),'Raw sheet'!F1002)</f>
        <v>2.38</v>
      </c>
      <c r="H1002" s="18">
        <v>85.5</v>
      </c>
      <c r="I1002" s="9" t="str">
        <f t="shared" si="30"/>
        <v>Good</v>
      </c>
      <c r="J1002" s="2">
        <v>3</v>
      </c>
      <c r="K1002" s="2">
        <v>27.6</v>
      </c>
      <c r="L1002" s="2" t="s">
        <v>3</v>
      </c>
      <c r="M1002" s="2" t="s">
        <v>4</v>
      </c>
      <c r="N1002" s="5">
        <f>IF(ISBLANK('Raw sheet'!L1002),AVERAGE('Raw sheet'!$L$2:'Raw sheet'!$L$1500),'Raw sheet'!L1002)</f>
        <v>6.9</v>
      </c>
      <c r="O1002" s="5" t="str">
        <f>IF(Table1[[#This Row],[Stress_Index]]&gt;=8,"High",IF(N1002&gt;=5,"Medium","Low"))</f>
        <v>Medium</v>
      </c>
      <c r="P1002" s="3">
        <v>3.51</v>
      </c>
      <c r="Q1002" s="2">
        <v>3.62</v>
      </c>
      <c r="R1002" s="3">
        <v>3.58</v>
      </c>
      <c r="S1002" s="3" t="str">
        <f>IF(Table1[[#This Row],[CGPA]]&gt;=3,"High",IF(R1001&gt;=2,"Medium","Low"))</f>
        <v>High</v>
      </c>
      <c r="T1002" s="2" t="s">
        <v>7</v>
      </c>
      <c r="U1002" s="2" t="s">
        <v>1</v>
      </c>
      <c r="V1002" s="2" t="s">
        <v>15</v>
      </c>
      <c r="W1002" s="7">
        <v>0</v>
      </c>
      <c r="X1002" t="str">
        <f t="shared" si="31"/>
        <v>Active</v>
      </c>
    </row>
    <row r="1003" spans="1:24" x14ac:dyDescent="0.3">
      <c r="A1003" s="2">
        <v>1002</v>
      </c>
      <c r="B1003" s="7">
        <v>23</v>
      </c>
      <c r="C1003" s="2" t="s">
        <v>11</v>
      </c>
      <c r="D1003" s="7">
        <f>IF(ISBLANK('Raw sheet'!D1003),AVERAGE('Raw sheet'!$D$2:'Raw sheet'!$D$1500),'Raw sheet'!D1003)</f>
        <v>39614</v>
      </c>
      <c r="E1003" s="7" t="str">
        <f>IF(Table1[[#This Row],[Family_Income]]&gt;=100000,"Upper",IF(D1003&gt;=50000,"Middle","Lower"))</f>
        <v>Lower</v>
      </c>
      <c r="F1003" s="2" t="s">
        <v>4</v>
      </c>
      <c r="G1003" s="3">
        <f>IF(ISBLANK('Raw sheet'!F1003),AVERAGE('Raw sheet'!$F$2:'Raw sheet'!$F$1500),'Raw sheet'!F1003)</f>
        <v>4.41</v>
      </c>
      <c r="H1003" s="18">
        <v>77.8</v>
      </c>
      <c r="I1003" s="9" t="str">
        <f t="shared" si="30"/>
        <v>Good</v>
      </c>
      <c r="J1003" s="2">
        <v>1</v>
      </c>
      <c r="K1003" s="2">
        <v>28.2</v>
      </c>
      <c r="L1003" s="2" t="s">
        <v>3</v>
      </c>
      <c r="M1003" s="2" t="s">
        <v>3</v>
      </c>
      <c r="N1003" s="5">
        <f>IF(ISBLANK('Raw sheet'!L1003),AVERAGE('Raw sheet'!$L$2:'Raw sheet'!$L$1500),'Raw sheet'!L1003)</f>
        <v>5</v>
      </c>
      <c r="O1003" s="5" t="str">
        <f>IF(Table1[[#This Row],[Stress_Index]]&gt;=8,"High",IF(N1003&gt;=5,"Medium","Low"))</f>
        <v>Medium</v>
      </c>
      <c r="P1003" s="3">
        <v>2.4900000000000002</v>
      </c>
      <c r="Q1003" s="2">
        <v>2.81</v>
      </c>
      <c r="R1003" s="3">
        <v>2.78</v>
      </c>
      <c r="S1003" s="3" t="str">
        <f>IF(Table1[[#This Row],[CGPA]]&gt;=3,"High",IF(R1002&gt;=2,"Medium","Low"))</f>
        <v>Medium</v>
      </c>
      <c r="T1003" s="2" t="s">
        <v>12</v>
      </c>
      <c r="U1003" s="2" t="s">
        <v>6</v>
      </c>
      <c r="V1003" s="2" t="s">
        <v>9</v>
      </c>
      <c r="W1003" s="7">
        <v>1</v>
      </c>
      <c r="X1003" t="str">
        <f t="shared" si="31"/>
        <v>Dropped Out</v>
      </c>
    </row>
    <row r="1004" spans="1:24" x14ac:dyDescent="0.3">
      <c r="A1004" s="2">
        <v>1003</v>
      </c>
      <c r="B1004" s="7">
        <v>21.1</v>
      </c>
      <c r="C1004" s="2" t="s">
        <v>5</v>
      </c>
      <c r="D1004" s="7">
        <f>IF(ISBLANK('Raw sheet'!D1004),AVERAGE('Raw sheet'!$D$2:'Raw sheet'!$D$1500),'Raw sheet'!D1004)</f>
        <v>25000</v>
      </c>
      <c r="E1004" s="7" t="str">
        <f>IF(Table1[[#This Row],[Family_Income]]&gt;=100000,"Upper",IF(D1004&gt;=50000,"Middle","Lower"))</f>
        <v>Lower</v>
      </c>
      <c r="F1004" s="2" t="s">
        <v>4</v>
      </c>
      <c r="G1004" s="3">
        <f>IF(ISBLANK('Raw sheet'!F1004),AVERAGE('Raw sheet'!$F$2:'Raw sheet'!$F$1500),'Raw sheet'!F1004)</f>
        <v>4.63</v>
      </c>
      <c r="H1004" s="18">
        <v>74.900000000000006</v>
      </c>
      <c r="I1004" s="9" t="str">
        <f t="shared" si="30"/>
        <v>Low</v>
      </c>
      <c r="J1004" s="2">
        <v>2</v>
      </c>
      <c r="K1004" s="2">
        <v>47.1</v>
      </c>
      <c r="L1004" s="2" t="s">
        <v>3</v>
      </c>
      <c r="M1004" s="2" t="s">
        <v>3</v>
      </c>
      <c r="N1004" s="5">
        <f>IF(ISBLANK('Raw sheet'!L1004),AVERAGE('Raw sheet'!$L$2:'Raw sheet'!$L$1500),'Raw sheet'!L1004)</f>
        <v>7</v>
      </c>
      <c r="O1004" s="5" t="str">
        <f>IF(Table1[[#This Row],[Stress_Index]]&gt;=8,"High",IF(N1004&gt;=5,"Medium","Low"))</f>
        <v>Medium</v>
      </c>
      <c r="P1004" s="3">
        <v>2.87</v>
      </c>
      <c r="Q1004" s="2">
        <v>3.39</v>
      </c>
      <c r="R1004" s="3">
        <v>3.41</v>
      </c>
      <c r="S1004" s="3" t="str">
        <f>IF(Table1[[#This Row],[CGPA]]&gt;=3,"High",IF(R1003&gt;=2,"Medium","Low"))</f>
        <v>High</v>
      </c>
      <c r="T1004" s="2" t="s">
        <v>10</v>
      </c>
      <c r="U1004" s="2" t="s">
        <v>6</v>
      </c>
      <c r="V1004" s="2" t="s">
        <v>9</v>
      </c>
      <c r="W1004" s="7">
        <v>0</v>
      </c>
      <c r="X1004" t="str">
        <f t="shared" si="31"/>
        <v>Active</v>
      </c>
    </row>
    <row r="1005" spans="1:24" x14ac:dyDescent="0.3">
      <c r="A1005" s="2">
        <v>1004</v>
      </c>
      <c r="B1005" s="7">
        <v>19.600000000000001</v>
      </c>
      <c r="C1005" s="2" t="s">
        <v>5</v>
      </c>
      <c r="D1005" s="7">
        <f>IF(ISBLANK('Raw sheet'!D1005),AVERAGE('Raw sheet'!$D$2:'Raw sheet'!$D$1500),'Raw sheet'!D1005)</f>
        <v>25000</v>
      </c>
      <c r="E1005" s="7" t="str">
        <f>IF(Table1[[#This Row],[Family_Income]]&gt;=100000,"Upper",IF(D1005&gt;=50000,"Middle","Lower"))</f>
        <v>Lower</v>
      </c>
      <c r="F1005" s="2" t="s">
        <v>4</v>
      </c>
      <c r="G1005" s="3">
        <f>IF(ISBLANK('Raw sheet'!F1005),AVERAGE('Raw sheet'!$F$2:'Raw sheet'!$F$1500),'Raw sheet'!F1005)</f>
        <v>4.8899999999999997</v>
      </c>
      <c r="H1005" s="18">
        <v>81.7</v>
      </c>
      <c r="I1005" s="9" t="str">
        <f t="shared" si="30"/>
        <v>Good</v>
      </c>
      <c r="J1005" s="2">
        <v>2</v>
      </c>
      <c r="K1005" s="2">
        <v>8.4</v>
      </c>
      <c r="L1005" s="2" t="s">
        <v>3</v>
      </c>
      <c r="M1005" s="2" t="s">
        <v>3</v>
      </c>
      <c r="N1005" s="5">
        <f>IF(ISBLANK('Raw sheet'!L1005),AVERAGE('Raw sheet'!$L$2:'Raw sheet'!$L$1500),'Raw sheet'!L1005)</f>
        <v>8</v>
      </c>
      <c r="O1005" s="5" t="str">
        <f>IF(Table1[[#This Row],[Stress_Index]]&gt;=8,"High",IF(N1005&gt;=5,"Medium","Low"))</f>
        <v>High</v>
      </c>
      <c r="P1005" s="3">
        <v>2.5499999999999998</v>
      </c>
      <c r="Q1005" s="2">
        <v>2.42</v>
      </c>
      <c r="R1005" s="3">
        <v>2.42</v>
      </c>
      <c r="S1005" s="3" t="str">
        <f>IF(Table1[[#This Row],[CGPA]]&gt;=3,"High",IF(R1004&gt;=2,"Medium","Low"))</f>
        <v>Medium</v>
      </c>
      <c r="T1005" s="2" t="s">
        <v>12</v>
      </c>
      <c r="U1005" s="2" t="s">
        <v>13</v>
      </c>
      <c r="V1005" s="2" t="s">
        <v>9</v>
      </c>
      <c r="W1005" s="7">
        <v>0</v>
      </c>
      <c r="X1005" t="str">
        <f t="shared" si="31"/>
        <v>Active</v>
      </c>
    </row>
    <row r="1006" spans="1:24" x14ac:dyDescent="0.3">
      <c r="A1006" s="2">
        <v>1005</v>
      </c>
      <c r="B1006" s="7">
        <v>22.5</v>
      </c>
      <c r="C1006" s="2" t="s">
        <v>5</v>
      </c>
      <c r="D1006" s="7">
        <f>IF(ISBLANK('Raw sheet'!D1006),AVERAGE('Raw sheet'!$D$2:'Raw sheet'!$D$1500),'Raw sheet'!D1006)</f>
        <v>25000</v>
      </c>
      <c r="E1006" s="7" t="str">
        <f>IF(Table1[[#This Row],[Family_Income]]&gt;=100000,"Upper",IF(D1006&gt;=50000,"Middle","Lower"))</f>
        <v>Lower</v>
      </c>
      <c r="F1006" s="2" t="s">
        <v>4</v>
      </c>
      <c r="G1006" s="3">
        <f>IF(ISBLANK('Raw sheet'!F1006),AVERAGE('Raw sheet'!$F$2:'Raw sheet'!$F$1500),'Raw sheet'!F1006)</f>
        <v>3.32</v>
      </c>
      <c r="H1006" s="18">
        <v>78.2</v>
      </c>
      <c r="I1006" s="9" t="str">
        <f t="shared" si="30"/>
        <v>Good</v>
      </c>
      <c r="J1006" s="2">
        <v>1</v>
      </c>
      <c r="K1006" s="2">
        <v>35.4</v>
      </c>
      <c r="L1006" s="2" t="s">
        <v>3</v>
      </c>
      <c r="M1006" s="2" t="s">
        <v>3</v>
      </c>
      <c r="N1006" s="5">
        <f>IF(ISBLANK('Raw sheet'!L1006),AVERAGE('Raw sheet'!$L$2:'Raw sheet'!$L$1500),'Raw sheet'!L1006)</f>
        <v>4</v>
      </c>
      <c r="O1006" s="5" t="str">
        <f>IF(Table1[[#This Row],[Stress_Index]]&gt;=8,"High",IF(N1006&gt;=5,"Medium","Low"))</f>
        <v>Low</v>
      </c>
      <c r="P1006" s="3">
        <v>2.94</v>
      </c>
      <c r="Q1006" s="2">
        <v>2.96</v>
      </c>
      <c r="R1006" s="3">
        <v>2.96</v>
      </c>
      <c r="S1006" s="3" t="str">
        <f>IF(Table1[[#This Row],[CGPA]]&gt;=3,"High",IF(R1005&gt;=2,"Medium","Low"))</f>
        <v>Medium</v>
      </c>
      <c r="T1006" s="2" t="s">
        <v>2</v>
      </c>
      <c r="U1006" s="2" t="s">
        <v>6</v>
      </c>
      <c r="V1006" s="2" t="s">
        <v>15</v>
      </c>
      <c r="W1006" s="7">
        <v>0</v>
      </c>
      <c r="X1006" t="str">
        <f t="shared" si="31"/>
        <v>Active</v>
      </c>
    </row>
    <row r="1007" spans="1:24" x14ac:dyDescent="0.3">
      <c r="A1007" s="2">
        <v>1006</v>
      </c>
      <c r="B1007" s="7">
        <v>21.9</v>
      </c>
      <c r="C1007" s="2" t="s">
        <v>5</v>
      </c>
      <c r="D1007" s="7">
        <f>IF(ISBLANK('Raw sheet'!D1007),AVERAGE('Raw sheet'!$D$2:'Raw sheet'!$D$1500),'Raw sheet'!D1007)</f>
        <v>25000</v>
      </c>
      <c r="E1007" s="7" t="str">
        <f>IF(Table1[[#This Row],[Family_Income]]&gt;=100000,"Upper",IF(D1007&gt;=50000,"Middle","Lower"))</f>
        <v>Lower</v>
      </c>
      <c r="F1007" s="2" t="s">
        <v>4</v>
      </c>
      <c r="G1007" s="3">
        <f>IF(ISBLANK('Raw sheet'!F1007),AVERAGE('Raw sheet'!$F$2:'Raw sheet'!$F$1500),'Raw sheet'!F1007)</f>
        <v>5.88</v>
      </c>
      <c r="H1007" s="18">
        <v>71.400000000000006</v>
      </c>
      <c r="I1007" s="9" t="str">
        <f t="shared" si="30"/>
        <v>Low</v>
      </c>
      <c r="J1007" s="2">
        <v>2</v>
      </c>
      <c r="K1007" s="2">
        <v>43.1</v>
      </c>
      <c r="L1007" s="2" t="s">
        <v>4</v>
      </c>
      <c r="M1007" s="2" t="s">
        <v>3</v>
      </c>
      <c r="N1007" s="5">
        <f>IF(ISBLANK('Raw sheet'!L1007),AVERAGE('Raw sheet'!$L$2:'Raw sheet'!$L$1500),'Raw sheet'!L1007)</f>
        <v>3.5</v>
      </c>
      <c r="O1007" s="5" t="str">
        <f>IF(Table1[[#This Row],[Stress_Index]]&gt;=8,"High",IF(N1007&gt;=5,"Medium","Low"))</f>
        <v>Low</v>
      </c>
      <c r="P1007" s="3">
        <v>1.1000000000000001</v>
      </c>
      <c r="Q1007" s="2">
        <v>1.32</v>
      </c>
      <c r="R1007" s="3">
        <v>1.37</v>
      </c>
      <c r="S1007" s="3" t="str">
        <f>IF(Table1[[#This Row],[CGPA]]&gt;=3,"High",IF(R1006&gt;=2,"Medium","Low"))</f>
        <v>Medium</v>
      </c>
      <c r="T1007" s="2" t="s">
        <v>12</v>
      </c>
      <c r="U1007" s="2" t="s">
        <v>8</v>
      </c>
      <c r="V1007" s="2" t="s">
        <v>15</v>
      </c>
      <c r="W1007" s="7">
        <v>0</v>
      </c>
      <c r="X1007" t="str">
        <f t="shared" si="31"/>
        <v>Active</v>
      </c>
    </row>
    <row r="1008" spans="1:24" x14ac:dyDescent="0.3">
      <c r="A1008" s="2">
        <v>1007</v>
      </c>
      <c r="B1008" s="7">
        <v>23</v>
      </c>
      <c r="C1008" s="2" t="s">
        <v>11</v>
      </c>
      <c r="D1008" s="7">
        <f>IF(ISBLANK('Raw sheet'!D1008),AVERAGE('Raw sheet'!$D$2:'Raw sheet'!$D$1500),'Raw sheet'!D1008)</f>
        <v>108088</v>
      </c>
      <c r="E1008" s="7" t="str">
        <f>IF(Table1[[#This Row],[Family_Income]]&gt;=100000,"Upper",IF(D1008&gt;=50000,"Middle","Lower"))</f>
        <v>Upper</v>
      </c>
      <c r="F1008" s="2" t="s">
        <v>4</v>
      </c>
      <c r="G1008" s="3">
        <f>IF(ISBLANK('Raw sheet'!F1008),AVERAGE('Raw sheet'!$F$2:'Raw sheet'!$F$1500),'Raw sheet'!F1008)</f>
        <v>1.27</v>
      </c>
      <c r="H1008" s="18">
        <v>71.599999999999994</v>
      </c>
      <c r="I1008" s="9" t="str">
        <f t="shared" si="30"/>
        <v>Low</v>
      </c>
      <c r="J1008" s="2">
        <v>2</v>
      </c>
      <c r="K1008" s="2">
        <v>7.9</v>
      </c>
      <c r="L1008" s="2" t="s">
        <v>3</v>
      </c>
      <c r="M1008" s="2" t="s">
        <v>4</v>
      </c>
      <c r="N1008" s="5">
        <f>IF(ISBLANK('Raw sheet'!L1008),AVERAGE('Raw sheet'!$L$2:'Raw sheet'!$L$1500),'Raw sheet'!L1008)</f>
        <v>7.2</v>
      </c>
      <c r="O1008" s="5" t="str">
        <f>IF(Table1[[#This Row],[Stress_Index]]&gt;=8,"High",IF(N1008&gt;=5,"Medium","Low"))</f>
        <v>Medium</v>
      </c>
      <c r="P1008" s="3">
        <v>2.41</v>
      </c>
      <c r="Q1008" s="2">
        <v>2.19</v>
      </c>
      <c r="R1008" s="3">
        <v>2.19</v>
      </c>
      <c r="S1008" s="3" t="str">
        <f>IF(Table1[[#This Row],[CGPA]]&gt;=3,"High",IF(R1007&gt;=2,"Medium","Low"))</f>
        <v>Low</v>
      </c>
      <c r="T1008" s="2" t="s">
        <v>2</v>
      </c>
      <c r="U1008" s="2" t="s">
        <v>6</v>
      </c>
      <c r="V1008" s="2" t="s">
        <v>9</v>
      </c>
      <c r="W1008" s="7">
        <v>0</v>
      </c>
      <c r="X1008" t="str">
        <f t="shared" si="31"/>
        <v>Active</v>
      </c>
    </row>
    <row r="1009" spans="1:24" x14ac:dyDescent="0.3">
      <c r="A1009" s="2">
        <v>1008</v>
      </c>
      <c r="B1009" s="7">
        <v>22.4</v>
      </c>
      <c r="C1009" s="2" t="s">
        <v>11</v>
      </c>
      <c r="D1009" s="7">
        <f>IF(ISBLANK('Raw sheet'!D1009),AVERAGE('Raw sheet'!$D$2:'Raw sheet'!$D$1500),'Raw sheet'!D1009)</f>
        <v>87884</v>
      </c>
      <c r="E1009" s="7" t="str">
        <f>IF(Table1[[#This Row],[Family_Income]]&gt;=100000,"Upper",IF(D1009&gt;=50000,"Middle","Lower"))</f>
        <v>Middle</v>
      </c>
      <c r="F1009" s="2" t="s">
        <v>4</v>
      </c>
      <c r="G1009" s="3">
        <f>IF(ISBLANK('Raw sheet'!F1009),AVERAGE('Raw sheet'!$F$2:'Raw sheet'!$F$1500),'Raw sheet'!F1009)</f>
        <v>3.14</v>
      </c>
      <c r="H1009" s="18">
        <v>85.3</v>
      </c>
      <c r="I1009" s="9" t="str">
        <f t="shared" si="30"/>
        <v>Good</v>
      </c>
      <c r="J1009" s="2">
        <v>2</v>
      </c>
      <c r="K1009" s="2">
        <v>29.1</v>
      </c>
      <c r="L1009" s="2" t="s">
        <v>4</v>
      </c>
      <c r="M1009" s="2" t="s">
        <v>4</v>
      </c>
      <c r="N1009" s="5">
        <f>IF(ISBLANK('Raw sheet'!L1009),AVERAGE('Raw sheet'!$L$2:'Raw sheet'!$L$1500),'Raw sheet'!L1009)</f>
        <v>6</v>
      </c>
      <c r="O1009" s="5" t="str">
        <f>IF(Table1[[#This Row],[Stress_Index]]&gt;=8,"High",IF(N1009&gt;=5,"Medium","Low"))</f>
        <v>Medium</v>
      </c>
      <c r="P1009" s="3">
        <v>3.36</v>
      </c>
      <c r="Q1009" s="2">
        <v>2.86</v>
      </c>
      <c r="R1009" s="3">
        <v>2.8</v>
      </c>
      <c r="S1009" s="3" t="str">
        <f>IF(Table1[[#This Row],[CGPA]]&gt;=3,"High",IF(R1008&gt;=2,"Medium","Low"))</f>
        <v>Medium</v>
      </c>
      <c r="T1009" s="2" t="s">
        <v>10</v>
      </c>
      <c r="U1009" s="2" t="s">
        <v>13</v>
      </c>
      <c r="V1009" s="2" t="s">
        <v>9</v>
      </c>
      <c r="W1009" s="7">
        <v>0</v>
      </c>
      <c r="X1009" t="str">
        <f t="shared" si="31"/>
        <v>Active</v>
      </c>
    </row>
    <row r="1010" spans="1:24" x14ac:dyDescent="0.3">
      <c r="A1010" s="2">
        <v>1009</v>
      </c>
      <c r="B1010" s="7">
        <v>23.3</v>
      </c>
      <c r="C1010" s="2" t="s">
        <v>5</v>
      </c>
      <c r="D1010" s="7">
        <f>IF(ISBLANK('Raw sheet'!D1010),AVERAGE('Raw sheet'!$D$2:'Raw sheet'!$D$1500),'Raw sheet'!D1010)</f>
        <v>46526</v>
      </c>
      <c r="E1010" s="7" t="str">
        <f>IF(Table1[[#This Row],[Family_Income]]&gt;=100000,"Upper",IF(D1010&gt;=50000,"Middle","Lower"))</f>
        <v>Lower</v>
      </c>
      <c r="F1010" s="2" t="s">
        <v>4</v>
      </c>
      <c r="G1010" s="3">
        <f>IF(ISBLANK('Raw sheet'!F1010),AVERAGE('Raw sheet'!$F$2:'Raw sheet'!$F$1500),'Raw sheet'!F1010)</f>
        <v>7.18</v>
      </c>
      <c r="H1010" s="18">
        <v>82.7</v>
      </c>
      <c r="I1010" s="9" t="str">
        <f t="shared" si="30"/>
        <v>Good</v>
      </c>
      <c r="J1010" s="2">
        <v>2</v>
      </c>
      <c r="K1010" s="2">
        <v>41.8</v>
      </c>
      <c r="L1010" s="2" t="s">
        <v>4</v>
      </c>
      <c r="M1010" s="2" t="s">
        <v>4</v>
      </c>
      <c r="N1010" s="5">
        <f>IF(ISBLANK('Raw sheet'!L1010),AVERAGE('Raw sheet'!$L$2:'Raw sheet'!$L$1500),'Raw sheet'!L1010)</f>
        <v>6.1</v>
      </c>
      <c r="O1010" s="5" t="str">
        <f>IF(Table1[[#This Row],[Stress_Index]]&gt;=8,"High",IF(N1010&gt;=5,"Medium","Low"))</f>
        <v>Medium</v>
      </c>
      <c r="P1010" s="3">
        <v>1.02</v>
      </c>
      <c r="Q1010" s="2">
        <v>0.55000000000000004</v>
      </c>
      <c r="R1010" s="3">
        <v>0.56999999999999995</v>
      </c>
      <c r="S1010" s="3" t="str">
        <f>IF(Table1[[#This Row],[CGPA]]&gt;=3,"High",IF(R1009&gt;=2,"Medium","Low"))</f>
        <v>Medium</v>
      </c>
      <c r="T1010" s="2" t="s">
        <v>12</v>
      </c>
      <c r="U1010" s="2" t="s">
        <v>6</v>
      </c>
      <c r="V1010" s="2" t="s">
        <v>15</v>
      </c>
      <c r="W1010" s="7">
        <v>0</v>
      </c>
      <c r="X1010" t="str">
        <f t="shared" si="31"/>
        <v>Active</v>
      </c>
    </row>
    <row r="1011" spans="1:24" x14ac:dyDescent="0.3">
      <c r="A1011" s="2">
        <v>1010</v>
      </c>
      <c r="B1011" s="7">
        <v>19.8</v>
      </c>
      <c r="C1011" s="2" t="s">
        <v>11</v>
      </c>
      <c r="D1011" s="7">
        <f>IF(ISBLANK('Raw sheet'!D1011),AVERAGE('Raw sheet'!$D$2:'Raw sheet'!$D$1500),'Raw sheet'!D1011)</f>
        <v>25000</v>
      </c>
      <c r="E1011" s="7" t="str">
        <f>IF(Table1[[#This Row],[Family_Income]]&gt;=100000,"Upper",IF(D1011&gt;=50000,"Middle","Lower"))</f>
        <v>Lower</v>
      </c>
      <c r="F1011" s="2" t="s">
        <v>4</v>
      </c>
      <c r="G1011" s="3">
        <f>IF(ISBLANK('Raw sheet'!F1011),AVERAGE('Raw sheet'!$F$2:'Raw sheet'!$F$1500),'Raw sheet'!F1011)</f>
        <v>4.04</v>
      </c>
      <c r="H1011" s="18">
        <v>84.5</v>
      </c>
      <c r="I1011" s="9" t="str">
        <f t="shared" si="30"/>
        <v>Good</v>
      </c>
      <c r="J1011" s="2">
        <v>1</v>
      </c>
      <c r="K1011" s="2">
        <v>21</v>
      </c>
      <c r="L1011" s="2" t="s">
        <v>3</v>
      </c>
      <c r="M1011" s="2" t="s">
        <v>3</v>
      </c>
      <c r="N1011" s="5">
        <f>IF(ISBLANK('Raw sheet'!L1011),AVERAGE('Raw sheet'!$L$2:'Raw sheet'!$L$1500),'Raw sheet'!L1011)</f>
        <v>6.8</v>
      </c>
      <c r="O1011" s="5" t="str">
        <f>IF(Table1[[#This Row],[Stress_Index]]&gt;=8,"High",IF(N1011&gt;=5,"Medium","Low"))</f>
        <v>Medium</v>
      </c>
      <c r="P1011" s="3">
        <v>2.35</v>
      </c>
      <c r="Q1011" s="2">
        <v>2.29</v>
      </c>
      <c r="R1011" s="3">
        <v>2.2999999999999998</v>
      </c>
      <c r="S1011" s="3" t="str">
        <f>IF(Table1[[#This Row],[CGPA]]&gt;=3,"High",IF(R1010&gt;=2,"Medium","Low"))</f>
        <v>Low</v>
      </c>
      <c r="T1011" s="2" t="s">
        <v>10</v>
      </c>
      <c r="U1011" s="2" t="s">
        <v>1</v>
      </c>
      <c r="V1011" s="2" t="s">
        <v>9</v>
      </c>
      <c r="W1011" s="7">
        <v>0</v>
      </c>
      <c r="X1011" t="str">
        <f t="shared" si="31"/>
        <v>Active</v>
      </c>
    </row>
    <row r="1012" spans="1:24" x14ac:dyDescent="0.3">
      <c r="A1012" s="2">
        <v>1011</v>
      </c>
      <c r="B1012" s="7">
        <v>23.9</v>
      </c>
      <c r="C1012" s="2" t="s">
        <v>5</v>
      </c>
      <c r="D1012" s="7">
        <f>IF(ISBLANK('Raw sheet'!D1012),AVERAGE('Raw sheet'!$D$2:'Raw sheet'!$D$1500),'Raw sheet'!D1012)</f>
        <v>50809</v>
      </c>
      <c r="E1012" s="7" t="str">
        <f>IF(Table1[[#This Row],[Family_Income]]&gt;=100000,"Upper",IF(D1012&gt;=50000,"Middle","Lower"))</f>
        <v>Middle</v>
      </c>
      <c r="F1012" s="2" t="s">
        <v>4</v>
      </c>
      <c r="G1012" s="3">
        <f>IF(ISBLANK('Raw sheet'!F1012),AVERAGE('Raw sheet'!$F$2:'Raw sheet'!$F$1500),'Raw sheet'!F1012)</f>
        <v>5.46</v>
      </c>
      <c r="H1012" s="18">
        <v>79.599999999999994</v>
      </c>
      <c r="I1012" s="9" t="str">
        <f t="shared" si="30"/>
        <v>Good</v>
      </c>
      <c r="J1012" s="2">
        <v>5</v>
      </c>
      <c r="K1012" s="2">
        <v>33.200000000000003</v>
      </c>
      <c r="L1012" s="2" t="s">
        <v>3</v>
      </c>
      <c r="M1012" s="2" t="s">
        <v>4</v>
      </c>
      <c r="N1012" s="5">
        <f>IF(ISBLANK('Raw sheet'!L1012),AVERAGE('Raw sheet'!$L$2:'Raw sheet'!$L$1500),'Raw sheet'!L1012)</f>
        <v>2.8</v>
      </c>
      <c r="O1012" s="5" t="str">
        <f>IF(Table1[[#This Row],[Stress_Index]]&gt;=8,"High",IF(N1012&gt;=5,"Medium","Low"))</f>
        <v>Low</v>
      </c>
      <c r="P1012" s="3">
        <v>3.65</v>
      </c>
      <c r="Q1012" s="2">
        <v>3.68</v>
      </c>
      <c r="R1012" s="3">
        <v>3.68</v>
      </c>
      <c r="S1012" s="3" t="str">
        <f>IF(Table1[[#This Row],[CGPA]]&gt;=3,"High",IF(R1011&gt;=2,"Medium","Low"))</f>
        <v>High</v>
      </c>
      <c r="T1012" s="2" t="s">
        <v>12</v>
      </c>
      <c r="U1012" s="2" t="s">
        <v>14</v>
      </c>
      <c r="V1012" s="2" t="s">
        <v>15</v>
      </c>
      <c r="W1012" s="7">
        <v>0</v>
      </c>
      <c r="X1012" t="str">
        <f t="shared" si="31"/>
        <v>Active</v>
      </c>
    </row>
    <row r="1013" spans="1:24" x14ac:dyDescent="0.3">
      <c r="A1013" s="2">
        <v>1012</v>
      </c>
      <c r="B1013" s="7">
        <v>21.4</v>
      </c>
      <c r="C1013" s="2" t="s">
        <v>5</v>
      </c>
      <c r="D1013" s="7">
        <f>IF(ISBLANK('Raw sheet'!D1013),AVERAGE('Raw sheet'!$D$2:'Raw sheet'!$D$1500),'Raw sheet'!D1013)</f>
        <v>25766</v>
      </c>
      <c r="E1013" s="7" t="str">
        <f>IF(Table1[[#This Row],[Family_Income]]&gt;=100000,"Upper",IF(D1013&gt;=50000,"Middle","Lower"))</f>
        <v>Lower</v>
      </c>
      <c r="F1013" s="2" t="s">
        <v>3</v>
      </c>
      <c r="G1013" s="3">
        <f>IF(ISBLANK('Raw sheet'!F1013),AVERAGE('Raw sheet'!$F$2:'Raw sheet'!$F$1500),'Raw sheet'!F1013)</f>
        <v>4.25</v>
      </c>
      <c r="H1013" s="18">
        <v>69.900000000000006</v>
      </c>
      <c r="I1013" s="9" t="str">
        <f t="shared" si="30"/>
        <v>Low</v>
      </c>
      <c r="J1013" s="2">
        <v>1</v>
      </c>
      <c r="K1013" s="2">
        <v>18.8</v>
      </c>
      <c r="L1013" s="2" t="s">
        <v>3</v>
      </c>
      <c r="M1013" s="2" t="s">
        <v>3</v>
      </c>
      <c r="N1013" s="5">
        <f>IF(ISBLANK('Raw sheet'!L1013),AVERAGE('Raw sheet'!$L$2:'Raw sheet'!$L$1500),'Raw sheet'!L1013)</f>
        <v>6.3</v>
      </c>
      <c r="O1013" s="5" t="str">
        <f>IF(Table1[[#This Row],[Stress_Index]]&gt;=8,"High",IF(N1013&gt;=5,"Medium","Low"))</f>
        <v>Medium</v>
      </c>
      <c r="P1013" s="3">
        <v>2.74</v>
      </c>
      <c r="Q1013" s="2">
        <v>2.4</v>
      </c>
      <c r="R1013" s="3">
        <v>2.4300000000000002</v>
      </c>
      <c r="S1013" s="3" t="str">
        <f>IF(Table1[[#This Row],[CGPA]]&gt;=3,"High",IF(R1012&gt;=2,"Medium","Low"))</f>
        <v>Medium</v>
      </c>
      <c r="T1013" s="2" t="s">
        <v>12</v>
      </c>
      <c r="U1013" s="2" t="s">
        <v>8</v>
      </c>
      <c r="V1013" s="2" t="s">
        <v>15</v>
      </c>
      <c r="W1013" s="7">
        <v>0</v>
      </c>
      <c r="X1013" t="str">
        <f t="shared" si="31"/>
        <v>Active</v>
      </c>
    </row>
    <row r="1014" spans="1:24" x14ac:dyDescent="0.3">
      <c r="A1014" s="2">
        <v>1013</v>
      </c>
      <c r="B1014" s="7">
        <v>25.6</v>
      </c>
      <c r="C1014" s="2" t="s">
        <v>11</v>
      </c>
      <c r="D1014" s="7">
        <f>IF(ISBLANK('Raw sheet'!D1014),AVERAGE('Raw sheet'!$D$2:'Raw sheet'!$D$1500),'Raw sheet'!D1014)</f>
        <v>25000</v>
      </c>
      <c r="E1014" s="7" t="str">
        <f>IF(Table1[[#This Row],[Family_Income]]&gt;=100000,"Upper",IF(D1014&gt;=50000,"Middle","Lower"))</f>
        <v>Lower</v>
      </c>
      <c r="F1014" s="2" t="s">
        <v>4</v>
      </c>
      <c r="G1014" s="3">
        <f>IF(ISBLANK('Raw sheet'!F1014),AVERAGE('Raw sheet'!$F$2:'Raw sheet'!$F$1500),'Raw sheet'!F1014)</f>
        <v>6.26</v>
      </c>
      <c r="H1014" s="18">
        <v>75</v>
      </c>
      <c r="I1014" s="9" t="str">
        <f t="shared" si="30"/>
        <v>Good</v>
      </c>
      <c r="J1014" s="2">
        <v>2</v>
      </c>
      <c r="K1014" s="2">
        <v>30.4</v>
      </c>
      <c r="L1014" s="2" t="s">
        <v>3</v>
      </c>
      <c r="M1014" s="2" t="s">
        <v>4</v>
      </c>
      <c r="N1014" s="5">
        <f>IF(ISBLANK('Raw sheet'!L1014),AVERAGE('Raw sheet'!$L$2:'Raw sheet'!$L$1500),'Raw sheet'!L1014)</f>
        <v>5.8</v>
      </c>
      <c r="O1014" s="5" t="str">
        <f>IF(Table1[[#This Row],[Stress_Index]]&gt;=8,"High",IF(N1014&gt;=5,"Medium","Low"))</f>
        <v>Medium</v>
      </c>
      <c r="P1014" s="3">
        <v>1.38</v>
      </c>
      <c r="Q1014" s="2">
        <v>1.51</v>
      </c>
      <c r="R1014" s="3">
        <v>1.51</v>
      </c>
      <c r="S1014" s="3" t="str">
        <f>IF(Table1[[#This Row],[CGPA]]&gt;=3,"High",IF(R1013&gt;=2,"Medium","Low"))</f>
        <v>Medium</v>
      </c>
      <c r="T1014" s="2" t="s">
        <v>2</v>
      </c>
      <c r="U1014" s="2" t="s">
        <v>6</v>
      </c>
      <c r="V1014" s="2" t="s">
        <v>15</v>
      </c>
      <c r="W1014" s="7">
        <v>1</v>
      </c>
      <c r="X1014" t="str">
        <f t="shared" si="31"/>
        <v>Dropped Out</v>
      </c>
    </row>
    <row r="1015" spans="1:24" x14ac:dyDescent="0.3">
      <c r="A1015" s="2">
        <v>1014</v>
      </c>
      <c r="B1015" s="7">
        <v>19.5</v>
      </c>
      <c r="C1015" s="2" t="s">
        <v>11</v>
      </c>
      <c r="D1015" s="7">
        <f>IF(ISBLANK('Raw sheet'!D1015),AVERAGE('Raw sheet'!$D$2:'Raw sheet'!$D$1500),'Raw sheet'!D1015)</f>
        <v>35322</v>
      </c>
      <c r="E1015" s="7" t="str">
        <f>IF(Table1[[#This Row],[Family_Income]]&gt;=100000,"Upper",IF(D1015&gt;=50000,"Middle","Lower"))</f>
        <v>Lower</v>
      </c>
      <c r="F1015" s="2" t="s">
        <v>4</v>
      </c>
      <c r="G1015" s="3">
        <f>IF(ISBLANK('Raw sheet'!F1015),AVERAGE('Raw sheet'!$F$2:'Raw sheet'!$F$1500),'Raw sheet'!F1015)</f>
        <v>3.75</v>
      </c>
      <c r="H1015" s="18">
        <v>79.400000000000006</v>
      </c>
      <c r="I1015" s="9" t="str">
        <f t="shared" si="30"/>
        <v>Good</v>
      </c>
      <c r="J1015" s="2">
        <v>1</v>
      </c>
      <c r="K1015" s="2">
        <v>45.3</v>
      </c>
      <c r="L1015" s="2" t="s">
        <v>3</v>
      </c>
      <c r="M1015" s="2" t="s">
        <v>3</v>
      </c>
      <c r="N1015" s="5">
        <f>IF(ISBLANK('Raw sheet'!L1015),AVERAGE('Raw sheet'!$L$2:'Raw sheet'!$L$1500),'Raw sheet'!L1015)</f>
        <v>6.3</v>
      </c>
      <c r="O1015" s="5" t="str">
        <f>IF(Table1[[#This Row],[Stress_Index]]&gt;=8,"High",IF(N1015&gt;=5,"Medium","Low"))</f>
        <v>Medium</v>
      </c>
      <c r="P1015" s="3">
        <v>1.7</v>
      </c>
      <c r="Q1015" s="2">
        <v>1.51</v>
      </c>
      <c r="R1015" s="3">
        <v>1.49</v>
      </c>
      <c r="S1015" s="3" t="str">
        <f>IF(Table1[[#This Row],[CGPA]]&gt;=3,"High",IF(R1014&gt;=2,"Medium","Low"))</f>
        <v>Low</v>
      </c>
      <c r="T1015" s="2" t="s">
        <v>7</v>
      </c>
      <c r="U1015" s="2" t="s">
        <v>13</v>
      </c>
      <c r="V1015" s="2" t="s">
        <v>15</v>
      </c>
      <c r="W1015" s="7">
        <v>1</v>
      </c>
      <c r="X1015" t="str">
        <f t="shared" si="31"/>
        <v>Dropped Out</v>
      </c>
    </row>
    <row r="1016" spans="1:24" x14ac:dyDescent="0.3">
      <c r="A1016" s="2">
        <v>1015</v>
      </c>
      <c r="B1016" s="7">
        <v>24.8</v>
      </c>
      <c r="C1016" s="2" t="s">
        <v>11</v>
      </c>
      <c r="D1016" s="7">
        <f>IF(ISBLANK('Raw sheet'!D1016),AVERAGE('Raw sheet'!$D$2:'Raw sheet'!$D$1500),'Raw sheet'!D1016)</f>
        <v>25000</v>
      </c>
      <c r="E1016" s="7" t="str">
        <f>IF(Table1[[#This Row],[Family_Income]]&gt;=100000,"Upper",IF(D1016&gt;=50000,"Middle","Lower"))</f>
        <v>Lower</v>
      </c>
      <c r="F1016" s="2" t="s">
        <v>4</v>
      </c>
      <c r="G1016" s="3">
        <f>IF(ISBLANK('Raw sheet'!F1016),AVERAGE('Raw sheet'!$F$2:'Raw sheet'!$F$1500),'Raw sheet'!F1016)</f>
        <v>4.29</v>
      </c>
      <c r="H1016" s="18">
        <v>85.5</v>
      </c>
      <c r="I1016" s="9" t="str">
        <f t="shared" si="30"/>
        <v>Good</v>
      </c>
      <c r="J1016" s="2">
        <v>5</v>
      </c>
      <c r="K1016" s="2">
        <v>50.3</v>
      </c>
      <c r="L1016" s="2" t="s">
        <v>4</v>
      </c>
      <c r="M1016" s="2" t="s">
        <v>3</v>
      </c>
      <c r="N1016" s="5">
        <f>IF(ISBLANK('Raw sheet'!L1016),AVERAGE('Raw sheet'!$L$2:'Raw sheet'!$L$1500),'Raw sheet'!L1016)</f>
        <v>3.8</v>
      </c>
      <c r="O1016" s="5" t="str">
        <f>IF(Table1[[#This Row],[Stress_Index]]&gt;=8,"High",IF(N1016&gt;=5,"Medium","Low"))</f>
        <v>Low</v>
      </c>
      <c r="P1016" s="3">
        <v>3.33</v>
      </c>
      <c r="Q1016" s="2">
        <v>3.43</v>
      </c>
      <c r="R1016" s="3">
        <v>3.43</v>
      </c>
      <c r="S1016" s="3" t="str">
        <f>IF(Table1[[#This Row],[CGPA]]&gt;=3,"High",IF(R1015&gt;=2,"Medium","Low"))</f>
        <v>High</v>
      </c>
      <c r="T1016" s="2" t="s">
        <v>12</v>
      </c>
      <c r="U1016" s="2" t="s">
        <v>14</v>
      </c>
      <c r="V1016" s="2" t="s">
        <v>9</v>
      </c>
      <c r="W1016" s="7">
        <v>0</v>
      </c>
      <c r="X1016" t="str">
        <f t="shared" si="31"/>
        <v>Active</v>
      </c>
    </row>
    <row r="1017" spans="1:24" x14ac:dyDescent="0.3">
      <c r="A1017" s="2">
        <v>1016</v>
      </c>
      <c r="B1017" s="7">
        <v>21.4</v>
      </c>
      <c r="C1017" s="2" t="s">
        <v>11</v>
      </c>
      <c r="D1017" s="7">
        <f>IF(ISBLANK('Raw sheet'!D1017),AVERAGE('Raw sheet'!$D$2:'Raw sheet'!$D$1500),'Raw sheet'!D1017)</f>
        <v>25000</v>
      </c>
      <c r="E1017" s="7" t="str">
        <f>IF(Table1[[#This Row],[Family_Income]]&gt;=100000,"Upper",IF(D1017&gt;=50000,"Middle","Lower"))</f>
        <v>Lower</v>
      </c>
      <c r="F1017" s="2" t="s">
        <v>4</v>
      </c>
      <c r="G1017" s="3">
        <f>IF(ISBLANK('Raw sheet'!F1017),AVERAGE('Raw sheet'!$F$2:'Raw sheet'!$F$1500),'Raw sheet'!F1017)</f>
        <v>5.14</v>
      </c>
      <c r="H1017" s="18">
        <v>68</v>
      </c>
      <c r="I1017" s="9" t="str">
        <f t="shared" si="30"/>
        <v>Low</v>
      </c>
      <c r="J1017" s="2">
        <v>1</v>
      </c>
      <c r="K1017" s="2">
        <v>33.1</v>
      </c>
      <c r="L1017" s="2" t="s">
        <v>4</v>
      </c>
      <c r="M1017" s="2" t="s">
        <v>3</v>
      </c>
      <c r="N1017" s="5">
        <f>IF(ISBLANK('Raw sheet'!L1017),AVERAGE('Raw sheet'!$L$2:'Raw sheet'!$L$1500),'Raw sheet'!L1017)</f>
        <v>5.6</v>
      </c>
      <c r="O1017" s="5" t="str">
        <f>IF(Table1[[#This Row],[Stress_Index]]&gt;=8,"High",IF(N1017&gt;=5,"Medium","Low"))</f>
        <v>Medium</v>
      </c>
      <c r="P1017" s="3">
        <v>1.87</v>
      </c>
      <c r="Q1017" s="2">
        <v>2.2999999999999998</v>
      </c>
      <c r="R1017" s="3">
        <v>2.31</v>
      </c>
      <c r="S1017" s="3" t="str">
        <f>IF(Table1[[#This Row],[CGPA]]&gt;=3,"High",IF(R1016&gt;=2,"Medium","Low"))</f>
        <v>Medium</v>
      </c>
      <c r="T1017" s="2" t="s">
        <v>10</v>
      </c>
      <c r="U1017" s="2" t="s">
        <v>14</v>
      </c>
      <c r="V1017" s="2" t="s">
        <v>16</v>
      </c>
      <c r="W1017" s="7">
        <v>1</v>
      </c>
      <c r="X1017" t="str">
        <f t="shared" si="31"/>
        <v>Dropped Out</v>
      </c>
    </row>
    <row r="1018" spans="1:24" x14ac:dyDescent="0.3">
      <c r="A1018" s="2">
        <v>1017</v>
      </c>
      <c r="B1018" s="7">
        <v>19.600000000000001</v>
      </c>
      <c r="C1018" s="2" t="s">
        <v>11</v>
      </c>
      <c r="D1018" s="7">
        <f>IF(ISBLANK('Raw sheet'!D1018),AVERAGE('Raw sheet'!$D$2:'Raw sheet'!$D$1500),'Raw sheet'!D1018)</f>
        <v>25585</v>
      </c>
      <c r="E1018" s="7" t="str">
        <f>IF(Table1[[#This Row],[Family_Income]]&gt;=100000,"Upper",IF(D1018&gt;=50000,"Middle","Lower"))</f>
        <v>Lower</v>
      </c>
      <c r="F1018" s="2" t="s">
        <v>4</v>
      </c>
      <c r="G1018" s="3">
        <f>IF(ISBLANK('Raw sheet'!F1018),AVERAGE('Raw sheet'!$F$2:'Raw sheet'!$F$1500),'Raw sheet'!F1018)</f>
        <v>5.99</v>
      </c>
      <c r="H1018" s="18">
        <v>63.5</v>
      </c>
      <c r="I1018" s="9" t="str">
        <f t="shared" si="30"/>
        <v>Low</v>
      </c>
      <c r="J1018" s="2">
        <v>0</v>
      </c>
      <c r="K1018" s="2">
        <v>14.7</v>
      </c>
      <c r="L1018" s="2" t="s">
        <v>3</v>
      </c>
      <c r="M1018" s="2" t="s">
        <v>4</v>
      </c>
      <c r="N1018" s="5">
        <f>IF(ISBLANK('Raw sheet'!L1018),AVERAGE('Raw sheet'!$L$2:'Raw sheet'!$L$1500),'Raw sheet'!L1018)</f>
        <v>4.5999999999999996</v>
      </c>
      <c r="O1018" s="5" t="str">
        <f>IF(Table1[[#This Row],[Stress_Index]]&gt;=8,"High",IF(N1018&gt;=5,"Medium","Low"))</f>
        <v>Low</v>
      </c>
      <c r="P1018" s="3">
        <v>0.52</v>
      </c>
      <c r="Q1018" s="2">
        <v>0.53</v>
      </c>
      <c r="R1018" s="3">
        <v>0.56000000000000005</v>
      </c>
      <c r="S1018" s="3" t="str">
        <f>IF(Table1[[#This Row],[CGPA]]&gt;=3,"High",IF(R1017&gt;=2,"Medium","Low"))</f>
        <v>Medium</v>
      </c>
      <c r="T1018" s="2" t="s">
        <v>7</v>
      </c>
      <c r="U1018" s="2" t="s">
        <v>8</v>
      </c>
      <c r="V1018" s="2" t="s">
        <v>16</v>
      </c>
      <c r="W1018" s="7">
        <v>1</v>
      </c>
      <c r="X1018" t="str">
        <f t="shared" si="31"/>
        <v>Dropped Out</v>
      </c>
    </row>
    <row r="1019" spans="1:24" x14ac:dyDescent="0.3">
      <c r="A1019" s="2">
        <v>1018</v>
      </c>
      <c r="B1019" s="7">
        <v>19.899999999999999</v>
      </c>
      <c r="C1019" s="2" t="s">
        <v>5</v>
      </c>
      <c r="D1019" s="7">
        <f>IF(ISBLANK('Raw sheet'!D1019),AVERAGE('Raw sheet'!$D$2:'Raw sheet'!$D$1500),'Raw sheet'!D1019)</f>
        <v>25000</v>
      </c>
      <c r="E1019" s="7" t="str">
        <f>IF(Table1[[#This Row],[Family_Income]]&gt;=100000,"Upper",IF(D1019&gt;=50000,"Middle","Lower"))</f>
        <v>Lower</v>
      </c>
      <c r="F1019" s="2" t="s">
        <v>3</v>
      </c>
      <c r="G1019" s="3">
        <f>IF(ISBLANK('Raw sheet'!F1019),AVERAGE('Raw sheet'!$F$2:'Raw sheet'!$F$1500),'Raw sheet'!F1019)</f>
        <v>1.6</v>
      </c>
      <c r="H1019" s="18">
        <v>93.6</v>
      </c>
      <c r="I1019" s="9" t="str">
        <f t="shared" si="30"/>
        <v>Good</v>
      </c>
      <c r="J1019" s="2">
        <v>2</v>
      </c>
      <c r="K1019" s="2">
        <v>26.3</v>
      </c>
      <c r="L1019" s="2" t="s">
        <v>3</v>
      </c>
      <c r="M1019" s="2" t="s">
        <v>3</v>
      </c>
      <c r="N1019" s="5">
        <f>IF(ISBLANK('Raw sheet'!L1019),AVERAGE('Raw sheet'!$L$2:'Raw sheet'!$L$1500),'Raw sheet'!L1019)</f>
        <v>7.4</v>
      </c>
      <c r="O1019" s="5" t="str">
        <f>IF(Table1[[#This Row],[Stress_Index]]&gt;=8,"High",IF(N1019&gt;=5,"Medium","Low"))</f>
        <v>Medium</v>
      </c>
      <c r="P1019" s="3">
        <v>2.02</v>
      </c>
      <c r="Q1019" s="2">
        <v>2.0499999999999998</v>
      </c>
      <c r="R1019" s="3">
        <v>2.04</v>
      </c>
      <c r="S1019" s="3" t="str">
        <f>IF(Table1[[#This Row],[CGPA]]&gt;=3,"High",IF(R1018&gt;=2,"Medium","Low"))</f>
        <v>Low</v>
      </c>
      <c r="T1019" s="2" t="s">
        <v>7</v>
      </c>
      <c r="U1019" s="2" t="s">
        <v>1</v>
      </c>
      <c r="V1019" s="2" t="s">
        <v>0</v>
      </c>
      <c r="W1019" s="7">
        <v>1</v>
      </c>
      <c r="X1019" t="str">
        <f t="shared" si="31"/>
        <v>Dropped Out</v>
      </c>
    </row>
    <row r="1020" spans="1:24" x14ac:dyDescent="0.3">
      <c r="A1020" s="2">
        <v>1019</v>
      </c>
      <c r="B1020" s="7">
        <v>20.3</v>
      </c>
      <c r="C1020" s="2" t="s">
        <v>11</v>
      </c>
      <c r="D1020" s="7">
        <f>IF(ISBLANK('Raw sheet'!D1020),AVERAGE('Raw sheet'!$D$2:'Raw sheet'!$D$1500),'Raw sheet'!D1020)</f>
        <v>29128</v>
      </c>
      <c r="E1020" s="7" t="str">
        <f>IF(Table1[[#This Row],[Family_Income]]&gt;=100000,"Upper",IF(D1020&gt;=50000,"Middle","Lower"))</f>
        <v>Lower</v>
      </c>
      <c r="F1020" s="2" t="s">
        <v>4</v>
      </c>
      <c r="G1020" s="3">
        <f>IF(ISBLANK('Raw sheet'!F1020),AVERAGE('Raw sheet'!$F$2:'Raw sheet'!$F$1500),'Raw sheet'!F1020)</f>
        <v>4.67</v>
      </c>
      <c r="H1020" s="18">
        <v>86.8</v>
      </c>
      <c r="I1020" s="9" t="str">
        <f t="shared" si="30"/>
        <v>Good</v>
      </c>
      <c r="J1020" s="2">
        <v>3</v>
      </c>
      <c r="K1020" s="2">
        <v>8.1999999999999993</v>
      </c>
      <c r="L1020" s="2" t="s">
        <v>3</v>
      </c>
      <c r="M1020" s="2" t="s">
        <v>3</v>
      </c>
      <c r="N1020" s="5">
        <f>IF(ISBLANK('Raw sheet'!L1020),AVERAGE('Raw sheet'!$L$2:'Raw sheet'!$L$1500),'Raw sheet'!L1020)</f>
        <v>5.3</v>
      </c>
      <c r="O1020" s="5" t="str">
        <f>IF(Table1[[#This Row],[Stress_Index]]&gt;=8,"High",IF(N1020&gt;=5,"Medium","Low"))</f>
        <v>Medium</v>
      </c>
      <c r="P1020" s="3">
        <v>3.33</v>
      </c>
      <c r="Q1020" s="2">
        <v>3.47</v>
      </c>
      <c r="R1020" s="3">
        <v>3.47</v>
      </c>
      <c r="S1020" s="3" t="str">
        <f>IF(Table1[[#This Row],[CGPA]]&gt;=3,"High",IF(R1019&gt;=2,"Medium","Low"))</f>
        <v>High</v>
      </c>
      <c r="T1020" s="2" t="s">
        <v>2</v>
      </c>
      <c r="U1020" s="2" t="s">
        <v>14</v>
      </c>
      <c r="V1020" s="2" t="s">
        <v>9</v>
      </c>
      <c r="W1020" s="7">
        <v>0</v>
      </c>
      <c r="X1020" t="str">
        <f t="shared" si="31"/>
        <v>Active</v>
      </c>
    </row>
    <row r="1021" spans="1:24" x14ac:dyDescent="0.3">
      <c r="A1021" s="2">
        <v>1020</v>
      </c>
      <c r="B1021" s="7">
        <v>21.9</v>
      </c>
      <c r="C1021" s="2" t="s">
        <v>11</v>
      </c>
      <c r="D1021" s="7">
        <f>IF(ISBLANK('Raw sheet'!D1021),AVERAGE('Raw sheet'!$D$2:'Raw sheet'!$D$1500),'Raw sheet'!D1021)</f>
        <v>28300</v>
      </c>
      <c r="E1021" s="7" t="str">
        <f>IF(Table1[[#This Row],[Family_Income]]&gt;=100000,"Upper",IF(D1021&gt;=50000,"Middle","Lower"))</f>
        <v>Lower</v>
      </c>
      <c r="F1021" s="2" t="s">
        <v>4</v>
      </c>
      <c r="G1021" s="3">
        <f>IF(ISBLANK('Raw sheet'!F1021),AVERAGE('Raw sheet'!$F$2:'Raw sheet'!$F$1500),'Raw sheet'!F1021)</f>
        <v>2.89</v>
      </c>
      <c r="H1021" s="18">
        <v>75</v>
      </c>
      <c r="I1021" s="9" t="str">
        <f t="shared" si="30"/>
        <v>Good</v>
      </c>
      <c r="J1021" s="2">
        <v>2</v>
      </c>
      <c r="K1021" s="2">
        <v>26.5</v>
      </c>
      <c r="L1021" s="2" t="s">
        <v>4</v>
      </c>
      <c r="M1021" s="2" t="s">
        <v>4</v>
      </c>
      <c r="N1021" s="5">
        <f>IF(ISBLANK('Raw sheet'!L1021),AVERAGE('Raw sheet'!$L$2:'Raw sheet'!$L$1500),'Raw sheet'!L1021)</f>
        <v>4.4000000000000004</v>
      </c>
      <c r="O1021" s="5" t="str">
        <f>IF(Table1[[#This Row],[Stress_Index]]&gt;=8,"High",IF(N1021&gt;=5,"Medium","Low"))</f>
        <v>Low</v>
      </c>
      <c r="P1021" s="3">
        <v>2.46</v>
      </c>
      <c r="Q1021" s="2">
        <v>2.79</v>
      </c>
      <c r="R1021" s="3">
        <v>2.73</v>
      </c>
      <c r="S1021" s="3" t="str">
        <f>IF(Table1[[#This Row],[CGPA]]&gt;=3,"High",IF(R1020&gt;=2,"Medium","Low"))</f>
        <v>Medium</v>
      </c>
      <c r="T1021" s="2" t="s">
        <v>7</v>
      </c>
      <c r="U1021" s="2" t="s">
        <v>14</v>
      </c>
      <c r="V1021" s="2" t="s">
        <v>15</v>
      </c>
      <c r="W1021" s="7">
        <v>0</v>
      </c>
      <c r="X1021" t="str">
        <f t="shared" si="31"/>
        <v>Active</v>
      </c>
    </row>
    <row r="1022" spans="1:24" x14ac:dyDescent="0.3">
      <c r="A1022" s="2">
        <v>1021</v>
      </c>
      <c r="B1022" s="7">
        <v>22.2</v>
      </c>
      <c r="C1022" s="2" t="s">
        <v>5</v>
      </c>
      <c r="D1022" s="7">
        <f>IF(ISBLANK('Raw sheet'!D1022),AVERAGE('Raw sheet'!$D$2:'Raw sheet'!$D$1500),'Raw sheet'!D1022)</f>
        <v>25000</v>
      </c>
      <c r="E1022" s="7" t="str">
        <f>IF(Table1[[#This Row],[Family_Income]]&gt;=100000,"Upper",IF(D1022&gt;=50000,"Middle","Lower"))</f>
        <v>Lower</v>
      </c>
      <c r="F1022" s="2" t="s">
        <v>4</v>
      </c>
      <c r="G1022" s="3">
        <f>IF(ISBLANK('Raw sheet'!F1022),AVERAGE('Raw sheet'!$F$2:'Raw sheet'!$F$1500),'Raw sheet'!F1022)</f>
        <v>3.93</v>
      </c>
      <c r="H1022" s="18">
        <v>80.099999999999994</v>
      </c>
      <c r="I1022" s="9" t="str">
        <f t="shared" si="30"/>
        <v>Good</v>
      </c>
      <c r="J1022" s="2">
        <v>1</v>
      </c>
      <c r="K1022" s="2">
        <v>41.6</v>
      </c>
      <c r="L1022" s="2" t="s">
        <v>3</v>
      </c>
      <c r="M1022" s="2" t="s">
        <v>3</v>
      </c>
      <c r="N1022" s="5">
        <f>IF(ISBLANK('Raw sheet'!L1022),AVERAGE('Raw sheet'!$L$2:'Raw sheet'!$L$1500),'Raw sheet'!L1022)</f>
        <v>3.7</v>
      </c>
      <c r="O1022" s="5" t="str">
        <f>IF(Table1[[#This Row],[Stress_Index]]&gt;=8,"High",IF(N1022&gt;=5,"Medium","Low"))</f>
        <v>Low</v>
      </c>
      <c r="P1022" s="3">
        <v>4</v>
      </c>
      <c r="Q1022" s="2">
        <v>3.77</v>
      </c>
      <c r="R1022" s="3">
        <v>3.66</v>
      </c>
      <c r="S1022" s="3" t="str">
        <f>IF(Table1[[#This Row],[CGPA]]&gt;=3,"High",IF(R1021&gt;=2,"Medium","Low"))</f>
        <v>High</v>
      </c>
      <c r="T1022" s="2" t="s">
        <v>12</v>
      </c>
      <c r="U1022" s="2" t="s">
        <v>8</v>
      </c>
      <c r="V1022" s="2" t="s">
        <v>9</v>
      </c>
      <c r="W1022" s="7">
        <v>0</v>
      </c>
      <c r="X1022" t="str">
        <f t="shared" si="31"/>
        <v>Active</v>
      </c>
    </row>
    <row r="1023" spans="1:24" x14ac:dyDescent="0.3">
      <c r="A1023" s="2">
        <v>1022</v>
      </c>
      <c r="B1023" s="7">
        <v>19.7</v>
      </c>
      <c r="C1023" s="2" t="s">
        <v>11</v>
      </c>
      <c r="D1023" s="7">
        <f>IF(ISBLANK('Raw sheet'!D1023),AVERAGE('Raw sheet'!$D$2:'Raw sheet'!$D$1500),'Raw sheet'!D1023)</f>
        <v>74026</v>
      </c>
      <c r="E1023" s="7" t="str">
        <f>IF(Table1[[#This Row],[Family_Income]]&gt;=100000,"Upper",IF(D1023&gt;=50000,"Middle","Lower"))</f>
        <v>Middle</v>
      </c>
      <c r="F1023" s="2" t="s">
        <v>4</v>
      </c>
      <c r="G1023" s="3">
        <f>IF(ISBLANK('Raw sheet'!F1023),AVERAGE('Raw sheet'!$F$2:'Raw sheet'!$F$1500),'Raw sheet'!F1023)</f>
        <v>3.3</v>
      </c>
      <c r="H1023" s="18">
        <v>78.599999999999994</v>
      </c>
      <c r="I1023" s="9" t="str">
        <f t="shared" si="30"/>
        <v>Good</v>
      </c>
      <c r="J1023" s="2">
        <v>2</v>
      </c>
      <c r="K1023" s="2">
        <v>13.6</v>
      </c>
      <c r="L1023" s="2" t="s">
        <v>3</v>
      </c>
      <c r="M1023" s="2" t="s">
        <v>4</v>
      </c>
      <c r="N1023" s="5">
        <f>IF(ISBLANK('Raw sheet'!L1023),AVERAGE('Raw sheet'!$L$2:'Raw sheet'!$L$1500),'Raw sheet'!L1023)</f>
        <v>7.1</v>
      </c>
      <c r="O1023" s="5" t="str">
        <f>IF(Table1[[#This Row],[Stress_Index]]&gt;=8,"High",IF(N1023&gt;=5,"Medium","Low"))</f>
        <v>Medium</v>
      </c>
      <c r="P1023" s="3">
        <v>0</v>
      </c>
      <c r="Q1023" s="2">
        <v>0</v>
      </c>
      <c r="R1023" s="3">
        <v>0.05</v>
      </c>
      <c r="S1023" s="3" t="str">
        <f>IF(Table1[[#This Row],[CGPA]]&gt;=3,"High",IF(R1022&gt;=2,"Medium","Low"))</f>
        <v>Medium</v>
      </c>
      <c r="T1023" s="2" t="s">
        <v>10</v>
      </c>
      <c r="U1023" s="2" t="s">
        <v>8</v>
      </c>
      <c r="V1023" s="2" t="s">
        <v>9</v>
      </c>
      <c r="W1023" s="7">
        <v>0</v>
      </c>
      <c r="X1023" t="str">
        <f t="shared" si="31"/>
        <v>Active</v>
      </c>
    </row>
    <row r="1024" spans="1:24" x14ac:dyDescent="0.3">
      <c r="A1024" s="2">
        <v>1023</v>
      </c>
      <c r="B1024" s="7">
        <v>20.9</v>
      </c>
      <c r="C1024" s="2" t="s">
        <v>5</v>
      </c>
      <c r="D1024" s="7">
        <f>IF(ISBLANK('Raw sheet'!D1024),AVERAGE('Raw sheet'!$D$2:'Raw sheet'!$D$1500),'Raw sheet'!D1024)</f>
        <v>25000</v>
      </c>
      <c r="E1024" s="7" t="str">
        <f>IF(Table1[[#This Row],[Family_Income]]&gt;=100000,"Upper",IF(D1024&gt;=50000,"Middle","Lower"))</f>
        <v>Lower</v>
      </c>
      <c r="F1024" s="2" t="s">
        <v>4</v>
      </c>
      <c r="G1024" s="3">
        <f>IF(ISBLANK('Raw sheet'!F1024),AVERAGE('Raw sheet'!$F$2:'Raw sheet'!$F$1500),'Raw sheet'!F1024)</f>
        <v>1.0900000000000001</v>
      </c>
      <c r="H1024" s="18">
        <v>84.3</v>
      </c>
      <c r="I1024" s="9" t="str">
        <f t="shared" si="30"/>
        <v>Good</v>
      </c>
      <c r="J1024" s="2">
        <v>1</v>
      </c>
      <c r="K1024" s="2">
        <v>27.5</v>
      </c>
      <c r="L1024" s="2" t="s">
        <v>4</v>
      </c>
      <c r="M1024" s="2" t="s">
        <v>4</v>
      </c>
      <c r="N1024" s="5">
        <f>IF(ISBLANK('Raw sheet'!L1024),AVERAGE('Raw sheet'!$L$2:'Raw sheet'!$L$1500),'Raw sheet'!L1024)</f>
        <v>7.3</v>
      </c>
      <c r="O1024" s="5" t="str">
        <f>IF(Table1[[#This Row],[Stress_Index]]&gt;=8,"High",IF(N1024&gt;=5,"Medium","Low"))</f>
        <v>Medium</v>
      </c>
      <c r="P1024" s="3">
        <v>0.95</v>
      </c>
      <c r="Q1024" s="2">
        <v>1.04</v>
      </c>
      <c r="R1024" s="3">
        <v>1.07</v>
      </c>
      <c r="S1024" s="3" t="str">
        <f>IF(Table1[[#This Row],[CGPA]]&gt;=3,"High",IF(R1023&gt;=2,"Medium","Low"))</f>
        <v>Low</v>
      </c>
      <c r="T1024" s="2" t="s">
        <v>12</v>
      </c>
      <c r="U1024" s="2" t="s">
        <v>6</v>
      </c>
      <c r="V1024" s="2" t="s">
        <v>17</v>
      </c>
      <c r="W1024" s="7">
        <v>0</v>
      </c>
      <c r="X1024" t="str">
        <f t="shared" si="31"/>
        <v>Active</v>
      </c>
    </row>
    <row r="1025" spans="1:24" x14ac:dyDescent="0.3">
      <c r="A1025" s="2">
        <v>1024</v>
      </c>
      <c r="B1025" s="7">
        <v>25.7</v>
      </c>
      <c r="C1025" s="2" t="s">
        <v>5</v>
      </c>
      <c r="D1025" s="7">
        <f>IF(ISBLANK('Raw sheet'!D1025),AVERAGE('Raw sheet'!$D$2:'Raw sheet'!$D$1500),'Raw sheet'!D1025)</f>
        <v>25000</v>
      </c>
      <c r="E1025" s="7" t="str">
        <f>IF(Table1[[#This Row],[Family_Income]]&gt;=100000,"Upper",IF(D1025&gt;=50000,"Middle","Lower"))</f>
        <v>Lower</v>
      </c>
      <c r="F1025" s="2" t="s">
        <v>4</v>
      </c>
      <c r="G1025" s="3">
        <f>IF(ISBLANK('Raw sheet'!F1025),AVERAGE('Raw sheet'!$F$2:'Raw sheet'!$F$1500),'Raw sheet'!F1025)</f>
        <v>5.38</v>
      </c>
      <c r="H1025" s="18">
        <v>77.900000000000006</v>
      </c>
      <c r="I1025" s="9" t="str">
        <f t="shared" si="30"/>
        <v>Good</v>
      </c>
      <c r="J1025" s="2">
        <v>2</v>
      </c>
      <c r="K1025" s="2">
        <v>20.2</v>
      </c>
      <c r="L1025" s="2" t="s">
        <v>4</v>
      </c>
      <c r="M1025" s="2" t="s">
        <v>3</v>
      </c>
      <c r="N1025" s="5">
        <f>IF(ISBLANK('Raw sheet'!L1025),AVERAGE('Raw sheet'!$L$2:'Raw sheet'!$L$1500),'Raw sheet'!L1025)</f>
        <v>9</v>
      </c>
      <c r="O1025" s="5" t="str">
        <f>IF(Table1[[#This Row],[Stress_Index]]&gt;=8,"High",IF(N1025&gt;=5,"Medium","Low"))</f>
        <v>High</v>
      </c>
      <c r="P1025" s="3">
        <v>1.47</v>
      </c>
      <c r="Q1025" s="2">
        <v>1.62</v>
      </c>
      <c r="R1025" s="3">
        <v>1.69</v>
      </c>
      <c r="S1025" s="3" t="str">
        <f>IF(Table1[[#This Row],[CGPA]]&gt;=3,"High",IF(R1024&gt;=2,"Medium","Low"))</f>
        <v>Low</v>
      </c>
      <c r="T1025" s="2" t="s">
        <v>10</v>
      </c>
      <c r="U1025" s="2" t="s">
        <v>6</v>
      </c>
      <c r="V1025" s="2" t="s">
        <v>0</v>
      </c>
      <c r="W1025" s="7">
        <v>1</v>
      </c>
      <c r="X1025" t="str">
        <f t="shared" si="31"/>
        <v>Dropped Out</v>
      </c>
    </row>
    <row r="1026" spans="1:24" x14ac:dyDescent="0.3">
      <c r="A1026" s="2">
        <v>1025</v>
      </c>
      <c r="B1026" s="7">
        <v>24.8</v>
      </c>
      <c r="C1026" s="2" t="s">
        <v>11</v>
      </c>
      <c r="D1026" s="7">
        <f>IF(ISBLANK('Raw sheet'!D1026),AVERAGE('Raw sheet'!$D$2:'Raw sheet'!$D$1500),'Raw sheet'!D1026)</f>
        <v>25000</v>
      </c>
      <c r="E1026" s="7" t="str">
        <f>IF(Table1[[#This Row],[Family_Income]]&gt;=100000,"Upper",IF(D1026&gt;=50000,"Middle","Lower"))</f>
        <v>Lower</v>
      </c>
      <c r="F1026" s="2" t="s">
        <v>4</v>
      </c>
      <c r="G1026" s="3">
        <f>IF(ISBLANK('Raw sheet'!F1026),AVERAGE('Raw sheet'!$F$2:'Raw sheet'!$F$1500),'Raw sheet'!F1026)</f>
        <v>2.29</v>
      </c>
      <c r="H1026" s="18">
        <v>72.8</v>
      </c>
      <c r="I1026" s="9" t="str">
        <f t="shared" ref="I1026:I1089" si="32">IF(H1026&gt;=75,"Good","Low")</f>
        <v>Low</v>
      </c>
      <c r="J1026" s="2">
        <v>3</v>
      </c>
      <c r="K1026" s="2">
        <v>51.5</v>
      </c>
      <c r="L1026" s="2" t="s">
        <v>3</v>
      </c>
      <c r="M1026" s="2" t="s">
        <v>4</v>
      </c>
      <c r="N1026" s="5">
        <f>IF(ISBLANK('Raw sheet'!L1026),AVERAGE('Raw sheet'!$L$2:'Raw sheet'!$L$1500),'Raw sheet'!L1026)</f>
        <v>4.9000000000000004</v>
      </c>
      <c r="O1026" s="5" t="str">
        <f>IF(Table1[[#This Row],[Stress_Index]]&gt;=8,"High",IF(N1026&gt;=5,"Medium","Low"))</f>
        <v>Low</v>
      </c>
      <c r="P1026" s="3">
        <v>1.18</v>
      </c>
      <c r="Q1026" s="2">
        <v>0.8</v>
      </c>
      <c r="R1026" s="3">
        <v>0.75</v>
      </c>
      <c r="S1026" s="3" t="str">
        <f>IF(Table1[[#This Row],[CGPA]]&gt;=3,"High",IF(R1025&gt;=2,"Medium","Low"))</f>
        <v>Low</v>
      </c>
      <c r="T1026" s="2" t="s">
        <v>10</v>
      </c>
      <c r="U1026" s="2" t="s">
        <v>14</v>
      </c>
      <c r="V1026" s="2" t="s">
        <v>15</v>
      </c>
      <c r="W1026" s="7">
        <v>1</v>
      </c>
      <c r="X1026" t="str">
        <f t="shared" ref="X1026:X1089" si="33">IF(W1026=1,"Dropped Out","Active")</f>
        <v>Dropped Out</v>
      </c>
    </row>
    <row r="1027" spans="1:24" x14ac:dyDescent="0.3">
      <c r="A1027" s="2">
        <v>1026</v>
      </c>
      <c r="B1027" s="7">
        <v>22</v>
      </c>
      <c r="C1027" s="2" t="s">
        <v>5</v>
      </c>
      <c r="D1027" s="7">
        <f>IF(ISBLANK('Raw sheet'!D1027),AVERAGE('Raw sheet'!$D$2:'Raw sheet'!$D$1500),'Raw sheet'!D1027)</f>
        <v>27861</v>
      </c>
      <c r="E1027" s="7" t="str">
        <f>IF(Table1[[#This Row],[Family_Income]]&gt;=100000,"Upper",IF(D1027&gt;=50000,"Middle","Lower"))</f>
        <v>Lower</v>
      </c>
      <c r="F1027" s="2" t="s">
        <v>4</v>
      </c>
      <c r="G1027" s="3">
        <f>IF(ISBLANK('Raw sheet'!F1027),AVERAGE('Raw sheet'!$F$2:'Raw sheet'!$F$1500),'Raw sheet'!F1027)</f>
        <v>3.91</v>
      </c>
      <c r="H1027" s="18">
        <v>85.9</v>
      </c>
      <c r="I1027" s="9" t="str">
        <f t="shared" si="32"/>
        <v>Good</v>
      </c>
      <c r="J1027" s="2">
        <v>1</v>
      </c>
      <c r="K1027" s="2">
        <v>34.799999999999997</v>
      </c>
      <c r="L1027" s="2" t="s">
        <v>4</v>
      </c>
      <c r="M1027" s="2" t="s">
        <v>3</v>
      </c>
      <c r="N1027" s="5">
        <f>IF(ISBLANK('Raw sheet'!L1027),AVERAGE('Raw sheet'!$L$2:'Raw sheet'!$L$1500),'Raw sheet'!L1027)</f>
        <v>3.7</v>
      </c>
      <c r="O1027" s="5" t="str">
        <f>IF(Table1[[#This Row],[Stress_Index]]&gt;=8,"High",IF(N1027&gt;=5,"Medium","Low"))</f>
        <v>Low</v>
      </c>
      <c r="P1027" s="3">
        <v>3.84</v>
      </c>
      <c r="Q1027" s="2">
        <v>3.25</v>
      </c>
      <c r="R1027" s="3">
        <v>3.28</v>
      </c>
      <c r="S1027" s="3" t="str">
        <f>IF(Table1[[#This Row],[CGPA]]&gt;=3,"High",IF(R1026&gt;=2,"Medium","Low"))</f>
        <v>High</v>
      </c>
      <c r="T1027" s="2" t="s">
        <v>12</v>
      </c>
      <c r="U1027" s="2" t="s">
        <v>1</v>
      </c>
      <c r="V1027" s="2" t="s">
        <v>9</v>
      </c>
      <c r="W1027" s="7">
        <v>0</v>
      </c>
      <c r="X1027" t="str">
        <f t="shared" si="33"/>
        <v>Active</v>
      </c>
    </row>
    <row r="1028" spans="1:24" x14ac:dyDescent="0.3">
      <c r="A1028" s="2">
        <v>1027</v>
      </c>
      <c r="B1028" s="7">
        <v>21.1</v>
      </c>
      <c r="C1028" s="2" t="s">
        <v>11</v>
      </c>
      <c r="D1028" s="7">
        <f>IF(ISBLANK('Raw sheet'!D1028),AVERAGE('Raw sheet'!$D$2:'Raw sheet'!$D$1500),'Raw sheet'!D1028)</f>
        <v>38587.00282087447</v>
      </c>
      <c r="E1028" s="7" t="str">
        <f>IF(Table1[[#This Row],[Family_Income]]&gt;=100000,"Upper",IF(D1028&gt;=50000,"Middle","Lower"))</f>
        <v>Lower</v>
      </c>
      <c r="F1028" s="2" t="s">
        <v>4</v>
      </c>
      <c r="G1028" s="3">
        <f>IF(ISBLANK('Raw sheet'!F1028),AVERAGE('Raw sheet'!$F$2:'Raw sheet'!$F$1500),'Raw sheet'!F1028)</f>
        <v>4.0178702397743278</v>
      </c>
      <c r="H1028" s="18">
        <v>96.5</v>
      </c>
      <c r="I1028" s="9" t="str">
        <f t="shared" si="32"/>
        <v>Good</v>
      </c>
      <c r="J1028" s="2">
        <v>4</v>
      </c>
      <c r="K1028" s="2">
        <v>40.200000000000003</v>
      </c>
      <c r="L1028" s="2" t="s">
        <v>4</v>
      </c>
      <c r="M1028" s="2" t="s">
        <v>4</v>
      </c>
      <c r="N1028" s="5">
        <f>IF(ISBLANK('Raw sheet'!L1028),AVERAGE('Raw sheet'!$L$2:'Raw sheet'!$L$1500),'Raw sheet'!L1028)</f>
        <v>5.5242595204513369</v>
      </c>
      <c r="O1028" s="5" t="str">
        <f>IF(Table1[[#This Row],[Stress_Index]]&gt;=8,"High",IF(N1028&gt;=5,"Medium","Low"))</f>
        <v>Medium</v>
      </c>
      <c r="P1028" s="3">
        <v>4</v>
      </c>
      <c r="Q1028" s="2">
        <v>3.81</v>
      </c>
      <c r="R1028" s="3">
        <v>3.75</v>
      </c>
      <c r="S1028" s="3" t="str">
        <f>IF(Table1[[#This Row],[CGPA]]&gt;=3,"High",IF(R1027&gt;=2,"Medium","Low"))</f>
        <v>High</v>
      </c>
      <c r="T1028" s="2" t="s">
        <v>12</v>
      </c>
      <c r="U1028" s="2" t="s">
        <v>13</v>
      </c>
      <c r="V1028" s="2" t="s">
        <v>9</v>
      </c>
      <c r="W1028" s="7">
        <v>0</v>
      </c>
      <c r="X1028" t="str">
        <f t="shared" si="33"/>
        <v>Active</v>
      </c>
    </row>
    <row r="1029" spans="1:24" x14ac:dyDescent="0.3">
      <c r="A1029" s="2">
        <v>1028</v>
      </c>
      <c r="B1029" s="7">
        <v>21.3</v>
      </c>
      <c r="C1029" s="2" t="s">
        <v>5</v>
      </c>
      <c r="D1029" s="7">
        <f>IF(ISBLANK('Raw sheet'!D1029),AVERAGE('Raw sheet'!$D$2:'Raw sheet'!$D$1500),'Raw sheet'!D1029)</f>
        <v>34949</v>
      </c>
      <c r="E1029" s="7" t="str">
        <f>IF(Table1[[#This Row],[Family_Income]]&gt;=100000,"Upper",IF(D1029&gt;=50000,"Middle","Lower"))</f>
        <v>Lower</v>
      </c>
      <c r="F1029" s="2" t="s">
        <v>4</v>
      </c>
      <c r="G1029" s="3">
        <f>IF(ISBLANK('Raw sheet'!F1029),AVERAGE('Raw sheet'!$F$2:'Raw sheet'!$F$1500),'Raw sheet'!F1029)</f>
        <v>2.97</v>
      </c>
      <c r="H1029" s="18">
        <v>86.2</v>
      </c>
      <c r="I1029" s="9" t="str">
        <f t="shared" si="32"/>
        <v>Good</v>
      </c>
      <c r="J1029" s="2">
        <v>1</v>
      </c>
      <c r="K1029" s="2">
        <v>33.5</v>
      </c>
      <c r="L1029" s="2" t="s">
        <v>3</v>
      </c>
      <c r="M1029" s="2" t="s">
        <v>3</v>
      </c>
      <c r="N1029" s="5">
        <f>IF(ISBLANK('Raw sheet'!L1029),AVERAGE('Raw sheet'!$L$2:'Raw sheet'!$L$1500),'Raw sheet'!L1029)</f>
        <v>4.2</v>
      </c>
      <c r="O1029" s="5" t="str">
        <f>IF(Table1[[#This Row],[Stress_Index]]&gt;=8,"High",IF(N1029&gt;=5,"Medium","Low"))</f>
        <v>Low</v>
      </c>
      <c r="P1029" s="3">
        <v>3.89</v>
      </c>
      <c r="Q1029" s="2">
        <v>4</v>
      </c>
      <c r="R1029" s="3">
        <v>3.98</v>
      </c>
      <c r="S1029" s="3" t="str">
        <f>IF(Table1[[#This Row],[CGPA]]&gt;=3,"High",IF(R1028&gt;=2,"Medium","Low"))</f>
        <v>High</v>
      </c>
      <c r="T1029" s="2" t="s">
        <v>10</v>
      </c>
      <c r="U1029" s="2" t="s">
        <v>14</v>
      </c>
      <c r="V1029" s="2" t="s">
        <v>9</v>
      </c>
      <c r="W1029" s="7">
        <v>0</v>
      </c>
      <c r="X1029" t="str">
        <f t="shared" si="33"/>
        <v>Active</v>
      </c>
    </row>
    <row r="1030" spans="1:24" x14ac:dyDescent="0.3">
      <c r="A1030" s="2">
        <v>1029</v>
      </c>
      <c r="B1030" s="7">
        <v>22.3</v>
      </c>
      <c r="C1030" s="2" t="s">
        <v>11</v>
      </c>
      <c r="D1030" s="7">
        <f>IF(ISBLANK('Raw sheet'!D1030),AVERAGE('Raw sheet'!$D$2:'Raw sheet'!$D$1500),'Raw sheet'!D1030)</f>
        <v>41768</v>
      </c>
      <c r="E1030" s="7" t="str">
        <f>IF(Table1[[#This Row],[Family_Income]]&gt;=100000,"Upper",IF(D1030&gt;=50000,"Middle","Lower"))</f>
        <v>Lower</v>
      </c>
      <c r="F1030" s="2" t="s">
        <v>4</v>
      </c>
      <c r="G1030" s="3">
        <f>IF(ISBLANK('Raw sheet'!F1030),AVERAGE('Raw sheet'!$F$2:'Raw sheet'!$F$1500),'Raw sheet'!F1030)</f>
        <v>4.83</v>
      </c>
      <c r="H1030" s="18">
        <v>82.6</v>
      </c>
      <c r="I1030" s="9" t="str">
        <f t="shared" si="32"/>
        <v>Good</v>
      </c>
      <c r="J1030" s="2">
        <v>1</v>
      </c>
      <c r="K1030" s="2">
        <v>39.1</v>
      </c>
      <c r="L1030" s="2" t="s">
        <v>4</v>
      </c>
      <c r="M1030" s="2" t="s">
        <v>3</v>
      </c>
      <c r="N1030" s="5">
        <f>IF(ISBLANK('Raw sheet'!L1030),AVERAGE('Raw sheet'!$L$2:'Raw sheet'!$L$1500),'Raw sheet'!L1030)</f>
        <v>4.4000000000000004</v>
      </c>
      <c r="O1030" s="5" t="str">
        <f>IF(Table1[[#This Row],[Stress_Index]]&gt;=8,"High",IF(N1030&gt;=5,"Medium","Low"))</f>
        <v>Low</v>
      </c>
      <c r="P1030" s="3">
        <v>2.73</v>
      </c>
      <c r="Q1030" s="2">
        <v>2.83</v>
      </c>
      <c r="R1030" s="3">
        <v>2.91</v>
      </c>
      <c r="S1030" s="3" t="str">
        <f>IF(Table1[[#This Row],[CGPA]]&gt;=3,"High",IF(R1029&gt;=2,"Medium","Low"))</f>
        <v>Medium</v>
      </c>
      <c r="T1030" s="2" t="s">
        <v>12</v>
      </c>
      <c r="U1030" s="2" t="s">
        <v>14</v>
      </c>
      <c r="V1030" s="2" t="s">
        <v>9</v>
      </c>
      <c r="W1030" s="7">
        <v>0</v>
      </c>
      <c r="X1030" t="str">
        <f t="shared" si="33"/>
        <v>Active</v>
      </c>
    </row>
    <row r="1031" spans="1:24" x14ac:dyDescent="0.3">
      <c r="A1031" s="2">
        <v>1030</v>
      </c>
      <c r="B1031" s="7">
        <v>18.7</v>
      </c>
      <c r="C1031" s="2" t="s">
        <v>5</v>
      </c>
      <c r="D1031" s="7">
        <f>IF(ISBLANK('Raw sheet'!D1031),AVERAGE('Raw sheet'!$D$2:'Raw sheet'!$D$1500),'Raw sheet'!D1031)</f>
        <v>35057</v>
      </c>
      <c r="E1031" s="7" t="str">
        <f>IF(Table1[[#This Row],[Family_Income]]&gt;=100000,"Upper",IF(D1031&gt;=50000,"Middle","Lower"))</f>
        <v>Lower</v>
      </c>
      <c r="F1031" s="2" t="s">
        <v>3</v>
      </c>
      <c r="G1031" s="3">
        <f>IF(ISBLANK('Raw sheet'!F1031),AVERAGE('Raw sheet'!$F$2:'Raw sheet'!$F$1500),'Raw sheet'!F1031)</f>
        <v>3.52</v>
      </c>
      <c r="H1031" s="18">
        <v>80.3</v>
      </c>
      <c r="I1031" s="9" t="str">
        <f t="shared" si="32"/>
        <v>Good</v>
      </c>
      <c r="J1031" s="2">
        <v>3</v>
      </c>
      <c r="K1031" s="2">
        <v>43</v>
      </c>
      <c r="L1031" s="2" t="s">
        <v>4</v>
      </c>
      <c r="M1031" s="2" t="s">
        <v>3</v>
      </c>
      <c r="N1031" s="5">
        <f>IF(ISBLANK('Raw sheet'!L1031),AVERAGE('Raw sheet'!$L$2:'Raw sheet'!$L$1500),'Raw sheet'!L1031)</f>
        <v>6.4</v>
      </c>
      <c r="O1031" s="5" t="str">
        <f>IF(Table1[[#This Row],[Stress_Index]]&gt;=8,"High",IF(N1031&gt;=5,"Medium","Low"))</f>
        <v>Medium</v>
      </c>
      <c r="P1031" s="3">
        <v>0.44</v>
      </c>
      <c r="Q1031" s="2">
        <v>0.46</v>
      </c>
      <c r="R1031" s="3">
        <v>0.46</v>
      </c>
      <c r="S1031" s="3" t="str">
        <f>IF(Table1[[#This Row],[CGPA]]&gt;=3,"High",IF(R1030&gt;=2,"Medium","Low"))</f>
        <v>Medium</v>
      </c>
      <c r="T1031" s="2" t="s">
        <v>2</v>
      </c>
      <c r="U1031" s="2" t="s">
        <v>1</v>
      </c>
      <c r="V1031" s="2" t="s">
        <v>15</v>
      </c>
      <c r="W1031" s="7">
        <v>1</v>
      </c>
      <c r="X1031" t="str">
        <f t="shared" si="33"/>
        <v>Dropped Out</v>
      </c>
    </row>
    <row r="1032" spans="1:24" x14ac:dyDescent="0.3">
      <c r="A1032" s="2">
        <v>1031</v>
      </c>
      <c r="B1032" s="7">
        <v>20.399999999999999</v>
      </c>
      <c r="C1032" s="2" t="s">
        <v>5</v>
      </c>
      <c r="D1032" s="7">
        <f>IF(ISBLANK('Raw sheet'!D1032),AVERAGE('Raw sheet'!$D$2:'Raw sheet'!$D$1500),'Raw sheet'!D1032)</f>
        <v>34162</v>
      </c>
      <c r="E1032" s="7" t="str">
        <f>IF(Table1[[#This Row],[Family_Income]]&gt;=100000,"Upper",IF(D1032&gt;=50000,"Middle","Lower"))</f>
        <v>Lower</v>
      </c>
      <c r="F1032" s="2" t="s">
        <v>3</v>
      </c>
      <c r="G1032" s="3">
        <f>IF(ISBLANK('Raw sheet'!F1032),AVERAGE('Raw sheet'!$F$2:'Raw sheet'!$F$1500),'Raw sheet'!F1032)</f>
        <v>3.07</v>
      </c>
      <c r="H1032" s="18">
        <v>75.7</v>
      </c>
      <c r="I1032" s="9" t="str">
        <f t="shared" si="32"/>
        <v>Good</v>
      </c>
      <c r="J1032" s="2">
        <v>1</v>
      </c>
      <c r="K1032" s="2">
        <v>30.5</v>
      </c>
      <c r="L1032" s="2" t="s">
        <v>4</v>
      </c>
      <c r="M1032" s="2" t="s">
        <v>4</v>
      </c>
      <c r="N1032" s="5">
        <f>IF(ISBLANK('Raw sheet'!L1032),AVERAGE('Raw sheet'!$L$2:'Raw sheet'!$L$1500),'Raw sheet'!L1032)</f>
        <v>7.5</v>
      </c>
      <c r="O1032" s="5" t="str">
        <f>IF(Table1[[#This Row],[Stress_Index]]&gt;=8,"High",IF(N1032&gt;=5,"Medium","Low"))</f>
        <v>Medium</v>
      </c>
      <c r="P1032" s="3">
        <v>1.1000000000000001</v>
      </c>
      <c r="Q1032" s="2">
        <v>1.31</v>
      </c>
      <c r="R1032" s="3">
        <v>1.31</v>
      </c>
      <c r="S1032" s="3" t="str">
        <f>IF(Table1[[#This Row],[CGPA]]&gt;=3,"High",IF(R1031&gt;=2,"Medium","Low"))</f>
        <v>Low</v>
      </c>
      <c r="T1032" s="2" t="s">
        <v>12</v>
      </c>
      <c r="U1032" s="2" t="s">
        <v>8</v>
      </c>
      <c r="V1032" s="2" t="s">
        <v>9</v>
      </c>
      <c r="W1032" s="7">
        <v>1</v>
      </c>
      <c r="X1032" t="str">
        <f t="shared" si="33"/>
        <v>Dropped Out</v>
      </c>
    </row>
    <row r="1033" spans="1:24" x14ac:dyDescent="0.3">
      <c r="A1033" s="2">
        <v>1032</v>
      </c>
      <c r="B1033" s="7">
        <v>17.3</v>
      </c>
      <c r="C1033" s="2" t="s">
        <v>5</v>
      </c>
      <c r="D1033" s="7">
        <f>IF(ISBLANK('Raw sheet'!D1033),AVERAGE('Raw sheet'!$D$2:'Raw sheet'!$D$1500),'Raw sheet'!D1033)</f>
        <v>35805</v>
      </c>
      <c r="E1033" s="7" t="str">
        <f>IF(Table1[[#This Row],[Family_Income]]&gt;=100000,"Upper",IF(D1033&gt;=50000,"Middle","Lower"))</f>
        <v>Lower</v>
      </c>
      <c r="F1033" s="2" t="s">
        <v>4</v>
      </c>
      <c r="G1033" s="3">
        <f>IF(ISBLANK('Raw sheet'!F1033),AVERAGE('Raw sheet'!$F$2:'Raw sheet'!$F$1500),'Raw sheet'!F1033)</f>
        <v>2.11</v>
      </c>
      <c r="H1033" s="18">
        <v>78.7</v>
      </c>
      <c r="I1033" s="9" t="str">
        <f t="shared" si="32"/>
        <v>Good</v>
      </c>
      <c r="J1033" s="2">
        <v>0</v>
      </c>
      <c r="K1033" s="2">
        <v>23.6</v>
      </c>
      <c r="L1033" s="2" t="s">
        <v>4</v>
      </c>
      <c r="M1033" s="2" t="s">
        <v>3</v>
      </c>
      <c r="N1033" s="5">
        <f>IF(ISBLANK('Raw sheet'!L1033),AVERAGE('Raw sheet'!$L$2:'Raw sheet'!$L$1500),'Raw sheet'!L1033)</f>
        <v>6.2</v>
      </c>
      <c r="O1033" s="5" t="str">
        <f>IF(Table1[[#This Row],[Stress_Index]]&gt;=8,"High",IF(N1033&gt;=5,"Medium","Low"))</f>
        <v>Medium</v>
      </c>
      <c r="P1033" s="3">
        <v>1.71</v>
      </c>
      <c r="Q1033" s="2">
        <v>1.43</v>
      </c>
      <c r="R1033" s="3">
        <v>1.43</v>
      </c>
      <c r="S1033" s="3" t="str">
        <f>IF(Table1[[#This Row],[CGPA]]&gt;=3,"High",IF(R1032&gt;=2,"Medium","Low"))</f>
        <v>Low</v>
      </c>
      <c r="T1033" s="2" t="s">
        <v>2</v>
      </c>
      <c r="U1033" s="2" t="s">
        <v>8</v>
      </c>
      <c r="V1033" s="2" t="s">
        <v>9</v>
      </c>
      <c r="W1033" s="7">
        <v>1</v>
      </c>
      <c r="X1033" t="str">
        <f t="shared" si="33"/>
        <v>Dropped Out</v>
      </c>
    </row>
    <row r="1034" spans="1:24" x14ac:dyDescent="0.3">
      <c r="A1034" s="2">
        <v>1033</v>
      </c>
      <c r="B1034" s="7">
        <v>21.9</v>
      </c>
      <c r="C1034" s="2" t="s">
        <v>11</v>
      </c>
      <c r="D1034" s="7">
        <f>IF(ISBLANK('Raw sheet'!D1034),AVERAGE('Raw sheet'!$D$2:'Raw sheet'!$D$1500),'Raw sheet'!D1034)</f>
        <v>25000</v>
      </c>
      <c r="E1034" s="7" t="str">
        <f>IF(Table1[[#This Row],[Family_Income]]&gt;=100000,"Upper",IF(D1034&gt;=50000,"Middle","Lower"))</f>
        <v>Lower</v>
      </c>
      <c r="F1034" s="2" t="s">
        <v>4</v>
      </c>
      <c r="G1034" s="3">
        <f>IF(ISBLANK('Raw sheet'!F1034),AVERAGE('Raw sheet'!$F$2:'Raw sheet'!$F$1500),'Raw sheet'!F1034)</f>
        <v>2.8</v>
      </c>
      <c r="H1034" s="18">
        <v>85.1</v>
      </c>
      <c r="I1034" s="9" t="str">
        <f t="shared" si="32"/>
        <v>Good</v>
      </c>
      <c r="J1034" s="2">
        <v>3</v>
      </c>
      <c r="K1034" s="2">
        <v>18.8</v>
      </c>
      <c r="L1034" s="2" t="s">
        <v>3</v>
      </c>
      <c r="M1034" s="2" t="s">
        <v>4</v>
      </c>
      <c r="N1034" s="5">
        <f>IF(ISBLANK('Raw sheet'!L1034),AVERAGE('Raw sheet'!$L$2:'Raw sheet'!$L$1500),'Raw sheet'!L1034)</f>
        <v>5.7</v>
      </c>
      <c r="O1034" s="5" t="str">
        <f>IF(Table1[[#This Row],[Stress_Index]]&gt;=8,"High",IF(N1034&gt;=5,"Medium","Low"))</f>
        <v>Medium</v>
      </c>
      <c r="P1034" s="3">
        <v>1.54</v>
      </c>
      <c r="Q1034" s="2">
        <v>1.1399999999999999</v>
      </c>
      <c r="R1034" s="3">
        <v>1.17</v>
      </c>
      <c r="S1034" s="3" t="str">
        <f>IF(Table1[[#This Row],[CGPA]]&gt;=3,"High",IF(R1033&gt;=2,"Medium","Low"))</f>
        <v>Low</v>
      </c>
      <c r="T1034" s="2" t="s">
        <v>10</v>
      </c>
      <c r="U1034" s="2" t="s">
        <v>13</v>
      </c>
      <c r="V1034" s="2" t="s">
        <v>9</v>
      </c>
      <c r="W1034" s="7">
        <v>0</v>
      </c>
      <c r="X1034" t="str">
        <f t="shared" si="33"/>
        <v>Active</v>
      </c>
    </row>
    <row r="1035" spans="1:24" x14ac:dyDescent="0.3">
      <c r="A1035" s="2">
        <v>1034</v>
      </c>
      <c r="B1035" s="7">
        <v>22.4</v>
      </c>
      <c r="C1035" s="2" t="s">
        <v>11</v>
      </c>
      <c r="D1035" s="7">
        <f>IF(ISBLANK('Raw sheet'!D1035),AVERAGE('Raw sheet'!$D$2:'Raw sheet'!$D$1500),'Raw sheet'!D1035)</f>
        <v>25592</v>
      </c>
      <c r="E1035" s="7" t="str">
        <f>IF(Table1[[#This Row],[Family_Income]]&gt;=100000,"Upper",IF(D1035&gt;=50000,"Middle","Lower"))</f>
        <v>Lower</v>
      </c>
      <c r="F1035" s="2" t="s">
        <v>4</v>
      </c>
      <c r="G1035" s="3">
        <f>IF(ISBLANK('Raw sheet'!F1035),AVERAGE('Raw sheet'!$F$2:'Raw sheet'!$F$1500),'Raw sheet'!F1035)</f>
        <v>4.55</v>
      </c>
      <c r="H1035" s="18">
        <v>91.5</v>
      </c>
      <c r="I1035" s="9" t="str">
        <f t="shared" si="32"/>
        <v>Good</v>
      </c>
      <c r="J1035" s="2">
        <v>0</v>
      </c>
      <c r="K1035" s="2">
        <v>51.1</v>
      </c>
      <c r="L1035" s="2" t="s">
        <v>3</v>
      </c>
      <c r="M1035" s="2" t="s">
        <v>3</v>
      </c>
      <c r="N1035" s="5">
        <f>IF(ISBLANK('Raw sheet'!L1035),AVERAGE('Raw sheet'!$L$2:'Raw sheet'!$L$1500),'Raw sheet'!L1035)</f>
        <v>7</v>
      </c>
      <c r="O1035" s="5" t="str">
        <f>IF(Table1[[#This Row],[Stress_Index]]&gt;=8,"High",IF(N1035&gt;=5,"Medium","Low"))</f>
        <v>Medium</v>
      </c>
      <c r="P1035" s="3">
        <v>2.2200000000000002</v>
      </c>
      <c r="Q1035" s="2">
        <v>2.78</v>
      </c>
      <c r="R1035" s="3">
        <v>2.78</v>
      </c>
      <c r="S1035" s="3" t="str">
        <f>IF(Table1[[#This Row],[CGPA]]&gt;=3,"High",IF(R1034&gt;=2,"Medium","Low"))</f>
        <v>Low</v>
      </c>
      <c r="T1035" s="2" t="s">
        <v>2</v>
      </c>
      <c r="U1035" s="2" t="s">
        <v>1</v>
      </c>
      <c r="V1035" s="2" t="s">
        <v>15</v>
      </c>
      <c r="W1035" s="7">
        <v>0</v>
      </c>
      <c r="X1035" t="str">
        <f t="shared" si="33"/>
        <v>Active</v>
      </c>
    </row>
    <row r="1036" spans="1:24" x14ac:dyDescent="0.3">
      <c r="A1036" s="2">
        <v>1035</v>
      </c>
      <c r="B1036" s="7">
        <v>19.899999999999999</v>
      </c>
      <c r="C1036" s="2" t="s">
        <v>11</v>
      </c>
      <c r="D1036" s="7">
        <f>IF(ISBLANK('Raw sheet'!D1036),AVERAGE('Raw sheet'!$D$2:'Raw sheet'!$D$1500),'Raw sheet'!D1036)</f>
        <v>59716</v>
      </c>
      <c r="E1036" s="7" t="str">
        <f>IF(Table1[[#This Row],[Family_Income]]&gt;=100000,"Upper",IF(D1036&gt;=50000,"Middle","Lower"))</f>
        <v>Middle</v>
      </c>
      <c r="F1036" s="2" t="s">
        <v>4</v>
      </c>
      <c r="G1036" s="3">
        <f>IF(ISBLANK('Raw sheet'!F1036),AVERAGE('Raw sheet'!$F$2:'Raw sheet'!$F$1500),'Raw sheet'!F1036)</f>
        <v>1.4</v>
      </c>
      <c r="H1036" s="18">
        <v>91.9</v>
      </c>
      <c r="I1036" s="9" t="str">
        <f t="shared" si="32"/>
        <v>Good</v>
      </c>
      <c r="J1036" s="2">
        <v>2</v>
      </c>
      <c r="K1036" s="2">
        <v>39.799999999999997</v>
      </c>
      <c r="L1036" s="2" t="s">
        <v>4</v>
      </c>
      <c r="M1036" s="2" t="s">
        <v>3</v>
      </c>
      <c r="N1036" s="5">
        <f>IF(ISBLANK('Raw sheet'!L1036),AVERAGE('Raw sheet'!$L$2:'Raw sheet'!$L$1500),'Raw sheet'!L1036)</f>
        <v>5.0999999999999996</v>
      </c>
      <c r="O1036" s="5" t="str">
        <f>IF(Table1[[#This Row],[Stress_Index]]&gt;=8,"High",IF(N1036&gt;=5,"Medium","Low"))</f>
        <v>Medium</v>
      </c>
      <c r="P1036" s="3">
        <v>2.12</v>
      </c>
      <c r="Q1036" s="2">
        <v>2.11</v>
      </c>
      <c r="R1036" s="3">
        <v>2.06</v>
      </c>
      <c r="S1036" s="3" t="str">
        <f>IF(Table1[[#This Row],[CGPA]]&gt;=3,"High",IF(R1035&gt;=2,"Medium","Low"))</f>
        <v>Medium</v>
      </c>
      <c r="T1036" s="2" t="s">
        <v>10</v>
      </c>
      <c r="U1036" s="2" t="s">
        <v>8</v>
      </c>
      <c r="V1036" s="2" t="s">
        <v>9</v>
      </c>
      <c r="W1036" s="7">
        <v>0</v>
      </c>
      <c r="X1036" t="str">
        <f t="shared" si="33"/>
        <v>Active</v>
      </c>
    </row>
    <row r="1037" spans="1:24" x14ac:dyDescent="0.3">
      <c r="A1037" s="2">
        <v>1036</v>
      </c>
      <c r="B1037" s="7">
        <v>24.5</v>
      </c>
      <c r="C1037" s="2" t="s">
        <v>5</v>
      </c>
      <c r="D1037" s="7">
        <f>IF(ISBLANK('Raw sheet'!D1037),AVERAGE('Raw sheet'!$D$2:'Raw sheet'!$D$1500),'Raw sheet'!D1037)</f>
        <v>316601</v>
      </c>
      <c r="E1037" s="7" t="str">
        <f>IF(Table1[[#This Row],[Family_Income]]&gt;=100000,"Upper",IF(D1037&gt;=50000,"Middle","Lower"))</f>
        <v>Upper</v>
      </c>
      <c r="F1037" s="2" t="s">
        <v>3</v>
      </c>
      <c r="G1037" s="3">
        <f>IF(ISBLANK('Raw sheet'!F1037),AVERAGE('Raw sheet'!$F$2:'Raw sheet'!$F$1500),'Raw sheet'!F1037)</f>
        <v>6.18</v>
      </c>
      <c r="H1037" s="18">
        <v>83.4</v>
      </c>
      <c r="I1037" s="9" t="str">
        <f t="shared" si="32"/>
        <v>Good</v>
      </c>
      <c r="J1037" s="2">
        <v>3</v>
      </c>
      <c r="K1037" s="2">
        <v>5</v>
      </c>
      <c r="L1037" s="2" t="s">
        <v>4</v>
      </c>
      <c r="M1037" s="2" t="s">
        <v>4</v>
      </c>
      <c r="N1037" s="5">
        <f>IF(ISBLANK('Raw sheet'!L1037),AVERAGE('Raw sheet'!$L$2:'Raw sheet'!$L$1500),'Raw sheet'!L1037)</f>
        <v>8.1</v>
      </c>
      <c r="O1037" s="5" t="str">
        <f>IF(Table1[[#This Row],[Stress_Index]]&gt;=8,"High",IF(N1037&gt;=5,"Medium","Low"))</f>
        <v>High</v>
      </c>
      <c r="P1037" s="3">
        <v>1.01</v>
      </c>
      <c r="Q1037" s="2">
        <v>0.81</v>
      </c>
      <c r="R1037" s="3">
        <v>0.94</v>
      </c>
      <c r="S1037" s="3" t="str">
        <f>IF(Table1[[#This Row],[CGPA]]&gt;=3,"High",IF(R1036&gt;=2,"Medium","Low"))</f>
        <v>Medium</v>
      </c>
      <c r="T1037" s="2" t="s">
        <v>7</v>
      </c>
      <c r="U1037" s="2" t="s">
        <v>8</v>
      </c>
      <c r="V1037" s="2" t="s">
        <v>9</v>
      </c>
      <c r="W1037" s="7">
        <v>1</v>
      </c>
      <c r="X1037" t="str">
        <f t="shared" si="33"/>
        <v>Dropped Out</v>
      </c>
    </row>
    <row r="1038" spans="1:24" x14ac:dyDescent="0.3">
      <c r="A1038" s="2">
        <v>1037</v>
      </c>
      <c r="B1038" s="7">
        <v>18.3</v>
      </c>
      <c r="C1038" s="2" t="s">
        <v>5</v>
      </c>
      <c r="D1038" s="7">
        <f>IF(ISBLANK('Raw sheet'!D1038),AVERAGE('Raw sheet'!$D$2:'Raw sheet'!$D$1500),'Raw sheet'!D1038)</f>
        <v>25000</v>
      </c>
      <c r="E1038" s="7" t="str">
        <f>IF(Table1[[#This Row],[Family_Income]]&gt;=100000,"Upper",IF(D1038&gt;=50000,"Middle","Lower"))</f>
        <v>Lower</v>
      </c>
      <c r="F1038" s="2" t="s">
        <v>4</v>
      </c>
      <c r="G1038" s="3">
        <f>IF(ISBLANK('Raw sheet'!F1038),AVERAGE('Raw sheet'!$F$2:'Raw sheet'!$F$1500),'Raw sheet'!F1038)</f>
        <v>3.8</v>
      </c>
      <c r="H1038" s="18">
        <v>83.5</v>
      </c>
      <c r="I1038" s="9" t="str">
        <f t="shared" si="32"/>
        <v>Good</v>
      </c>
      <c r="J1038" s="2">
        <v>3</v>
      </c>
      <c r="K1038" s="2">
        <v>27.1</v>
      </c>
      <c r="L1038" s="2" t="s">
        <v>4</v>
      </c>
      <c r="M1038" s="2" t="s">
        <v>4</v>
      </c>
      <c r="N1038" s="5">
        <f>IF(ISBLANK('Raw sheet'!L1038),AVERAGE('Raw sheet'!$L$2:'Raw sheet'!$L$1500),'Raw sheet'!L1038)</f>
        <v>10</v>
      </c>
      <c r="O1038" s="5" t="str">
        <f>IF(Table1[[#This Row],[Stress_Index]]&gt;=8,"High",IF(N1038&gt;=5,"Medium","Low"))</f>
        <v>High</v>
      </c>
      <c r="P1038" s="3">
        <v>1.75</v>
      </c>
      <c r="Q1038" s="2">
        <v>1.71</v>
      </c>
      <c r="R1038" s="3">
        <v>1.77</v>
      </c>
      <c r="S1038" s="3" t="str">
        <f>IF(Table1[[#This Row],[CGPA]]&gt;=3,"High",IF(R1037&gt;=2,"Medium","Low"))</f>
        <v>Low</v>
      </c>
      <c r="T1038" s="2" t="s">
        <v>12</v>
      </c>
      <c r="U1038" s="2" t="s">
        <v>14</v>
      </c>
      <c r="V1038" s="2" t="s">
        <v>9</v>
      </c>
      <c r="W1038" s="7">
        <v>0</v>
      </c>
      <c r="X1038" t="str">
        <f t="shared" si="33"/>
        <v>Active</v>
      </c>
    </row>
    <row r="1039" spans="1:24" x14ac:dyDescent="0.3">
      <c r="A1039" s="2">
        <v>1038</v>
      </c>
      <c r="B1039" s="7">
        <v>17.8</v>
      </c>
      <c r="C1039" s="2" t="s">
        <v>5</v>
      </c>
      <c r="D1039" s="7">
        <f>IF(ISBLANK('Raw sheet'!D1039),AVERAGE('Raw sheet'!$D$2:'Raw sheet'!$D$1500),'Raw sheet'!D1039)</f>
        <v>38325</v>
      </c>
      <c r="E1039" s="7" t="str">
        <f>IF(Table1[[#This Row],[Family_Income]]&gt;=100000,"Upper",IF(D1039&gt;=50000,"Middle","Lower"))</f>
        <v>Lower</v>
      </c>
      <c r="F1039" s="2" t="s">
        <v>4</v>
      </c>
      <c r="G1039" s="3">
        <f>IF(ISBLANK('Raw sheet'!F1039),AVERAGE('Raw sheet'!$F$2:'Raw sheet'!$F$1500),'Raw sheet'!F1039)</f>
        <v>2.87</v>
      </c>
      <c r="H1039" s="18">
        <v>82.4</v>
      </c>
      <c r="I1039" s="9" t="str">
        <f t="shared" si="32"/>
        <v>Good</v>
      </c>
      <c r="J1039" s="2">
        <v>1</v>
      </c>
      <c r="K1039" s="2">
        <v>35</v>
      </c>
      <c r="L1039" s="2" t="s">
        <v>4</v>
      </c>
      <c r="M1039" s="2" t="s">
        <v>3</v>
      </c>
      <c r="N1039" s="5">
        <f>IF(ISBLANK('Raw sheet'!L1039),AVERAGE('Raw sheet'!$L$2:'Raw sheet'!$L$1500),'Raw sheet'!L1039)</f>
        <v>4.4000000000000004</v>
      </c>
      <c r="O1039" s="5" t="str">
        <f>IF(Table1[[#This Row],[Stress_Index]]&gt;=8,"High",IF(N1039&gt;=5,"Medium","Low"))</f>
        <v>Low</v>
      </c>
      <c r="P1039" s="3">
        <v>1.1499999999999999</v>
      </c>
      <c r="Q1039" s="2">
        <v>0.92</v>
      </c>
      <c r="R1039" s="3">
        <v>0.9</v>
      </c>
      <c r="S1039" s="3" t="str">
        <f>IF(Table1[[#This Row],[CGPA]]&gt;=3,"High",IF(R1038&gt;=2,"Medium","Low"))</f>
        <v>Low</v>
      </c>
      <c r="T1039" s="2" t="s">
        <v>12</v>
      </c>
      <c r="U1039" s="2" t="s">
        <v>8</v>
      </c>
      <c r="V1039" s="2" t="s">
        <v>9</v>
      </c>
      <c r="W1039" s="7">
        <v>1</v>
      </c>
      <c r="X1039" t="str">
        <f t="shared" si="33"/>
        <v>Dropped Out</v>
      </c>
    </row>
    <row r="1040" spans="1:24" x14ac:dyDescent="0.3">
      <c r="A1040" s="2">
        <v>1039</v>
      </c>
      <c r="B1040" s="7">
        <v>21.5</v>
      </c>
      <c r="C1040" s="2" t="s">
        <v>11</v>
      </c>
      <c r="D1040" s="7">
        <f>IF(ISBLANK('Raw sheet'!D1040),AVERAGE('Raw sheet'!$D$2:'Raw sheet'!$D$1500),'Raw sheet'!D1040)</f>
        <v>25000</v>
      </c>
      <c r="E1040" s="7" t="str">
        <f>IF(Table1[[#This Row],[Family_Income]]&gt;=100000,"Upper",IF(D1040&gt;=50000,"Middle","Lower"))</f>
        <v>Lower</v>
      </c>
      <c r="F1040" s="2" t="s">
        <v>4</v>
      </c>
      <c r="G1040" s="3">
        <f>IF(ISBLANK('Raw sheet'!F1040),AVERAGE('Raw sheet'!$F$2:'Raw sheet'!$F$1500),'Raw sheet'!F1040)</f>
        <v>4.7699999999999996</v>
      </c>
      <c r="H1040" s="18">
        <v>86.6</v>
      </c>
      <c r="I1040" s="9" t="str">
        <f t="shared" si="32"/>
        <v>Good</v>
      </c>
      <c r="J1040" s="2">
        <v>4</v>
      </c>
      <c r="K1040" s="2">
        <v>50.1</v>
      </c>
      <c r="L1040" s="2" t="s">
        <v>3</v>
      </c>
      <c r="M1040" s="2" t="s">
        <v>4</v>
      </c>
      <c r="N1040" s="5">
        <f>IF(ISBLANK('Raw sheet'!L1040),AVERAGE('Raw sheet'!$L$2:'Raw sheet'!$L$1500),'Raw sheet'!L1040)</f>
        <v>7.7</v>
      </c>
      <c r="O1040" s="5" t="str">
        <f>IF(Table1[[#This Row],[Stress_Index]]&gt;=8,"High",IF(N1040&gt;=5,"Medium","Low"))</f>
        <v>Medium</v>
      </c>
      <c r="P1040" s="3">
        <v>2.16</v>
      </c>
      <c r="Q1040" s="2">
        <v>1.76</v>
      </c>
      <c r="R1040" s="3">
        <v>1.79</v>
      </c>
      <c r="S1040" s="3" t="str">
        <f>IF(Table1[[#This Row],[CGPA]]&gt;=3,"High",IF(R1039&gt;=2,"Medium","Low"))</f>
        <v>Low</v>
      </c>
      <c r="T1040" s="2" t="s">
        <v>12</v>
      </c>
      <c r="U1040" s="2" t="s">
        <v>1</v>
      </c>
      <c r="V1040" s="2" t="s">
        <v>15</v>
      </c>
      <c r="W1040" s="7">
        <v>0</v>
      </c>
      <c r="X1040" t="str">
        <f t="shared" si="33"/>
        <v>Active</v>
      </c>
    </row>
    <row r="1041" spans="1:24" x14ac:dyDescent="0.3">
      <c r="A1041" s="2">
        <v>1040</v>
      </c>
      <c r="B1041" s="7">
        <v>23.3</v>
      </c>
      <c r="C1041" s="2" t="s">
        <v>5</v>
      </c>
      <c r="D1041" s="7">
        <f>IF(ISBLANK('Raw sheet'!D1041),AVERAGE('Raw sheet'!$D$2:'Raw sheet'!$D$1500),'Raw sheet'!D1041)</f>
        <v>101579</v>
      </c>
      <c r="E1041" s="7" t="str">
        <f>IF(Table1[[#This Row],[Family_Income]]&gt;=100000,"Upper",IF(D1041&gt;=50000,"Middle","Lower"))</f>
        <v>Upper</v>
      </c>
      <c r="F1041" s="2" t="s">
        <v>3</v>
      </c>
      <c r="G1041" s="3">
        <f>IF(ISBLANK('Raw sheet'!F1041),AVERAGE('Raw sheet'!$F$2:'Raw sheet'!$F$1500),'Raw sheet'!F1041)</f>
        <v>3.46</v>
      </c>
      <c r="H1041" s="18">
        <v>82.4</v>
      </c>
      <c r="I1041" s="9" t="str">
        <f t="shared" si="32"/>
        <v>Good</v>
      </c>
      <c r="J1041" s="2">
        <v>2</v>
      </c>
      <c r="K1041" s="2">
        <v>16.8</v>
      </c>
      <c r="L1041" s="2" t="s">
        <v>4</v>
      </c>
      <c r="M1041" s="2" t="s">
        <v>4</v>
      </c>
      <c r="N1041" s="5">
        <f>IF(ISBLANK('Raw sheet'!L1041),AVERAGE('Raw sheet'!$L$2:'Raw sheet'!$L$1500),'Raw sheet'!L1041)</f>
        <v>7.7</v>
      </c>
      <c r="O1041" s="5" t="str">
        <f>IF(Table1[[#This Row],[Stress_Index]]&gt;=8,"High",IF(N1041&gt;=5,"Medium","Low"))</f>
        <v>Medium</v>
      </c>
      <c r="P1041" s="3">
        <v>0.36</v>
      </c>
      <c r="Q1041" s="2">
        <v>0.56999999999999995</v>
      </c>
      <c r="R1041" s="3">
        <v>0.56999999999999995</v>
      </c>
      <c r="S1041" s="3" t="str">
        <f>IF(Table1[[#This Row],[CGPA]]&gt;=3,"High",IF(R1040&gt;=2,"Medium","Low"))</f>
        <v>Low</v>
      </c>
      <c r="T1041" s="2" t="s">
        <v>2</v>
      </c>
      <c r="U1041" s="2" t="s">
        <v>13</v>
      </c>
      <c r="V1041" s="2" t="s">
        <v>15</v>
      </c>
      <c r="W1041" s="7">
        <v>1</v>
      </c>
      <c r="X1041" t="str">
        <f t="shared" si="33"/>
        <v>Dropped Out</v>
      </c>
    </row>
    <row r="1042" spans="1:24" x14ac:dyDescent="0.3">
      <c r="A1042" s="2">
        <v>1041</v>
      </c>
      <c r="B1042" s="7">
        <v>24.7</v>
      </c>
      <c r="C1042" s="2" t="s">
        <v>11</v>
      </c>
      <c r="D1042" s="7">
        <f>IF(ISBLANK('Raw sheet'!D1042),AVERAGE('Raw sheet'!$D$2:'Raw sheet'!$D$1500),'Raw sheet'!D1042)</f>
        <v>25000</v>
      </c>
      <c r="E1042" s="7" t="str">
        <f>IF(Table1[[#This Row],[Family_Income]]&gt;=100000,"Upper",IF(D1042&gt;=50000,"Middle","Lower"))</f>
        <v>Lower</v>
      </c>
      <c r="F1042" s="2" t="s">
        <v>4</v>
      </c>
      <c r="G1042" s="3">
        <f>IF(ISBLANK('Raw sheet'!F1042),AVERAGE('Raw sheet'!$F$2:'Raw sheet'!$F$1500),'Raw sheet'!F1042)</f>
        <v>5.16</v>
      </c>
      <c r="H1042" s="18">
        <v>82.5</v>
      </c>
      <c r="I1042" s="9" t="str">
        <f t="shared" si="32"/>
        <v>Good</v>
      </c>
      <c r="J1042" s="2">
        <v>2</v>
      </c>
      <c r="K1042" s="2">
        <v>35.1</v>
      </c>
      <c r="L1042" s="2" t="s">
        <v>3</v>
      </c>
      <c r="M1042" s="2" t="s">
        <v>4</v>
      </c>
      <c r="N1042" s="5">
        <f>IF(ISBLANK('Raw sheet'!L1042),AVERAGE('Raw sheet'!$L$2:'Raw sheet'!$L$1500),'Raw sheet'!L1042)</f>
        <v>6.4</v>
      </c>
      <c r="O1042" s="5" t="str">
        <f>IF(Table1[[#This Row],[Stress_Index]]&gt;=8,"High",IF(N1042&gt;=5,"Medium","Low"))</f>
        <v>Medium</v>
      </c>
      <c r="P1042" s="3">
        <v>1.96</v>
      </c>
      <c r="Q1042" s="2">
        <v>2.11</v>
      </c>
      <c r="R1042" s="3">
        <v>2.17</v>
      </c>
      <c r="S1042" s="3" t="str">
        <f>IF(Table1[[#This Row],[CGPA]]&gt;=3,"High",IF(R1041&gt;=2,"Medium","Low"))</f>
        <v>Low</v>
      </c>
      <c r="T1042" s="2" t="s">
        <v>10</v>
      </c>
      <c r="U1042" s="2" t="s">
        <v>13</v>
      </c>
      <c r="V1042" s="2" t="s">
        <v>17</v>
      </c>
      <c r="W1042" s="7">
        <v>0</v>
      </c>
      <c r="X1042" t="str">
        <f t="shared" si="33"/>
        <v>Active</v>
      </c>
    </row>
    <row r="1043" spans="1:24" x14ac:dyDescent="0.3">
      <c r="A1043" s="2">
        <v>1042</v>
      </c>
      <c r="B1043" s="7">
        <v>20</v>
      </c>
      <c r="C1043" s="2" t="s">
        <v>11</v>
      </c>
      <c r="D1043" s="7">
        <f>IF(ISBLANK('Raw sheet'!D1043),AVERAGE('Raw sheet'!$D$2:'Raw sheet'!$D$1500),'Raw sheet'!D1043)</f>
        <v>43259</v>
      </c>
      <c r="E1043" s="7" t="str">
        <f>IF(Table1[[#This Row],[Family_Income]]&gt;=100000,"Upper",IF(D1043&gt;=50000,"Middle","Lower"))</f>
        <v>Lower</v>
      </c>
      <c r="F1043" s="2" t="s">
        <v>4</v>
      </c>
      <c r="G1043" s="3">
        <f>IF(ISBLANK('Raw sheet'!F1043),AVERAGE('Raw sheet'!$F$2:'Raw sheet'!$F$1500),'Raw sheet'!F1043)</f>
        <v>2.62</v>
      </c>
      <c r="H1043" s="18">
        <v>75.099999999999994</v>
      </c>
      <c r="I1043" s="9" t="str">
        <f t="shared" si="32"/>
        <v>Good</v>
      </c>
      <c r="J1043" s="2">
        <v>1</v>
      </c>
      <c r="K1043" s="2">
        <v>25.2</v>
      </c>
      <c r="L1043" s="2" t="s">
        <v>3</v>
      </c>
      <c r="M1043" s="2" t="s">
        <v>3</v>
      </c>
      <c r="N1043" s="5">
        <f>IF(ISBLANK('Raw sheet'!L1043),AVERAGE('Raw sheet'!$L$2:'Raw sheet'!$L$1500),'Raw sheet'!L1043)</f>
        <v>7.8</v>
      </c>
      <c r="O1043" s="5" t="str">
        <f>IF(Table1[[#This Row],[Stress_Index]]&gt;=8,"High",IF(N1043&gt;=5,"Medium","Low"))</f>
        <v>Medium</v>
      </c>
      <c r="P1043" s="3">
        <v>2.4</v>
      </c>
      <c r="Q1043" s="2">
        <v>2.58</v>
      </c>
      <c r="R1043" s="3">
        <v>2.65</v>
      </c>
      <c r="S1043" s="3" t="str">
        <f>IF(Table1[[#This Row],[CGPA]]&gt;=3,"High",IF(R1042&gt;=2,"Medium","Low"))</f>
        <v>Medium</v>
      </c>
      <c r="T1043" s="2" t="s">
        <v>7</v>
      </c>
      <c r="U1043" s="2" t="s">
        <v>14</v>
      </c>
      <c r="V1043" s="2" t="s">
        <v>15</v>
      </c>
      <c r="W1043" s="7">
        <v>0</v>
      </c>
      <c r="X1043" t="str">
        <f t="shared" si="33"/>
        <v>Active</v>
      </c>
    </row>
    <row r="1044" spans="1:24" x14ac:dyDescent="0.3">
      <c r="A1044" s="2">
        <v>1043</v>
      </c>
      <c r="B1044" s="7">
        <v>23.4</v>
      </c>
      <c r="C1044" s="2" t="s">
        <v>5</v>
      </c>
      <c r="D1044" s="7">
        <f>IF(ISBLANK('Raw sheet'!D1044),AVERAGE('Raw sheet'!$D$2:'Raw sheet'!$D$1500),'Raw sheet'!D1044)</f>
        <v>25000</v>
      </c>
      <c r="E1044" s="7" t="str">
        <f>IF(Table1[[#This Row],[Family_Income]]&gt;=100000,"Upper",IF(D1044&gt;=50000,"Middle","Lower"))</f>
        <v>Lower</v>
      </c>
      <c r="F1044" s="2" t="s">
        <v>4</v>
      </c>
      <c r="G1044" s="3">
        <f>IF(ISBLANK('Raw sheet'!F1044),AVERAGE('Raw sheet'!$F$2:'Raw sheet'!$F$1500),'Raw sheet'!F1044)</f>
        <v>2.71</v>
      </c>
      <c r="H1044" s="18">
        <v>74.900000000000006</v>
      </c>
      <c r="I1044" s="9" t="str">
        <f t="shared" si="32"/>
        <v>Low</v>
      </c>
      <c r="J1044" s="2">
        <v>4</v>
      </c>
      <c r="K1044" s="2">
        <v>15.6</v>
      </c>
      <c r="L1044" s="2" t="s">
        <v>4</v>
      </c>
      <c r="M1044" s="2" t="s">
        <v>4</v>
      </c>
      <c r="N1044" s="5">
        <f>IF(ISBLANK('Raw sheet'!L1044),AVERAGE('Raw sheet'!$L$2:'Raw sheet'!$L$1500),'Raw sheet'!L1044)</f>
        <v>6.1</v>
      </c>
      <c r="O1044" s="5" t="str">
        <f>IF(Table1[[#This Row],[Stress_Index]]&gt;=8,"High",IF(N1044&gt;=5,"Medium","Low"))</f>
        <v>Medium</v>
      </c>
      <c r="P1044" s="3">
        <v>1.08</v>
      </c>
      <c r="Q1044" s="2">
        <v>1.54</v>
      </c>
      <c r="R1044" s="3">
        <v>1.54</v>
      </c>
      <c r="S1044" s="3" t="str">
        <f>IF(Table1[[#This Row],[CGPA]]&gt;=3,"High",IF(R1043&gt;=2,"Medium","Low"))</f>
        <v>Medium</v>
      </c>
      <c r="T1044" s="2" t="s">
        <v>2</v>
      </c>
      <c r="U1044" s="2" t="s">
        <v>6</v>
      </c>
      <c r="V1044" s="2" t="s">
        <v>15</v>
      </c>
      <c r="W1044" s="7">
        <v>0</v>
      </c>
      <c r="X1044" t="str">
        <f t="shared" si="33"/>
        <v>Active</v>
      </c>
    </row>
    <row r="1045" spans="1:24" x14ac:dyDescent="0.3">
      <c r="A1045" s="2">
        <v>1044</v>
      </c>
      <c r="B1045" s="7">
        <v>20.9</v>
      </c>
      <c r="C1045" s="2" t="s">
        <v>5</v>
      </c>
      <c r="D1045" s="7">
        <f>IF(ISBLANK('Raw sheet'!D1045),AVERAGE('Raw sheet'!$D$2:'Raw sheet'!$D$1500),'Raw sheet'!D1045)</f>
        <v>25000</v>
      </c>
      <c r="E1045" s="7" t="str">
        <f>IF(Table1[[#This Row],[Family_Income]]&gt;=100000,"Upper",IF(D1045&gt;=50000,"Middle","Lower"))</f>
        <v>Lower</v>
      </c>
      <c r="F1045" s="2" t="s">
        <v>4</v>
      </c>
      <c r="G1045" s="3">
        <f>IF(ISBLANK('Raw sheet'!F1045),AVERAGE('Raw sheet'!$F$2:'Raw sheet'!$F$1500),'Raw sheet'!F1045)</f>
        <v>4.7699999999999996</v>
      </c>
      <c r="H1045" s="18">
        <v>76.5</v>
      </c>
      <c r="I1045" s="9" t="str">
        <f t="shared" si="32"/>
        <v>Good</v>
      </c>
      <c r="J1045" s="2">
        <v>1</v>
      </c>
      <c r="K1045" s="2">
        <v>46.1</v>
      </c>
      <c r="L1045" s="2" t="s">
        <v>4</v>
      </c>
      <c r="M1045" s="2" t="s">
        <v>3</v>
      </c>
      <c r="N1045" s="5">
        <f>IF(ISBLANK('Raw sheet'!L1045),AVERAGE('Raw sheet'!$L$2:'Raw sheet'!$L$1500),'Raw sheet'!L1045)</f>
        <v>6.7</v>
      </c>
      <c r="O1045" s="5" t="str">
        <f>IF(Table1[[#This Row],[Stress_Index]]&gt;=8,"High",IF(N1045&gt;=5,"Medium","Low"))</f>
        <v>Medium</v>
      </c>
      <c r="P1045" s="3">
        <v>2.21</v>
      </c>
      <c r="Q1045" s="2">
        <v>2.84</v>
      </c>
      <c r="R1045" s="3">
        <v>2.84</v>
      </c>
      <c r="S1045" s="3" t="str">
        <f>IF(Table1[[#This Row],[CGPA]]&gt;=3,"High",IF(R1044&gt;=2,"Medium","Low"))</f>
        <v>Low</v>
      </c>
      <c r="T1045" s="2" t="s">
        <v>7</v>
      </c>
      <c r="U1045" s="2" t="s">
        <v>1</v>
      </c>
      <c r="V1045" s="2" t="s">
        <v>15</v>
      </c>
      <c r="W1045" s="7">
        <v>1</v>
      </c>
      <c r="X1045" t="str">
        <f t="shared" si="33"/>
        <v>Dropped Out</v>
      </c>
    </row>
    <row r="1046" spans="1:24" x14ac:dyDescent="0.3">
      <c r="A1046" s="2">
        <v>1045</v>
      </c>
      <c r="B1046" s="7">
        <v>20.6</v>
      </c>
      <c r="C1046" s="2" t="s">
        <v>11</v>
      </c>
      <c r="D1046" s="7">
        <f>IF(ISBLANK('Raw sheet'!D1046),AVERAGE('Raw sheet'!$D$2:'Raw sheet'!$D$1500),'Raw sheet'!D1046)</f>
        <v>29127</v>
      </c>
      <c r="E1046" s="7" t="str">
        <f>IF(Table1[[#This Row],[Family_Income]]&gt;=100000,"Upper",IF(D1046&gt;=50000,"Middle","Lower"))</f>
        <v>Lower</v>
      </c>
      <c r="F1046" s="2" t="s">
        <v>3</v>
      </c>
      <c r="G1046" s="3">
        <f>IF(ISBLANK('Raw sheet'!F1046),AVERAGE('Raw sheet'!$F$2:'Raw sheet'!$F$1500),'Raw sheet'!F1046)</f>
        <v>5.56</v>
      </c>
      <c r="H1046" s="18">
        <v>83.9</v>
      </c>
      <c r="I1046" s="9" t="str">
        <f t="shared" si="32"/>
        <v>Good</v>
      </c>
      <c r="J1046" s="2">
        <v>1</v>
      </c>
      <c r="K1046" s="2">
        <v>18.399999999999999</v>
      </c>
      <c r="L1046" s="2" t="s">
        <v>3</v>
      </c>
      <c r="M1046" s="2" t="s">
        <v>3</v>
      </c>
      <c r="N1046" s="5">
        <f>IF(ISBLANK('Raw sheet'!L1046),AVERAGE('Raw sheet'!$L$2:'Raw sheet'!$L$1500),'Raw sheet'!L1046)</f>
        <v>5.6</v>
      </c>
      <c r="O1046" s="5" t="str">
        <f>IF(Table1[[#This Row],[Stress_Index]]&gt;=8,"High",IF(N1046&gt;=5,"Medium","Low"))</f>
        <v>Medium</v>
      </c>
      <c r="P1046" s="3">
        <v>2.61</v>
      </c>
      <c r="Q1046" s="2">
        <v>3.21</v>
      </c>
      <c r="R1046" s="3">
        <v>3.22</v>
      </c>
      <c r="S1046" s="3" t="str">
        <f>IF(Table1[[#This Row],[CGPA]]&gt;=3,"High",IF(R1045&gt;=2,"Medium","Low"))</f>
        <v>High</v>
      </c>
      <c r="T1046" s="2" t="s">
        <v>12</v>
      </c>
      <c r="U1046" s="2" t="s">
        <v>13</v>
      </c>
      <c r="V1046" s="2" t="s">
        <v>0</v>
      </c>
      <c r="W1046" s="7">
        <v>0</v>
      </c>
      <c r="X1046" t="str">
        <f t="shared" si="33"/>
        <v>Active</v>
      </c>
    </row>
    <row r="1047" spans="1:24" x14ac:dyDescent="0.3">
      <c r="A1047" s="2">
        <v>1046</v>
      </c>
      <c r="B1047" s="7">
        <v>22.9</v>
      </c>
      <c r="C1047" s="2" t="s">
        <v>5</v>
      </c>
      <c r="D1047" s="7">
        <f>IF(ISBLANK('Raw sheet'!D1047),AVERAGE('Raw sheet'!$D$2:'Raw sheet'!$D$1500),'Raw sheet'!D1047)</f>
        <v>56490</v>
      </c>
      <c r="E1047" s="7" t="str">
        <f>IF(Table1[[#This Row],[Family_Income]]&gt;=100000,"Upper",IF(D1047&gt;=50000,"Middle","Lower"))</f>
        <v>Middle</v>
      </c>
      <c r="F1047" s="2" t="s">
        <v>3</v>
      </c>
      <c r="G1047" s="3">
        <f>IF(ISBLANK('Raw sheet'!F1047),AVERAGE('Raw sheet'!$F$2:'Raw sheet'!$F$1500),'Raw sheet'!F1047)</f>
        <v>4.25</v>
      </c>
      <c r="H1047" s="18">
        <v>79.5</v>
      </c>
      <c r="I1047" s="9" t="str">
        <f t="shared" si="32"/>
        <v>Good</v>
      </c>
      <c r="J1047" s="2">
        <v>2</v>
      </c>
      <c r="K1047" s="2">
        <v>41.6</v>
      </c>
      <c r="L1047" s="2" t="s">
        <v>3</v>
      </c>
      <c r="M1047" s="2" t="s">
        <v>3</v>
      </c>
      <c r="N1047" s="5">
        <f>IF(ISBLANK('Raw sheet'!L1047),AVERAGE('Raw sheet'!$L$2:'Raw sheet'!$L$1500),'Raw sheet'!L1047)</f>
        <v>5.8</v>
      </c>
      <c r="O1047" s="5" t="str">
        <f>IF(Table1[[#This Row],[Stress_Index]]&gt;=8,"High",IF(N1047&gt;=5,"Medium","Low"))</f>
        <v>Medium</v>
      </c>
      <c r="P1047" s="3">
        <v>1.54</v>
      </c>
      <c r="Q1047" s="2">
        <v>1.26</v>
      </c>
      <c r="R1047" s="3">
        <v>1.29</v>
      </c>
      <c r="S1047" s="3" t="str">
        <f>IF(Table1[[#This Row],[CGPA]]&gt;=3,"High",IF(R1046&gt;=2,"Medium","Low"))</f>
        <v>Medium</v>
      </c>
      <c r="T1047" s="2" t="s">
        <v>10</v>
      </c>
      <c r="U1047" s="2" t="s">
        <v>14</v>
      </c>
      <c r="V1047" s="2" t="s">
        <v>15</v>
      </c>
      <c r="W1047" s="7">
        <v>1</v>
      </c>
      <c r="X1047" t="str">
        <f t="shared" si="33"/>
        <v>Dropped Out</v>
      </c>
    </row>
    <row r="1048" spans="1:24" x14ac:dyDescent="0.3">
      <c r="A1048" s="2">
        <v>1047</v>
      </c>
      <c r="B1048" s="7">
        <v>22.4</v>
      </c>
      <c r="C1048" s="2" t="s">
        <v>5</v>
      </c>
      <c r="D1048" s="7">
        <f>IF(ISBLANK('Raw sheet'!D1048),AVERAGE('Raw sheet'!$D$2:'Raw sheet'!$D$1500),'Raw sheet'!D1048)</f>
        <v>25000</v>
      </c>
      <c r="E1048" s="7" t="str">
        <f>IF(Table1[[#This Row],[Family_Income]]&gt;=100000,"Upper",IF(D1048&gt;=50000,"Middle","Lower"))</f>
        <v>Lower</v>
      </c>
      <c r="F1048" s="2" t="s">
        <v>4</v>
      </c>
      <c r="G1048" s="3">
        <f>IF(ISBLANK('Raw sheet'!F1048),AVERAGE('Raw sheet'!$F$2:'Raw sheet'!$F$1500),'Raw sheet'!F1048)</f>
        <v>4.3</v>
      </c>
      <c r="H1048" s="18">
        <v>100</v>
      </c>
      <c r="I1048" s="9" t="str">
        <f t="shared" si="32"/>
        <v>Good</v>
      </c>
      <c r="J1048" s="2">
        <v>3</v>
      </c>
      <c r="K1048" s="2">
        <v>10.9</v>
      </c>
      <c r="L1048" s="2" t="s">
        <v>3</v>
      </c>
      <c r="M1048" s="2" t="s">
        <v>3</v>
      </c>
      <c r="N1048" s="5">
        <f>IF(ISBLANK('Raw sheet'!L1048),AVERAGE('Raw sheet'!$L$2:'Raw sheet'!$L$1500),'Raw sheet'!L1048)</f>
        <v>6.6</v>
      </c>
      <c r="O1048" s="5" t="str">
        <f>IF(Table1[[#This Row],[Stress_Index]]&gt;=8,"High",IF(N1048&gt;=5,"Medium","Low"))</f>
        <v>Medium</v>
      </c>
      <c r="P1048" s="3">
        <v>1.61</v>
      </c>
      <c r="Q1048" s="2">
        <v>1.19</v>
      </c>
      <c r="R1048" s="3">
        <v>1.1200000000000001</v>
      </c>
      <c r="S1048" s="3" t="str">
        <f>IF(Table1[[#This Row],[CGPA]]&gt;=3,"High",IF(R1047&gt;=2,"Medium","Low"))</f>
        <v>Low</v>
      </c>
      <c r="T1048" s="2" t="s">
        <v>10</v>
      </c>
      <c r="U1048" s="2" t="s">
        <v>1</v>
      </c>
      <c r="V1048" s="2" t="s">
        <v>0</v>
      </c>
      <c r="W1048" s="7">
        <v>0</v>
      </c>
      <c r="X1048" t="str">
        <f t="shared" si="33"/>
        <v>Active</v>
      </c>
    </row>
    <row r="1049" spans="1:24" x14ac:dyDescent="0.3">
      <c r="A1049" s="2">
        <v>1048</v>
      </c>
      <c r="B1049" s="7">
        <v>17.5</v>
      </c>
      <c r="C1049" s="2" t="s">
        <v>5</v>
      </c>
      <c r="D1049" s="7">
        <f>IF(ISBLANK('Raw sheet'!D1049),AVERAGE('Raw sheet'!$D$2:'Raw sheet'!$D$1500),'Raw sheet'!D1049)</f>
        <v>44269</v>
      </c>
      <c r="E1049" s="7" t="str">
        <f>IF(Table1[[#This Row],[Family_Income]]&gt;=100000,"Upper",IF(D1049&gt;=50000,"Middle","Lower"))</f>
        <v>Lower</v>
      </c>
      <c r="F1049" s="2" t="s">
        <v>4</v>
      </c>
      <c r="G1049" s="3">
        <f>IF(ISBLANK('Raw sheet'!F1049),AVERAGE('Raw sheet'!$F$2:'Raw sheet'!$F$1500),'Raw sheet'!F1049)</f>
        <v>2.92</v>
      </c>
      <c r="H1049" s="18">
        <v>85.1</v>
      </c>
      <c r="I1049" s="9" t="str">
        <f t="shared" si="32"/>
        <v>Good</v>
      </c>
      <c r="J1049" s="2">
        <v>1</v>
      </c>
      <c r="K1049" s="2">
        <v>24.1</v>
      </c>
      <c r="L1049" s="2" t="s">
        <v>3</v>
      </c>
      <c r="M1049" s="2" t="s">
        <v>3</v>
      </c>
      <c r="N1049" s="5">
        <f>IF(ISBLANK('Raw sheet'!L1049),AVERAGE('Raw sheet'!$L$2:'Raw sheet'!$L$1500),'Raw sheet'!L1049)</f>
        <v>6.3</v>
      </c>
      <c r="O1049" s="5" t="str">
        <f>IF(Table1[[#This Row],[Stress_Index]]&gt;=8,"High",IF(N1049&gt;=5,"Medium","Low"))</f>
        <v>Medium</v>
      </c>
      <c r="P1049" s="3">
        <v>3.07</v>
      </c>
      <c r="Q1049" s="2">
        <v>3.4</v>
      </c>
      <c r="R1049" s="3">
        <v>3.42</v>
      </c>
      <c r="S1049" s="3" t="str">
        <f>IF(Table1[[#This Row],[CGPA]]&gt;=3,"High",IF(R1048&gt;=2,"Medium","Low"))</f>
        <v>High</v>
      </c>
      <c r="T1049" s="2" t="s">
        <v>10</v>
      </c>
      <c r="U1049" s="2" t="s">
        <v>8</v>
      </c>
      <c r="V1049" s="2" t="s">
        <v>15</v>
      </c>
      <c r="W1049" s="7">
        <v>0</v>
      </c>
      <c r="X1049" t="str">
        <f t="shared" si="33"/>
        <v>Active</v>
      </c>
    </row>
    <row r="1050" spans="1:24" x14ac:dyDescent="0.3">
      <c r="A1050" s="2">
        <v>1049</v>
      </c>
      <c r="B1050" s="7">
        <v>24.2</v>
      </c>
      <c r="C1050" s="2" t="s">
        <v>11</v>
      </c>
      <c r="D1050" s="7">
        <f>IF(ISBLANK('Raw sheet'!D1050),AVERAGE('Raw sheet'!$D$2:'Raw sheet'!$D$1500),'Raw sheet'!D1050)</f>
        <v>30069</v>
      </c>
      <c r="E1050" s="7" t="str">
        <f>IF(Table1[[#This Row],[Family_Income]]&gt;=100000,"Upper",IF(D1050&gt;=50000,"Middle","Lower"))</f>
        <v>Lower</v>
      </c>
      <c r="F1050" s="2" t="s">
        <v>4</v>
      </c>
      <c r="G1050" s="3">
        <f>IF(ISBLANK('Raw sheet'!F1050),AVERAGE('Raw sheet'!$F$2:'Raw sheet'!$F$1500),'Raw sheet'!F1050)</f>
        <v>3.33</v>
      </c>
      <c r="H1050" s="18">
        <v>94.6</v>
      </c>
      <c r="I1050" s="9" t="str">
        <f t="shared" si="32"/>
        <v>Good</v>
      </c>
      <c r="J1050" s="2">
        <v>0</v>
      </c>
      <c r="K1050" s="2">
        <v>36.9</v>
      </c>
      <c r="L1050" s="2" t="s">
        <v>3</v>
      </c>
      <c r="M1050" s="2" t="s">
        <v>3</v>
      </c>
      <c r="N1050" s="5">
        <f>IF(ISBLANK('Raw sheet'!L1050),AVERAGE('Raw sheet'!$L$2:'Raw sheet'!$L$1500),'Raw sheet'!L1050)</f>
        <v>3.6</v>
      </c>
      <c r="O1050" s="5" t="str">
        <f>IF(Table1[[#This Row],[Stress_Index]]&gt;=8,"High",IF(N1050&gt;=5,"Medium","Low"))</f>
        <v>Low</v>
      </c>
      <c r="P1050" s="3">
        <v>2.58</v>
      </c>
      <c r="Q1050" s="2">
        <v>2.65</v>
      </c>
      <c r="R1050" s="3">
        <v>2.65</v>
      </c>
      <c r="S1050" s="3" t="str">
        <f>IF(Table1[[#This Row],[CGPA]]&gt;=3,"High",IF(R1049&gt;=2,"Medium","Low"))</f>
        <v>Medium</v>
      </c>
      <c r="T1050" s="2" t="s">
        <v>10</v>
      </c>
      <c r="U1050" s="2" t="s">
        <v>8</v>
      </c>
      <c r="V1050" s="2" t="s">
        <v>9</v>
      </c>
      <c r="W1050" s="7">
        <v>0</v>
      </c>
      <c r="X1050" t="str">
        <f t="shared" si="33"/>
        <v>Active</v>
      </c>
    </row>
    <row r="1051" spans="1:24" x14ac:dyDescent="0.3">
      <c r="A1051" s="2">
        <v>1050</v>
      </c>
      <c r="B1051" s="7">
        <v>24</v>
      </c>
      <c r="C1051" s="2" t="s">
        <v>11</v>
      </c>
      <c r="D1051" s="7">
        <f>IF(ISBLANK('Raw sheet'!D1051),AVERAGE('Raw sheet'!$D$2:'Raw sheet'!$D$1500),'Raw sheet'!D1051)</f>
        <v>35020</v>
      </c>
      <c r="E1051" s="7" t="str">
        <f>IF(Table1[[#This Row],[Family_Income]]&gt;=100000,"Upper",IF(D1051&gt;=50000,"Middle","Lower"))</f>
        <v>Lower</v>
      </c>
      <c r="F1051" s="2" t="s">
        <v>4</v>
      </c>
      <c r="G1051" s="3">
        <f>IF(ISBLANK('Raw sheet'!F1051),AVERAGE('Raw sheet'!$F$2:'Raw sheet'!$F$1500),'Raw sheet'!F1051)</f>
        <v>3.15</v>
      </c>
      <c r="H1051" s="18">
        <v>93.9</v>
      </c>
      <c r="I1051" s="9" t="str">
        <f t="shared" si="32"/>
        <v>Good</v>
      </c>
      <c r="J1051" s="2">
        <v>2</v>
      </c>
      <c r="K1051" s="2">
        <v>38.6</v>
      </c>
      <c r="L1051" s="2" t="s">
        <v>3</v>
      </c>
      <c r="M1051" s="2" t="s">
        <v>4</v>
      </c>
      <c r="N1051" s="5">
        <f>IF(ISBLANK('Raw sheet'!L1051),AVERAGE('Raw sheet'!$L$2:'Raw sheet'!$L$1500),'Raw sheet'!L1051)</f>
        <v>6.4</v>
      </c>
      <c r="O1051" s="5" t="str">
        <f>IF(Table1[[#This Row],[Stress_Index]]&gt;=8,"High",IF(N1051&gt;=5,"Medium","Low"))</f>
        <v>Medium</v>
      </c>
      <c r="P1051" s="3">
        <v>3.1</v>
      </c>
      <c r="Q1051" s="2">
        <v>3.59</v>
      </c>
      <c r="R1051" s="3">
        <v>3.59</v>
      </c>
      <c r="S1051" s="3" t="str">
        <f>IF(Table1[[#This Row],[CGPA]]&gt;=3,"High",IF(R1050&gt;=2,"Medium","Low"))</f>
        <v>High</v>
      </c>
      <c r="T1051" s="2" t="s">
        <v>2</v>
      </c>
      <c r="U1051" s="2" t="s">
        <v>6</v>
      </c>
      <c r="V1051" s="2" t="s">
        <v>9</v>
      </c>
      <c r="W1051" s="7">
        <v>0</v>
      </c>
      <c r="X1051" t="str">
        <f t="shared" si="33"/>
        <v>Active</v>
      </c>
    </row>
    <row r="1052" spans="1:24" x14ac:dyDescent="0.3">
      <c r="A1052" s="2">
        <v>1051</v>
      </c>
      <c r="B1052" s="7">
        <v>19.600000000000001</v>
      </c>
      <c r="C1052" s="2" t="s">
        <v>5</v>
      </c>
      <c r="D1052" s="7">
        <f>IF(ISBLANK('Raw sheet'!D1052),AVERAGE('Raw sheet'!$D$2:'Raw sheet'!$D$1500),'Raw sheet'!D1052)</f>
        <v>52839</v>
      </c>
      <c r="E1052" s="7" t="str">
        <f>IF(Table1[[#This Row],[Family_Income]]&gt;=100000,"Upper",IF(D1052&gt;=50000,"Middle","Lower"))</f>
        <v>Middle</v>
      </c>
      <c r="F1052" s="2" t="s">
        <v>4</v>
      </c>
      <c r="G1052" s="3">
        <f>IF(ISBLANK('Raw sheet'!F1052),AVERAGE('Raw sheet'!$F$2:'Raw sheet'!$F$1500),'Raw sheet'!F1052)</f>
        <v>5.68</v>
      </c>
      <c r="H1052" s="18">
        <v>85.4</v>
      </c>
      <c r="I1052" s="9" t="str">
        <f t="shared" si="32"/>
        <v>Good</v>
      </c>
      <c r="J1052" s="2">
        <v>0</v>
      </c>
      <c r="K1052" s="2">
        <v>35.200000000000003</v>
      </c>
      <c r="L1052" s="2" t="s">
        <v>3</v>
      </c>
      <c r="M1052" s="2" t="s">
        <v>3</v>
      </c>
      <c r="N1052" s="5">
        <f>IF(ISBLANK('Raw sheet'!L1052),AVERAGE('Raw sheet'!$L$2:'Raw sheet'!$L$1500),'Raw sheet'!L1052)</f>
        <v>5.0999999999999996</v>
      </c>
      <c r="O1052" s="5" t="str">
        <f>IF(Table1[[#This Row],[Stress_Index]]&gt;=8,"High",IF(N1052&gt;=5,"Medium","Low"))</f>
        <v>Medium</v>
      </c>
      <c r="P1052" s="3">
        <v>3.38</v>
      </c>
      <c r="Q1052" s="2">
        <v>3.42</v>
      </c>
      <c r="R1052" s="3">
        <v>3.46</v>
      </c>
      <c r="S1052" s="3" t="str">
        <f>IF(Table1[[#This Row],[CGPA]]&gt;=3,"High",IF(R1051&gt;=2,"Medium","Low"))</f>
        <v>High</v>
      </c>
      <c r="T1052" s="2" t="s">
        <v>10</v>
      </c>
      <c r="U1052" s="2" t="s">
        <v>13</v>
      </c>
      <c r="V1052" s="2" t="s">
        <v>0</v>
      </c>
      <c r="W1052" s="7">
        <v>0</v>
      </c>
      <c r="X1052" t="str">
        <f t="shared" si="33"/>
        <v>Active</v>
      </c>
    </row>
    <row r="1053" spans="1:24" x14ac:dyDescent="0.3">
      <c r="A1053" s="2">
        <v>1052</v>
      </c>
      <c r="B1053" s="7">
        <v>21.9</v>
      </c>
      <c r="C1053" s="2" t="s">
        <v>5</v>
      </c>
      <c r="D1053" s="7">
        <f>IF(ISBLANK('Raw sheet'!D1053),AVERAGE('Raw sheet'!$D$2:'Raw sheet'!$D$1500),'Raw sheet'!D1053)</f>
        <v>25000</v>
      </c>
      <c r="E1053" s="7" t="str">
        <f>IF(Table1[[#This Row],[Family_Income]]&gt;=100000,"Upper",IF(D1053&gt;=50000,"Middle","Lower"))</f>
        <v>Lower</v>
      </c>
      <c r="F1053" s="2" t="s">
        <v>4</v>
      </c>
      <c r="G1053" s="3">
        <f>IF(ISBLANK('Raw sheet'!F1053),AVERAGE('Raw sheet'!$F$2:'Raw sheet'!$F$1500),'Raw sheet'!F1053)</f>
        <v>5.81</v>
      </c>
      <c r="H1053" s="18">
        <v>81.7</v>
      </c>
      <c r="I1053" s="9" t="str">
        <f t="shared" si="32"/>
        <v>Good</v>
      </c>
      <c r="J1053" s="2">
        <v>2</v>
      </c>
      <c r="K1053" s="2">
        <v>41.8</v>
      </c>
      <c r="L1053" s="2" t="s">
        <v>3</v>
      </c>
      <c r="M1053" s="2" t="s">
        <v>3</v>
      </c>
      <c r="N1053" s="5">
        <f>IF(ISBLANK('Raw sheet'!L1053),AVERAGE('Raw sheet'!$L$2:'Raw sheet'!$L$1500),'Raw sheet'!L1053)</f>
        <v>4.5</v>
      </c>
      <c r="O1053" s="5" t="str">
        <f>IF(Table1[[#This Row],[Stress_Index]]&gt;=8,"High",IF(N1053&gt;=5,"Medium","Low"))</f>
        <v>Low</v>
      </c>
      <c r="P1053" s="3">
        <v>2.5</v>
      </c>
      <c r="Q1053" s="2">
        <v>2.02</v>
      </c>
      <c r="R1053" s="3">
        <v>2.0499999999999998</v>
      </c>
      <c r="S1053" s="3" t="str">
        <f>IF(Table1[[#This Row],[CGPA]]&gt;=3,"High",IF(R1052&gt;=2,"Medium","Low"))</f>
        <v>Medium</v>
      </c>
      <c r="T1053" s="2" t="s">
        <v>10</v>
      </c>
      <c r="U1053" s="2" t="s">
        <v>8</v>
      </c>
      <c r="V1053" s="2" t="s">
        <v>15</v>
      </c>
      <c r="W1053" s="7">
        <v>0</v>
      </c>
      <c r="X1053" t="str">
        <f t="shared" si="33"/>
        <v>Active</v>
      </c>
    </row>
    <row r="1054" spans="1:24" x14ac:dyDescent="0.3">
      <c r="A1054" s="2">
        <v>1053</v>
      </c>
      <c r="B1054" s="7">
        <v>22.1</v>
      </c>
      <c r="C1054" s="2" t="s">
        <v>5</v>
      </c>
      <c r="D1054" s="7">
        <f>IF(ISBLANK('Raw sheet'!D1054),AVERAGE('Raw sheet'!$D$2:'Raw sheet'!$D$1500),'Raw sheet'!D1054)</f>
        <v>48357</v>
      </c>
      <c r="E1054" s="7" t="str">
        <f>IF(Table1[[#This Row],[Family_Income]]&gt;=100000,"Upper",IF(D1054&gt;=50000,"Middle","Lower"))</f>
        <v>Lower</v>
      </c>
      <c r="F1054" s="2" t="s">
        <v>4</v>
      </c>
      <c r="G1054" s="3">
        <f>IF(ISBLANK('Raw sheet'!F1054),AVERAGE('Raw sheet'!$F$2:'Raw sheet'!$F$1500),'Raw sheet'!F1054)</f>
        <v>4.68</v>
      </c>
      <c r="H1054" s="18">
        <v>74.8</v>
      </c>
      <c r="I1054" s="9" t="str">
        <f t="shared" si="32"/>
        <v>Low</v>
      </c>
      <c r="J1054" s="2">
        <v>0</v>
      </c>
      <c r="K1054" s="2">
        <v>26.5</v>
      </c>
      <c r="L1054" s="2" t="s">
        <v>4</v>
      </c>
      <c r="M1054" s="2" t="s">
        <v>3</v>
      </c>
      <c r="N1054" s="5">
        <f>IF(ISBLANK('Raw sheet'!L1054),AVERAGE('Raw sheet'!$L$2:'Raw sheet'!$L$1500),'Raw sheet'!L1054)</f>
        <v>7.2</v>
      </c>
      <c r="O1054" s="5" t="str">
        <f>IF(Table1[[#This Row],[Stress_Index]]&gt;=8,"High",IF(N1054&gt;=5,"Medium","Low"))</f>
        <v>Medium</v>
      </c>
      <c r="P1054" s="3">
        <v>1.31</v>
      </c>
      <c r="Q1054" s="2">
        <v>1.03</v>
      </c>
      <c r="R1054" s="3">
        <v>1.03</v>
      </c>
      <c r="S1054" s="3" t="str">
        <f>IF(Table1[[#This Row],[CGPA]]&gt;=3,"High",IF(R1053&gt;=2,"Medium","Low"))</f>
        <v>Medium</v>
      </c>
      <c r="T1054" s="2" t="s">
        <v>2</v>
      </c>
      <c r="U1054" s="2" t="s">
        <v>1</v>
      </c>
      <c r="V1054" s="2" t="s">
        <v>16</v>
      </c>
      <c r="W1054" s="7">
        <v>1</v>
      </c>
      <c r="X1054" t="str">
        <f t="shared" si="33"/>
        <v>Dropped Out</v>
      </c>
    </row>
    <row r="1055" spans="1:24" x14ac:dyDescent="0.3">
      <c r="A1055" s="2">
        <v>1054</v>
      </c>
      <c r="B1055" s="7">
        <v>21.6</v>
      </c>
      <c r="C1055" s="2" t="s">
        <v>11</v>
      </c>
      <c r="D1055" s="7">
        <f>IF(ISBLANK('Raw sheet'!D1055),AVERAGE('Raw sheet'!$D$2:'Raw sheet'!$D$1500),'Raw sheet'!D1055)</f>
        <v>25000</v>
      </c>
      <c r="E1055" s="7" t="str">
        <f>IF(Table1[[#This Row],[Family_Income]]&gt;=100000,"Upper",IF(D1055&gt;=50000,"Middle","Lower"))</f>
        <v>Lower</v>
      </c>
      <c r="F1055" s="2" t="s">
        <v>4</v>
      </c>
      <c r="G1055" s="3">
        <f>IF(ISBLANK('Raw sheet'!F1055),AVERAGE('Raw sheet'!$F$2:'Raw sheet'!$F$1500),'Raw sheet'!F1055)</f>
        <v>6.61</v>
      </c>
      <c r="H1055" s="18">
        <v>77.2</v>
      </c>
      <c r="I1055" s="9" t="str">
        <f t="shared" si="32"/>
        <v>Good</v>
      </c>
      <c r="J1055" s="2">
        <v>2</v>
      </c>
      <c r="K1055" s="2">
        <v>46.7</v>
      </c>
      <c r="L1055" s="2" t="s">
        <v>3</v>
      </c>
      <c r="M1055" s="2" t="s">
        <v>4</v>
      </c>
      <c r="N1055" s="5">
        <f>IF(ISBLANK('Raw sheet'!L1055),AVERAGE('Raw sheet'!$L$2:'Raw sheet'!$L$1500),'Raw sheet'!L1055)</f>
        <v>3.8</v>
      </c>
      <c r="O1055" s="5" t="str">
        <f>IF(Table1[[#This Row],[Stress_Index]]&gt;=8,"High",IF(N1055&gt;=5,"Medium","Low"))</f>
        <v>Low</v>
      </c>
      <c r="P1055" s="3">
        <v>3.65</v>
      </c>
      <c r="Q1055" s="2">
        <v>3.43</v>
      </c>
      <c r="R1055" s="3">
        <v>3.43</v>
      </c>
      <c r="S1055" s="3" t="str">
        <f>IF(Table1[[#This Row],[CGPA]]&gt;=3,"High",IF(R1054&gt;=2,"Medium","Low"))</f>
        <v>High</v>
      </c>
      <c r="T1055" s="2" t="s">
        <v>2</v>
      </c>
      <c r="U1055" s="2" t="s">
        <v>14</v>
      </c>
      <c r="V1055" s="2" t="s">
        <v>15</v>
      </c>
      <c r="W1055" s="7">
        <v>0</v>
      </c>
      <c r="X1055" t="str">
        <f t="shared" si="33"/>
        <v>Active</v>
      </c>
    </row>
    <row r="1056" spans="1:24" x14ac:dyDescent="0.3">
      <c r="A1056" s="2">
        <v>1055</v>
      </c>
      <c r="B1056" s="7">
        <v>19.8</v>
      </c>
      <c r="C1056" s="2" t="s">
        <v>5</v>
      </c>
      <c r="D1056" s="7">
        <f>IF(ISBLANK('Raw sheet'!D1056),AVERAGE('Raw sheet'!$D$2:'Raw sheet'!$D$1500),'Raw sheet'!D1056)</f>
        <v>57384</v>
      </c>
      <c r="E1056" s="7" t="str">
        <f>IF(Table1[[#This Row],[Family_Income]]&gt;=100000,"Upper",IF(D1056&gt;=50000,"Middle","Lower"))</f>
        <v>Middle</v>
      </c>
      <c r="F1056" s="2" t="s">
        <v>4</v>
      </c>
      <c r="G1056" s="3">
        <f>IF(ISBLANK('Raw sheet'!F1056),AVERAGE('Raw sheet'!$F$2:'Raw sheet'!$F$1500),'Raw sheet'!F1056)</f>
        <v>4.8</v>
      </c>
      <c r="H1056" s="18">
        <v>88.7</v>
      </c>
      <c r="I1056" s="9" t="str">
        <f t="shared" si="32"/>
        <v>Good</v>
      </c>
      <c r="J1056" s="2">
        <v>3</v>
      </c>
      <c r="K1056" s="2">
        <v>34.299999999999997</v>
      </c>
      <c r="L1056" s="2" t="s">
        <v>4</v>
      </c>
      <c r="M1056" s="2" t="s">
        <v>3</v>
      </c>
      <c r="N1056" s="5">
        <f>IF(ISBLANK('Raw sheet'!L1056),AVERAGE('Raw sheet'!$L$2:'Raw sheet'!$L$1500),'Raw sheet'!L1056)</f>
        <v>5</v>
      </c>
      <c r="O1056" s="5" t="str">
        <f>IF(Table1[[#This Row],[Stress_Index]]&gt;=8,"High",IF(N1056&gt;=5,"Medium","Low"))</f>
        <v>Medium</v>
      </c>
      <c r="P1056" s="3">
        <v>3.37</v>
      </c>
      <c r="Q1056" s="2">
        <v>3.46</v>
      </c>
      <c r="R1056" s="3">
        <v>3.51</v>
      </c>
      <c r="S1056" s="3" t="str">
        <f>IF(Table1[[#This Row],[CGPA]]&gt;=3,"High",IF(R1055&gt;=2,"Medium","Low"))</f>
        <v>High</v>
      </c>
      <c r="T1056" s="2" t="s">
        <v>7</v>
      </c>
      <c r="U1056" s="2" t="s">
        <v>8</v>
      </c>
      <c r="V1056" s="2" t="s">
        <v>16</v>
      </c>
      <c r="W1056" s="7">
        <v>0</v>
      </c>
      <c r="X1056" t="str">
        <f t="shared" si="33"/>
        <v>Active</v>
      </c>
    </row>
    <row r="1057" spans="1:24" x14ac:dyDescent="0.3">
      <c r="A1057" s="2">
        <v>1056</v>
      </c>
      <c r="B1057" s="7">
        <v>19.5</v>
      </c>
      <c r="C1057" s="2" t="s">
        <v>5</v>
      </c>
      <c r="D1057" s="7">
        <f>IF(ISBLANK('Raw sheet'!D1057),AVERAGE('Raw sheet'!$D$2:'Raw sheet'!$D$1500),'Raw sheet'!D1057)</f>
        <v>36342</v>
      </c>
      <c r="E1057" s="7" t="str">
        <f>IF(Table1[[#This Row],[Family_Income]]&gt;=100000,"Upper",IF(D1057&gt;=50000,"Middle","Lower"))</f>
        <v>Lower</v>
      </c>
      <c r="F1057" s="2" t="s">
        <v>4</v>
      </c>
      <c r="G1057" s="3">
        <f>IF(ISBLANK('Raw sheet'!F1057),AVERAGE('Raw sheet'!$F$2:'Raw sheet'!$F$1500),'Raw sheet'!F1057)</f>
        <v>5.54</v>
      </c>
      <c r="H1057" s="18">
        <v>84.2</v>
      </c>
      <c r="I1057" s="9" t="str">
        <f t="shared" si="32"/>
        <v>Good</v>
      </c>
      <c r="J1057" s="2">
        <v>1</v>
      </c>
      <c r="K1057" s="2">
        <v>38.799999999999997</v>
      </c>
      <c r="L1057" s="2" t="s">
        <v>4</v>
      </c>
      <c r="M1057" s="2" t="s">
        <v>3</v>
      </c>
      <c r="N1057" s="5">
        <f>IF(ISBLANK('Raw sheet'!L1057),AVERAGE('Raw sheet'!$L$2:'Raw sheet'!$L$1500),'Raw sheet'!L1057)</f>
        <v>3.6</v>
      </c>
      <c r="O1057" s="5" t="str">
        <f>IF(Table1[[#This Row],[Stress_Index]]&gt;=8,"High",IF(N1057&gt;=5,"Medium","Low"))</f>
        <v>Low</v>
      </c>
      <c r="P1057" s="3">
        <v>3.29</v>
      </c>
      <c r="Q1057" s="2">
        <v>3.44</v>
      </c>
      <c r="R1057" s="3">
        <v>3.44</v>
      </c>
      <c r="S1057" s="3" t="str">
        <f>IF(Table1[[#This Row],[CGPA]]&gt;=3,"High",IF(R1056&gt;=2,"Medium","Low"))</f>
        <v>High</v>
      </c>
      <c r="T1057" s="2" t="s">
        <v>2</v>
      </c>
      <c r="U1057" s="2" t="s">
        <v>6</v>
      </c>
      <c r="V1057" s="2" t="s">
        <v>9</v>
      </c>
      <c r="W1057" s="7">
        <v>0</v>
      </c>
      <c r="X1057" t="str">
        <f t="shared" si="33"/>
        <v>Active</v>
      </c>
    </row>
    <row r="1058" spans="1:24" x14ac:dyDescent="0.3">
      <c r="A1058" s="2">
        <v>1057</v>
      </c>
      <c r="B1058" s="7">
        <v>20.9</v>
      </c>
      <c r="C1058" s="2" t="s">
        <v>11</v>
      </c>
      <c r="D1058" s="7">
        <f>IF(ISBLANK('Raw sheet'!D1058),AVERAGE('Raw sheet'!$D$2:'Raw sheet'!$D$1500),'Raw sheet'!D1058)</f>
        <v>38587.00282087447</v>
      </c>
      <c r="E1058" s="7" t="str">
        <f>IF(Table1[[#This Row],[Family_Income]]&gt;=100000,"Upper",IF(D1058&gt;=50000,"Middle","Lower"))</f>
        <v>Lower</v>
      </c>
      <c r="F1058" s="2" t="s">
        <v>3</v>
      </c>
      <c r="G1058" s="3">
        <f>IF(ISBLANK('Raw sheet'!F1058),AVERAGE('Raw sheet'!$F$2:'Raw sheet'!$F$1500),'Raw sheet'!F1058)</f>
        <v>4.0178702397743278</v>
      </c>
      <c r="H1058" s="18">
        <v>61.9</v>
      </c>
      <c r="I1058" s="9" t="str">
        <f t="shared" si="32"/>
        <v>Low</v>
      </c>
      <c r="J1058" s="2">
        <v>5</v>
      </c>
      <c r="K1058" s="2">
        <v>34.4</v>
      </c>
      <c r="L1058" s="2" t="s">
        <v>4</v>
      </c>
      <c r="M1058" s="2" t="s">
        <v>4</v>
      </c>
      <c r="N1058" s="5">
        <f>IF(ISBLANK('Raw sheet'!L1058),AVERAGE('Raw sheet'!$L$2:'Raw sheet'!$L$1500),'Raw sheet'!L1058)</f>
        <v>5.5242595204513369</v>
      </c>
      <c r="O1058" s="5" t="str">
        <f>IF(Table1[[#This Row],[Stress_Index]]&gt;=8,"High",IF(N1058&gt;=5,"Medium","Low"))</f>
        <v>Medium</v>
      </c>
      <c r="P1058" s="3">
        <v>1.48</v>
      </c>
      <c r="Q1058" s="2">
        <v>2.0699999999999998</v>
      </c>
      <c r="R1058" s="3">
        <v>2.16</v>
      </c>
      <c r="S1058" s="3" t="str">
        <f>IF(Table1[[#This Row],[CGPA]]&gt;=3,"High",IF(R1057&gt;=2,"Medium","Low"))</f>
        <v>Medium</v>
      </c>
      <c r="T1058" s="2" t="s">
        <v>10</v>
      </c>
      <c r="U1058" s="2" t="s">
        <v>14</v>
      </c>
      <c r="V1058" s="2" t="s">
        <v>0</v>
      </c>
      <c r="W1058" s="7">
        <v>1</v>
      </c>
      <c r="X1058" t="str">
        <f t="shared" si="33"/>
        <v>Dropped Out</v>
      </c>
    </row>
    <row r="1059" spans="1:24" x14ac:dyDescent="0.3">
      <c r="A1059" s="2">
        <v>1058</v>
      </c>
      <c r="B1059" s="7">
        <v>23.6</v>
      </c>
      <c r="C1059" s="2" t="s">
        <v>11</v>
      </c>
      <c r="D1059" s="7">
        <f>IF(ISBLANK('Raw sheet'!D1059),AVERAGE('Raw sheet'!$D$2:'Raw sheet'!$D$1500),'Raw sheet'!D1059)</f>
        <v>25000</v>
      </c>
      <c r="E1059" s="7" t="str">
        <f>IF(Table1[[#This Row],[Family_Income]]&gt;=100000,"Upper",IF(D1059&gt;=50000,"Middle","Lower"))</f>
        <v>Lower</v>
      </c>
      <c r="F1059" s="2" t="s">
        <v>4</v>
      </c>
      <c r="G1059" s="3">
        <f>IF(ISBLANK('Raw sheet'!F1059),AVERAGE('Raw sheet'!$F$2:'Raw sheet'!$F$1500),'Raw sheet'!F1059)</f>
        <v>3.8</v>
      </c>
      <c r="H1059" s="18">
        <v>80.3</v>
      </c>
      <c r="I1059" s="9" t="str">
        <f t="shared" si="32"/>
        <v>Good</v>
      </c>
      <c r="J1059" s="2">
        <v>1</v>
      </c>
      <c r="K1059" s="2">
        <v>35.9</v>
      </c>
      <c r="L1059" s="2" t="s">
        <v>4</v>
      </c>
      <c r="M1059" s="2" t="s">
        <v>3</v>
      </c>
      <c r="N1059" s="5">
        <f>IF(ISBLANK('Raw sheet'!L1059),AVERAGE('Raw sheet'!$L$2:'Raw sheet'!$L$1500),'Raw sheet'!L1059)</f>
        <v>9.8000000000000007</v>
      </c>
      <c r="O1059" s="5" t="str">
        <f>IF(Table1[[#This Row],[Stress_Index]]&gt;=8,"High",IF(N1059&gt;=5,"Medium","Low"))</f>
        <v>High</v>
      </c>
      <c r="P1059" s="3">
        <v>1.97</v>
      </c>
      <c r="Q1059" s="2">
        <v>1.72</v>
      </c>
      <c r="R1059" s="3">
        <v>1.72</v>
      </c>
      <c r="S1059" s="3" t="str">
        <f>IF(Table1[[#This Row],[CGPA]]&gt;=3,"High",IF(R1058&gt;=2,"Medium","Low"))</f>
        <v>Medium</v>
      </c>
      <c r="T1059" s="2" t="s">
        <v>7</v>
      </c>
      <c r="U1059" s="2" t="s">
        <v>13</v>
      </c>
      <c r="V1059" s="2" t="s">
        <v>17</v>
      </c>
      <c r="W1059" s="7">
        <v>0</v>
      </c>
      <c r="X1059" t="str">
        <f t="shared" si="33"/>
        <v>Active</v>
      </c>
    </row>
    <row r="1060" spans="1:24" x14ac:dyDescent="0.3">
      <c r="A1060" s="2">
        <v>1059</v>
      </c>
      <c r="B1060" s="7">
        <v>22.2</v>
      </c>
      <c r="C1060" s="2" t="s">
        <v>11</v>
      </c>
      <c r="D1060" s="7">
        <f>IF(ISBLANK('Raw sheet'!D1060),AVERAGE('Raw sheet'!$D$2:'Raw sheet'!$D$1500),'Raw sheet'!D1060)</f>
        <v>48726</v>
      </c>
      <c r="E1060" s="7" t="str">
        <f>IF(Table1[[#This Row],[Family_Income]]&gt;=100000,"Upper",IF(D1060&gt;=50000,"Middle","Lower"))</f>
        <v>Lower</v>
      </c>
      <c r="F1060" s="2" t="s">
        <v>4</v>
      </c>
      <c r="G1060" s="3">
        <f>IF(ISBLANK('Raw sheet'!F1060),AVERAGE('Raw sheet'!$F$2:'Raw sheet'!$F$1500),'Raw sheet'!F1060)</f>
        <v>3.8</v>
      </c>
      <c r="H1060" s="18">
        <v>84.6</v>
      </c>
      <c r="I1060" s="9" t="str">
        <f t="shared" si="32"/>
        <v>Good</v>
      </c>
      <c r="J1060" s="2">
        <v>2</v>
      </c>
      <c r="K1060" s="2">
        <v>18</v>
      </c>
      <c r="L1060" s="2" t="s">
        <v>3</v>
      </c>
      <c r="M1060" s="2" t="s">
        <v>4</v>
      </c>
      <c r="N1060" s="5">
        <f>IF(ISBLANK('Raw sheet'!L1060),AVERAGE('Raw sheet'!$L$2:'Raw sheet'!$L$1500),'Raw sheet'!L1060)</f>
        <v>4.0999999999999996</v>
      </c>
      <c r="O1060" s="5" t="str">
        <f>IF(Table1[[#This Row],[Stress_Index]]&gt;=8,"High",IF(N1060&gt;=5,"Medium","Low"))</f>
        <v>Low</v>
      </c>
      <c r="P1060" s="3">
        <v>1.77</v>
      </c>
      <c r="Q1060" s="2">
        <v>2.06</v>
      </c>
      <c r="R1060" s="3">
        <v>2.06</v>
      </c>
      <c r="S1060" s="3" t="str">
        <f>IF(Table1[[#This Row],[CGPA]]&gt;=3,"High",IF(R1059&gt;=2,"Medium","Low"))</f>
        <v>Low</v>
      </c>
      <c r="T1060" s="2" t="s">
        <v>2</v>
      </c>
      <c r="U1060" s="2" t="s">
        <v>1</v>
      </c>
      <c r="V1060" s="2" t="s">
        <v>17</v>
      </c>
      <c r="W1060" s="7">
        <v>0</v>
      </c>
      <c r="X1060" t="str">
        <f t="shared" si="33"/>
        <v>Active</v>
      </c>
    </row>
    <row r="1061" spans="1:24" x14ac:dyDescent="0.3">
      <c r="A1061" s="2">
        <v>1060</v>
      </c>
      <c r="B1061" s="7">
        <v>20.2</v>
      </c>
      <c r="C1061" s="2" t="s">
        <v>11</v>
      </c>
      <c r="D1061" s="7">
        <f>IF(ISBLANK('Raw sheet'!D1061),AVERAGE('Raw sheet'!$D$2:'Raw sheet'!$D$1500),'Raw sheet'!D1061)</f>
        <v>63359</v>
      </c>
      <c r="E1061" s="7" t="str">
        <f>IF(Table1[[#This Row],[Family_Income]]&gt;=100000,"Upper",IF(D1061&gt;=50000,"Middle","Lower"))</f>
        <v>Middle</v>
      </c>
      <c r="F1061" s="2" t="s">
        <v>4</v>
      </c>
      <c r="G1061" s="3">
        <f>IF(ISBLANK('Raw sheet'!F1061),AVERAGE('Raw sheet'!$F$2:'Raw sheet'!$F$1500),'Raw sheet'!F1061)</f>
        <v>2.78</v>
      </c>
      <c r="H1061" s="18">
        <v>82.2</v>
      </c>
      <c r="I1061" s="9" t="str">
        <f t="shared" si="32"/>
        <v>Good</v>
      </c>
      <c r="J1061" s="2">
        <v>1</v>
      </c>
      <c r="K1061" s="2">
        <v>18.7</v>
      </c>
      <c r="L1061" s="2" t="s">
        <v>3</v>
      </c>
      <c r="M1061" s="2" t="s">
        <v>3</v>
      </c>
      <c r="N1061" s="5">
        <f>IF(ISBLANK('Raw sheet'!L1061),AVERAGE('Raw sheet'!$L$2:'Raw sheet'!$L$1500),'Raw sheet'!L1061)</f>
        <v>5.2</v>
      </c>
      <c r="O1061" s="5" t="str">
        <f>IF(Table1[[#This Row],[Stress_Index]]&gt;=8,"High",IF(N1061&gt;=5,"Medium","Low"))</f>
        <v>Medium</v>
      </c>
      <c r="P1061" s="3">
        <v>3.44</v>
      </c>
      <c r="Q1061" s="2">
        <v>3.6</v>
      </c>
      <c r="R1061" s="3">
        <v>3.6</v>
      </c>
      <c r="S1061" s="3" t="str">
        <f>IF(Table1[[#This Row],[CGPA]]&gt;=3,"High",IF(R1060&gt;=2,"Medium","Low"))</f>
        <v>High</v>
      </c>
      <c r="T1061" s="2" t="s">
        <v>2</v>
      </c>
      <c r="U1061" s="2" t="s">
        <v>14</v>
      </c>
      <c r="V1061" s="2" t="s">
        <v>9</v>
      </c>
      <c r="W1061" s="7">
        <v>0</v>
      </c>
      <c r="X1061" t="str">
        <f t="shared" si="33"/>
        <v>Active</v>
      </c>
    </row>
    <row r="1062" spans="1:24" x14ac:dyDescent="0.3">
      <c r="A1062" s="2">
        <v>1061</v>
      </c>
      <c r="B1062" s="7">
        <v>22.7</v>
      </c>
      <c r="C1062" s="2" t="s">
        <v>5</v>
      </c>
      <c r="D1062" s="7">
        <f>IF(ISBLANK('Raw sheet'!D1062),AVERAGE('Raw sheet'!$D$2:'Raw sheet'!$D$1500),'Raw sheet'!D1062)</f>
        <v>25000</v>
      </c>
      <c r="E1062" s="7" t="str">
        <f>IF(Table1[[#This Row],[Family_Income]]&gt;=100000,"Upper",IF(D1062&gt;=50000,"Middle","Lower"))</f>
        <v>Lower</v>
      </c>
      <c r="F1062" s="2" t="s">
        <v>4</v>
      </c>
      <c r="G1062" s="3">
        <f>IF(ISBLANK('Raw sheet'!F1062),AVERAGE('Raw sheet'!$F$2:'Raw sheet'!$F$1500),'Raw sheet'!F1062)</f>
        <v>3.43</v>
      </c>
      <c r="H1062" s="18">
        <v>80.099999999999994</v>
      </c>
      <c r="I1062" s="9" t="str">
        <f t="shared" si="32"/>
        <v>Good</v>
      </c>
      <c r="J1062" s="2">
        <v>3</v>
      </c>
      <c r="K1062" s="2">
        <v>23.5</v>
      </c>
      <c r="L1062" s="2" t="s">
        <v>4</v>
      </c>
      <c r="M1062" s="2" t="s">
        <v>4</v>
      </c>
      <c r="N1062" s="5">
        <f>IF(ISBLANK('Raw sheet'!L1062),AVERAGE('Raw sheet'!$L$2:'Raw sheet'!$L$1500),'Raw sheet'!L1062)</f>
        <v>8</v>
      </c>
      <c r="O1062" s="5" t="str">
        <f>IF(Table1[[#This Row],[Stress_Index]]&gt;=8,"High",IF(N1062&gt;=5,"Medium","Low"))</f>
        <v>High</v>
      </c>
      <c r="P1062" s="3">
        <v>3.37</v>
      </c>
      <c r="Q1062" s="2">
        <v>3.2</v>
      </c>
      <c r="R1062" s="3">
        <v>3.2</v>
      </c>
      <c r="S1062" s="3" t="str">
        <f>IF(Table1[[#This Row],[CGPA]]&gt;=3,"High",IF(R1061&gt;=2,"Medium","Low"))</f>
        <v>High</v>
      </c>
      <c r="T1062" s="2" t="s">
        <v>7</v>
      </c>
      <c r="U1062" s="2" t="s">
        <v>8</v>
      </c>
      <c r="V1062" s="2" t="s">
        <v>0</v>
      </c>
      <c r="W1062" s="7">
        <v>0</v>
      </c>
      <c r="X1062" t="str">
        <f t="shared" si="33"/>
        <v>Active</v>
      </c>
    </row>
    <row r="1063" spans="1:24" x14ac:dyDescent="0.3">
      <c r="A1063" s="2">
        <v>1062</v>
      </c>
      <c r="B1063" s="7">
        <v>17</v>
      </c>
      <c r="C1063" s="2" t="s">
        <v>5</v>
      </c>
      <c r="D1063" s="7">
        <f>IF(ISBLANK('Raw sheet'!D1063),AVERAGE('Raw sheet'!$D$2:'Raw sheet'!$D$1500),'Raw sheet'!D1063)</f>
        <v>25000</v>
      </c>
      <c r="E1063" s="7" t="str">
        <f>IF(Table1[[#This Row],[Family_Income]]&gt;=100000,"Upper",IF(D1063&gt;=50000,"Middle","Lower"))</f>
        <v>Lower</v>
      </c>
      <c r="F1063" s="2" t="s">
        <v>4</v>
      </c>
      <c r="G1063" s="3">
        <f>IF(ISBLANK('Raw sheet'!F1063),AVERAGE('Raw sheet'!$F$2:'Raw sheet'!$F$1500),'Raw sheet'!F1063)</f>
        <v>4.43</v>
      </c>
      <c r="H1063" s="18">
        <v>81.599999999999994</v>
      </c>
      <c r="I1063" s="9" t="str">
        <f t="shared" si="32"/>
        <v>Good</v>
      </c>
      <c r="J1063" s="2">
        <v>0</v>
      </c>
      <c r="K1063" s="2">
        <v>36.200000000000003</v>
      </c>
      <c r="L1063" s="2" t="s">
        <v>3</v>
      </c>
      <c r="M1063" s="2" t="s">
        <v>4</v>
      </c>
      <c r="N1063" s="5">
        <f>IF(ISBLANK('Raw sheet'!L1063),AVERAGE('Raw sheet'!$L$2:'Raw sheet'!$L$1500),'Raw sheet'!L1063)</f>
        <v>6.3</v>
      </c>
      <c r="O1063" s="5" t="str">
        <f>IF(Table1[[#This Row],[Stress_Index]]&gt;=8,"High",IF(N1063&gt;=5,"Medium","Low"))</f>
        <v>Medium</v>
      </c>
      <c r="P1063" s="3">
        <v>3.57</v>
      </c>
      <c r="Q1063" s="2">
        <v>3.49</v>
      </c>
      <c r="R1063" s="3">
        <v>3.52</v>
      </c>
      <c r="S1063" s="3" t="str">
        <f>IF(Table1[[#This Row],[CGPA]]&gt;=3,"High",IF(R1062&gt;=2,"Medium","Low"))</f>
        <v>High</v>
      </c>
      <c r="T1063" s="2" t="s">
        <v>12</v>
      </c>
      <c r="U1063" s="2" t="s">
        <v>1</v>
      </c>
      <c r="V1063" s="2" t="s">
        <v>9</v>
      </c>
      <c r="W1063" s="7">
        <v>0</v>
      </c>
      <c r="X1063" t="str">
        <f t="shared" si="33"/>
        <v>Active</v>
      </c>
    </row>
    <row r="1064" spans="1:24" x14ac:dyDescent="0.3">
      <c r="A1064" s="2">
        <v>1063</v>
      </c>
      <c r="B1064" s="7">
        <v>23.5</v>
      </c>
      <c r="C1064" s="2" t="s">
        <v>5</v>
      </c>
      <c r="D1064" s="7">
        <f>IF(ISBLANK('Raw sheet'!D1064),AVERAGE('Raw sheet'!$D$2:'Raw sheet'!$D$1500),'Raw sheet'!D1064)</f>
        <v>45095</v>
      </c>
      <c r="E1064" s="7" t="str">
        <f>IF(Table1[[#This Row],[Family_Income]]&gt;=100000,"Upper",IF(D1064&gt;=50000,"Middle","Lower"))</f>
        <v>Lower</v>
      </c>
      <c r="F1064" s="2" t="s">
        <v>4</v>
      </c>
      <c r="G1064" s="3">
        <f>IF(ISBLANK('Raw sheet'!F1064),AVERAGE('Raw sheet'!$F$2:'Raw sheet'!$F$1500),'Raw sheet'!F1064)</f>
        <v>3.22</v>
      </c>
      <c r="H1064" s="18">
        <v>62.7</v>
      </c>
      <c r="I1064" s="9" t="str">
        <f t="shared" si="32"/>
        <v>Low</v>
      </c>
      <c r="J1064" s="2">
        <v>1</v>
      </c>
      <c r="K1064" s="2">
        <v>22.9</v>
      </c>
      <c r="L1064" s="2" t="s">
        <v>3</v>
      </c>
      <c r="M1064" s="2" t="s">
        <v>3</v>
      </c>
      <c r="N1064" s="5">
        <f>IF(ISBLANK('Raw sheet'!L1064),AVERAGE('Raw sheet'!$L$2:'Raw sheet'!$L$1500),'Raw sheet'!L1064)</f>
        <v>5.3</v>
      </c>
      <c r="O1064" s="5" t="str">
        <f>IF(Table1[[#This Row],[Stress_Index]]&gt;=8,"High",IF(N1064&gt;=5,"Medium","Low"))</f>
        <v>Medium</v>
      </c>
      <c r="P1064" s="3">
        <v>2.12</v>
      </c>
      <c r="Q1064" s="2">
        <v>2.2999999999999998</v>
      </c>
      <c r="R1064" s="3">
        <v>2.33</v>
      </c>
      <c r="S1064" s="3" t="str">
        <f>IF(Table1[[#This Row],[CGPA]]&gt;=3,"High",IF(R1063&gt;=2,"Medium","Low"))</f>
        <v>Medium</v>
      </c>
      <c r="T1064" s="2" t="s">
        <v>7</v>
      </c>
      <c r="U1064" s="2" t="s">
        <v>13</v>
      </c>
      <c r="V1064" s="2" t="s">
        <v>9</v>
      </c>
      <c r="W1064" s="7">
        <v>1</v>
      </c>
      <c r="X1064" t="str">
        <f t="shared" si="33"/>
        <v>Dropped Out</v>
      </c>
    </row>
    <row r="1065" spans="1:24" x14ac:dyDescent="0.3">
      <c r="A1065" s="2">
        <v>1064</v>
      </c>
      <c r="B1065" s="7">
        <v>17.2</v>
      </c>
      <c r="C1065" s="2" t="s">
        <v>5</v>
      </c>
      <c r="D1065" s="7">
        <f>IF(ISBLANK('Raw sheet'!D1065),AVERAGE('Raw sheet'!$D$2:'Raw sheet'!$D$1500),'Raw sheet'!D1065)</f>
        <v>25000</v>
      </c>
      <c r="E1065" s="7" t="str">
        <f>IF(Table1[[#This Row],[Family_Income]]&gt;=100000,"Upper",IF(D1065&gt;=50000,"Middle","Lower"))</f>
        <v>Lower</v>
      </c>
      <c r="F1065" s="2" t="s">
        <v>4</v>
      </c>
      <c r="G1065" s="3">
        <f>IF(ISBLANK('Raw sheet'!F1065),AVERAGE('Raw sheet'!$F$2:'Raw sheet'!$F$1500),'Raw sheet'!F1065)</f>
        <v>4.72</v>
      </c>
      <c r="H1065" s="18">
        <v>82.1</v>
      </c>
      <c r="I1065" s="9" t="str">
        <f t="shared" si="32"/>
        <v>Good</v>
      </c>
      <c r="J1065" s="2">
        <v>1</v>
      </c>
      <c r="K1065" s="2">
        <v>26.4</v>
      </c>
      <c r="L1065" s="2" t="s">
        <v>3</v>
      </c>
      <c r="M1065" s="2" t="s">
        <v>3</v>
      </c>
      <c r="N1065" s="5">
        <f>IF(ISBLANK('Raw sheet'!L1065),AVERAGE('Raw sheet'!$L$2:'Raw sheet'!$L$1500),'Raw sheet'!L1065)</f>
        <v>4.3</v>
      </c>
      <c r="O1065" s="5" t="str">
        <f>IF(Table1[[#This Row],[Stress_Index]]&gt;=8,"High",IF(N1065&gt;=5,"Medium","Low"))</f>
        <v>Low</v>
      </c>
      <c r="P1065" s="3">
        <v>1.9</v>
      </c>
      <c r="Q1065" s="2">
        <v>2.11</v>
      </c>
      <c r="R1065" s="3">
        <v>2.19</v>
      </c>
      <c r="S1065" s="3" t="str">
        <f>IF(Table1[[#This Row],[CGPA]]&gt;=3,"High",IF(R1064&gt;=2,"Medium","Low"))</f>
        <v>Medium</v>
      </c>
      <c r="T1065" s="2" t="s">
        <v>7</v>
      </c>
      <c r="U1065" s="2" t="s">
        <v>1</v>
      </c>
      <c r="V1065" s="2" t="s">
        <v>9</v>
      </c>
      <c r="W1065" s="7">
        <v>0</v>
      </c>
      <c r="X1065" t="str">
        <f t="shared" si="33"/>
        <v>Active</v>
      </c>
    </row>
    <row r="1066" spans="1:24" x14ac:dyDescent="0.3">
      <c r="A1066" s="2">
        <v>1065</v>
      </c>
      <c r="B1066" s="7">
        <v>20.2</v>
      </c>
      <c r="C1066" s="2" t="s">
        <v>11</v>
      </c>
      <c r="D1066" s="7">
        <f>IF(ISBLANK('Raw sheet'!D1066),AVERAGE('Raw sheet'!$D$2:'Raw sheet'!$D$1500),'Raw sheet'!D1066)</f>
        <v>25000</v>
      </c>
      <c r="E1066" s="7" t="str">
        <f>IF(Table1[[#This Row],[Family_Income]]&gt;=100000,"Upper",IF(D1066&gt;=50000,"Middle","Lower"))</f>
        <v>Lower</v>
      </c>
      <c r="F1066" s="2" t="s">
        <v>3</v>
      </c>
      <c r="G1066" s="3">
        <f>IF(ISBLANK('Raw sheet'!F1066),AVERAGE('Raw sheet'!$F$2:'Raw sheet'!$F$1500),'Raw sheet'!F1066)</f>
        <v>3.04</v>
      </c>
      <c r="H1066" s="18">
        <v>73.5</v>
      </c>
      <c r="I1066" s="9" t="str">
        <f t="shared" si="32"/>
        <v>Low</v>
      </c>
      <c r="J1066" s="2">
        <v>1</v>
      </c>
      <c r="K1066" s="2">
        <v>29.1</v>
      </c>
      <c r="L1066" s="2" t="s">
        <v>4</v>
      </c>
      <c r="M1066" s="2" t="s">
        <v>4</v>
      </c>
      <c r="N1066" s="5">
        <f>IF(ISBLANK('Raw sheet'!L1066),AVERAGE('Raw sheet'!$L$2:'Raw sheet'!$L$1500),'Raw sheet'!L1066)</f>
        <v>6.7</v>
      </c>
      <c r="O1066" s="5" t="str">
        <f>IF(Table1[[#This Row],[Stress_Index]]&gt;=8,"High",IF(N1066&gt;=5,"Medium","Low"))</f>
        <v>Medium</v>
      </c>
      <c r="P1066" s="3">
        <v>1.89</v>
      </c>
      <c r="Q1066" s="2">
        <v>1.79</v>
      </c>
      <c r="R1066" s="3">
        <v>1.79</v>
      </c>
      <c r="S1066" s="3" t="str">
        <f>IF(Table1[[#This Row],[CGPA]]&gt;=3,"High",IF(R1065&gt;=2,"Medium","Low"))</f>
        <v>Medium</v>
      </c>
      <c r="T1066" s="2" t="s">
        <v>2</v>
      </c>
      <c r="U1066" s="2" t="s">
        <v>14</v>
      </c>
      <c r="V1066" s="2" t="s">
        <v>17</v>
      </c>
      <c r="W1066" s="7">
        <v>1</v>
      </c>
      <c r="X1066" t="str">
        <f t="shared" si="33"/>
        <v>Dropped Out</v>
      </c>
    </row>
    <row r="1067" spans="1:24" x14ac:dyDescent="0.3">
      <c r="A1067" s="2">
        <v>1066</v>
      </c>
      <c r="B1067" s="7">
        <v>18.5</v>
      </c>
      <c r="C1067" s="2" t="s">
        <v>11</v>
      </c>
      <c r="D1067" s="7">
        <f>IF(ISBLANK('Raw sheet'!D1067),AVERAGE('Raw sheet'!$D$2:'Raw sheet'!$D$1500),'Raw sheet'!D1067)</f>
        <v>25000</v>
      </c>
      <c r="E1067" s="7" t="str">
        <f>IF(Table1[[#This Row],[Family_Income]]&gt;=100000,"Upper",IF(D1067&gt;=50000,"Middle","Lower"))</f>
        <v>Lower</v>
      </c>
      <c r="F1067" s="2" t="s">
        <v>4</v>
      </c>
      <c r="G1067" s="3">
        <f>IF(ISBLANK('Raw sheet'!F1067),AVERAGE('Raw sheet'!$F$2:'Raw sheet'!$F$1500),'Raw sheet'!F1067)</f>
        <v>2.98</v>
      </c>
      <c r="H1067" s="18">
        <v>84.9</v>
      </c>
      <c r="I1067" s="9" t="str">
        <f t="shared" si="32"/>
        <v>Good</v>
      </c>
      <c r="J1067" s="2">
        <v>2</v>
      </c>
      <c r="K1067" s="2">
        <v>47</v>
      </c>
      <c r="L1067" s="2" t="s">
        <v>3</v>
      </c>
      <c r="M1067" s="2" t="s">
        <v>4</v>
      </c>
      <c r="N1067" s="5">
        <f>IF(ISBLANK('Raw sheet'!L1067),AVERAGE('Raw sheet'!$L$2:'Raw sheet'!$L$1500),'Raw sheet'!L1067)</f>
        <v>4.9000000000000004</v>
      </c>
      <c r="O1067" s="5" t="str">
        <f>IF(Table1[[#This Row],[Stress_Index]]&gt;=8,"High",IF(N1067&gt;=5,"Medium","Low"))</f>
        <v>Low</v>
      </c>
      <c r="P1067" s="3">
        <v>2.76</v>
      </c>
      <c r="Q1067" s="2">
        <v>2.6</v>
      </c>
      <c r="R1067" s="3">
        <v>2.6</v>
      </c>
      <c r="S1067" s="3" t="str">
        <f>IF(Table1[[#This Row],[CGPA]]&gt;=3,"High",IF(R1066&gt;=2,"Medium","Low"))</f>
        <v>Low</v>
      </c>
      <c r="T1067" s="2" t="s">
        <v>2</v>
      </c>
      <c r="U1067" s="2" t="s">
        <v>13</v>
      </c>
      <c r="V1067" s="2" t="s">
        <v>15</v>
      </c>
      <c r="W1067" s="7">
        <v>0</v>
      </c>
      <c r="X1067" t="str">
        <f t="shared" si="33"/>
        <v>Active</v>
      </c>
    </row>
    <row r="1068" spans="1:24" x14ac:dyDescent="0.3">
      <c r="A1068" s="2">
        <v>1067</v>
      </c>
      <c r="B1068" s="7">
        <v>18.2</v>
      </c>
      <c r="C1068" s="2" t="s">
        <v>11</v>
      </c>
      <c r="D1068" s="7">
        <f>IF(ISBLANK('Raw sheet'!D1068),AVERAGE('Raw sheet'!$D$2:'Raw sheet'!$D$1500),'Raw sheet'!D1068)</f>
        <v>25000</v>
      </c>
      <c r="E1068" s="7" t="str">
        <f>IF(Table1[[#This Row],[Family_Income]]&gt;=100000,"Upper",IF(D1068&gt;=50000,"Middle","Lower"))</f>
        <v>Lower</v>
      </c>
      <c r="F1068" s="2" t="s">
        <v>4</v>
      </c>
      <c r="G1068" s="3">
        <f>IF(ISBLANK('Raw sheet'!F1068),AVERAGE('Raw sheet'!$F$2:'Raw sheet'!$F$1500),'Raw sheet'!F1068)</f>
        <v>4.0199999999999996</v>
      </c>
      <c r="H1068" s="18">
        <v>83.1</v>
      </c>
      <c r="I1068" s="9" t="str">
        <f t="shared" si="32"/>
        <v>Good</v>
      </c>
      <c r="J1068" s="2">
        <v>3</v>
      </c>
      <c r="K1068" s="2">
        <v>37.200000000000003</v>
      </c>
      <c r="L1068" s="2" t="s">
        <v>3</v>
      </c>
      <c r="M1068" s="2" t="s">
        <v>3</v>
      </c>
      <c r="N1068" s="5">
        <f>IF(ISBLANK('Raw sheet'!L1068),AVERAGE('Raw sheet'!$L$2:'Raw sheet'!$L$1500),'Raw sheet'!L1068)</f>
        <v>9.4</v>
      </c>
      <c r="O1068" s="5" t="str">
        <f>IF(Table1[[#This Row],[Stress_Index]]&gt;=8,"High",IF(N1068&gt;=5,"Medium","Low"))</f>
        <v>High</v>
      </c>
      <c r="P1068" s="3">
        <v>1.79</v>
      </c>
      <c r="Q1068" s="2">
        <v>1.6</v>
      </c>
      <c r="R1068" s="3">
        <v>1.65</v>
      </c>
      <c r="S1068" s="3" t="str">
        <f>IF(Table1[[#This Row],[CGPA]]&gt;=3,"High",IF(R1067&gt;=2,"Medium","Low"))</f>
        <v>Medium</v>
      </c>
      <c r="T1068" s="2" t="s">
        <v>12</v>
      </c>
      <c r="U1068" s="2" t="s">
        <v>8</v>
      </c>
      <c r="V1068" s="2" t="s">
        <v>15</v>
      </c>
      <c r="W1068" s="7">
        <v>0</v>
      </c>
      <c r="X1068" t="str">
        <f t="shared" si="33"/>
        <v>Active</v>
      </c>
    </row>
    <row r="1069" spans="1:24" x14ac:dyDescent="0.3">
      <c r="A1069" s="2">
        <v>1068</v>
      </c>
      <c r="B1069" s="7">
        <v>23.6</v>
      </c>
      <c r="C1069" s="2" t="s">
        <v>5</v>
      </c>
      <c r="D1069" s="7">
        <f>IF(ISBLANK('Raw sheet'!D1069),AVERAGE('Raw sheet'!$D$2:'Raw sheet'!$D$1500),'Raw sheet'!D1069)</f>
        <v>25000</v>
      </c>
      <c r="E1069" s="7" t="str">
        <f>IF(Table1[[#This Row],[Family_Income]]&gt;=100000,"Upper",IF(D1069&gt;=50000,"Middle","Lower"))</f>
        <v>Lower</v>
      </c>
      <c r="F1069" s="2" t="s">
        <v>3</v>
      </c>
      <c r="G1069" s="3">
        <f>IF(ISBLANK('Raw sheet'!F1069),AVERAGE('Raw sheet'!$F$2:'Raw sheet'!$F$1500),'Raw sheet'!F1069)</f>
        <v>1.34</v>
      </c>
      <c r="H1069" s="18">
        <v>88</v>
      </c>
      <c r="I1069" s="9" t="str">
        <f t="shared" si="32"/>
        <v>Good</v>
      </c>
      <c r="J1069" s="2">
        <v>1</v>
      </c>
      <c r="K1069" s="2">
        <v>12.5</v>
      </c>
      <c r="L1069" s="2" t="s">
        <v>3</v>
      </c>
      <c r="M1069" s="2" t="s">
        <v>3</v>
      </c>
      <c r="N1069" s="5">
        <f>IF(ISBLANK('Raw sheet'!L1069),AVERAGE('Raw sheet'!$L$2:'Raw sheet'!$L$1500),'Raw sheet'!L1069)</f>
        <v>5</v>
      </c>
      <c r="O1069" s="5" t="str">
        <f>IF(Table1[[#This Row],[Stress_Index]]&gt;=8,"High",IF(N1069&gt;=5,"Medium","Low"))</f>
        <v>Medium</v>
      </c>
      <c r="P1069" s="3">
        <v>1.73</v>
      </c>
      <c r="Q1069" s="2">
        <v>1.73</v>
      </c>
      <c r="R1069" s="3">
        <v>1.79</v>
      </c>
      <c r="S1069" s="3" t="str">
        <f>IF(Table1[[#This Row],[CGPA]]&gt;=3,"High",IF(R1068&gt;=2,"Medium","Low"))</f>
        <v>Low</v>
      </c>
      <c r="T1069" s="2" t="s">
        <v>12</v>
      </c>
      <c r="U1069" s="2" t="s">
        <v>1</v>
      </c>
      <c r="V1069" s="2" t="s">
        <v>0</v>
      </c>
      <c r="W1069" s="7">
        <v>0</v>
      </c>
      <c r="X1069" t="str">
        <f t="shared" si="33"/>
        <v>Active</v>
      </c>
    </row>
    <row r="1070" spans="1:24" x14ac:dyDescent="0.3">
      <c r="A1070" s="2">
        <v>1069</v>
      </c>
      <c r="B1070" s="7">
        <v>20</v>
      </c>
      <c r="C1070" s="2" t="s">
        <v>11</v>
      </c>
      <c r="D1070" s="7">
        <f>IF(ISBLANK('Raw sheet'!D1070),AVERAGE('Raw sheet'!$D$2:'Raw sheet'!$D$1500),'Raw sheet'!D1070)</f>
        <v>38587.00282087447</v>
      </c>
      <c r="E1070" s="7" t="str">
        <f>IF(Table1[[#This Row],[Family_Income]]&gt;=100000,"Upper",IF(D1070&gt;=50000,"Middle","Lower"))</f>
        <v>Lower</v>
      </c>
      <c r="F1070" s="2" t="s">
        <v>3</v>
      </c>
      <c r="G1070" s="3">
        <f>IF(ISBLANK('Raw sheet'!F1070),AVERAGE('Raw sheet'!$F$2:'Raw sheet'!$F$1500),'Raw sheet'!F1070)</f>
        <v>4.0178702397743278</v>
      </c>
      <c r="H1070" s="18">
        <v>73.099999999999994</v>
      </c>
      <c r="I1070" s="9" t="str">
        <f t="shared" si="32"/>
        <v>Low</v>
      </c>
      <c r="J1070" s="2">
        <v>1</v>
      </c>
      <c r="K1070" s="2">
        <v>31.9</v>
      </c>
      <c r="L1070" s="2" t="s">
        <v>4</v>
      </c>
      <c r="M1070" s="2" t="s">
        <v>4</v>
      </c>
      <c r="N1070" s="5">
        <f>IF(ISBLANK('Raw sheet'!L1070),AVERAGE('Raw sheet'!$L$2:'Raw sheet'!$L$1500),'Raw sheet'!L1070)</f>
        <v>5.5242595204513369</v>
      </c>
      <c r="O1070" s="5" t="str">
        <f>IF(Table1[[#This Row],[Stress_Index]]&gt;=8,"High",IF(N1070&gt;=5,"Medium","Low"))</f>
        <v>Medium</v>
      </c>
      <c r="P1070" s="3">
        <v>2.63</v>
      </c>
      <c r="Q1070" s="2">
        <v>2.11</v>
      </c>
      <c r="R1070" s="3">
        <v>2.2200000000000002</v>
      </c>
      <c r="S1070" s="3" t="str">
        <f>IF(Table1[[#This Row],[CGPA]]&gt;=3,"High",IF(R1069&gt;=2,"Medium","Low"))</f>
        <v>Low</v>
      </c>
      <c r="T1070" s="2" t="s">
        <v>10</v>
      </c>
      <c r="U1070" s="2" t="s">
        <v>13</v>
      </c>
      <c r="V1070" s="2" t="s">
        <v>9</v>
      </c>
      <c r="W1070" s="7">
        <v>0</v>
      </c>
      <c r="X1070" t="str">
        <f t="shared" si="33"/>
        <v>Active</v>
      </c>
    </row>
    <row r="1071" spans="1:24" x14ac:dyDescent="0.3">
      <c r="A1071" s="2">
        <v>1070</v>
      </c>
      <c r="B1071" s="7">
        <v>21.8</v>
      </c>
      <c r="C1071" s="2" t="s">
        <v>11</v>
      </c>
      <c r="D1071" s="7">
        <f>IF(ISBLANK('Raw sheet'!D1071),AVERAGE('Raw sheet'!$D$2:'Raw sheet'!$D$1500),'Raw sheet'!D1071)</f>
        <v>25000</v>
      </c>
      <c r="E1071" s="7" t="str">
        <f>IF(Table1[[#This Row],[Family_Income]]&gt;=100000,"Upper",IF(D1071&gt;=50000,"Middle","Lower"))</f>
        <v>Lower</v>
      </c>
      <c r="F1071" s="2" t="s">
        <v>3</v>
      </c>
      <c r="G1071" s="3">
        <f>IF(ISBLANK('Raw sheet'!F1071),AVERAGE('Raw sheet'!$F$2:'Raw sheet'!$F$1500),'Raw sheet'!F1071)</f>
        <v>4.92</v>
      </c>
      <c r="H1071" s="18">
        <v>95.8</v>
      </c>
      <c r="I1071" s="9" t="str">
        <f t="shared" si="32"/>
        <v>Good</v>
      </c>
      <c r="J1071" s="2">
        <v>7</v>
      </c>
      <c r="K1071" s="2">
        <v>26.4</v>
      </c>
      <c r="L1071" s="2" t="s">
        <v>4</v>
      </c>
      <c r="M1071" s="2" t="s">
        <v>3</v>
      </c>
      <c r="N1071" s="5">
        <f>IF(ISBLANK('Raw sheet'!L1071),AVERAGE('Raw sheet'!$L$2:'Raw sheet'!$L$1500),'Raw sheet'!L1071)</f>
        <v>7.1</v>
      </c>
      <c r="O1071" s="5" t="str">
        <f>IF(Table1[[#This Row],[Stress_Index]]&gt;=8,"High",IF(N1071&gt;=5,"Medium","Low"))</f>
        <v>Medium</v>
      </c>
      <c r="P1071" s="3">
        <v>0.56999999999999995</v>
      </c>
      <c r="Q1071" s="2">
        <v>0.46</v>
      </c>
      <c r="R1071" s="3">
        <v>0.46</v>
      </c>
      <c r="S1071" s="3" t="str">
        <f>IF(Table1[[#This Row],[CGPA]]&gt;=3,"High",IF(R1070&gt;=2,"Medium","Low"))</f>
        <v>Medium</v>
      </c>
      <c r="T1071" s="2" t="s">
        <v>2</v>
      </c>
      <c r="U1071" s="2" t="s">
        <v>13</v>
      </c>
      <c r="V1071" s="2" t="s">
        <v>0</v>
      </c>
      <c r="W1071" s="7">
        <v>1</v>
      </c>
      <c r="X1071" t="str">
        <f t="shared" si="33"/>
        <v>Dropped Out</v>
      </c>
    </row>
    <row r="1072" spans="1:24" x14ac:dyDescent="0.3">
      <c r="A1072" s="2">
        <v>1071</v>
      </c>
      <c r="B1072" s="7">
        <v>20.9</v>
      </c>
      <c r="C1072" s="2" t="s">
        <v>5</v>
      </c>
      <c r="D1072" s="7">
        <f>IF(ISBLANK('Raw sheet'!D1072),AVERAGE('Raw sheet'!$D$2:'Raw sheet'!$D$1500),'Raw sheet'!D1072)</f>
        <v>43717</v>
      </c>
      <c r="E1072" s="7" t="str">
        <f>IF(Table1[[#This Row],[Family_Income]]&gt;=100000,"Upper",IF(D1072&gt;=50000,"Middle","Lower"))</f>
        <v>Lower</v>
      </c>
      <c r="F1072" s="2" t="s">
        <v>4</v>
      </c>
      <c r="G1072" s="3">
        <f>IF(ISBLANK('Raw sheet'!F1072),AVERAGE('Raw sheet'!$F$2:'Raw sheet'!$F$1500),'Raw sheet'!F1072)</f>
        <v>5.0599999999999996</v>
      </c>
      <c r="H1072" s="18">
        <v>66.099999999999994</v>
      </c>
      <c r="I1072" s="9" t="str">
        <f t="shared" si="32"/>
        <v>Low</v>
      </c>
      <c r="J1072" s="2">
        <v>4</v>
      </c>
      <c r="K1072" s="2">
        <v>27.3</v>
      </c>
      <c r="L1072" s="2" t="s">
        <v>4</v>
      </c>
      <c r="M1072" s="2" t="s">
        <v>3</v>
      </c>
      <c r="N1072" s="5">
        <f>IF(ISBLANK('Raw sheet'!L1072),AVERAGE('Raw sheet'!$L$2:'Raw sheet'!$L$1500),'Raw sheet'!L1072)</f>
        <v>7.1</v>
      </c>
      <c r="O1072" s="5" t="str">
        <f>IF(Table1[[#This Row],[Stress_Index]]&gt;=8,"High",IF(N1072&gt;=5,"Medium","Low"))</f>
        <v>Medium</v>
      </c>
      <c r="P1072" s="3">
        <v>1.48</v>
      </c>
      <c r="Q1072" s="2">
        <v>1.84</v>
      </c>
      <c r="R1072" s="3">
        <v>1.77</v>
      </c>
      <c r="S1072" s="3" t="str">
        <f>IF(Table1[[#This Row],[CGPA]]&gt;=3,"High",IF(R1071&gt;=2,"Medium","Low"))</f>
        <v>Low</v>
      </c>
      <c r="T1072" s="2" t="s">
        <v>10</v>
      </c>
      <c r="U1072" s="2" t="s">
        <v>6</v>
      </c>
      <c r="V1072" s="2" t="s">
        <v>15</v>
      </c>
      <c r="W1072" s="7">
        <v>0</v>
      </c>
      <c r="X1072" t="str">
        <f t="shared" si="33"/>
        <v>Active</v>
      </c>
    </row>
    <row r="1073" spans="1:24" x14ac:dyDescent="0.3">
      <c r="A1073" s="2">
        <v>1072</v>
      </c>
      <c r="B1073" s="7">
        <v>22</v>
      </c>
      <c r="C1073" s="2" t="s">
        <v>11</v>
      </c>
      <c r="D1073" s="7">
        <f>IF(ISBLANK('Raw sheet'!D1073),AVERAGE('Raw sheet'!$D$2:'Raw sheet'!$D$1500),'Raw sheet'!D1073)</f>
        <v>25000</v>
      </c>
      <c r="E1073" s="7" t="str">
        <f>IF(Table1[[#This Row],[Family_Income]]&gt;=100000,"Upper",IF(D1073&gt;=50000,"Middle","Lower"))</f>
        <v>Lower</v>
      </c>
      <c r="F1073" s="2" t="s">
        <v>4</v>
      </c>
      <c r="G1073" s="3">
        <f>IF(ISBLANK('Raw sheet'!F1073),AVERAGE('Raw sheet'!$F$2:'Raw sheet'!$F$1500),'Raw sheet'!F1073)</f>
        <v>4.97</v>
      </c>
      <c r="H1073" s="18">
        <v>81</v>
      </c>
      <c r="I1073" s="9" t="str">
        <f t="shared" si="32"/>
        <v>Good</v>
      </c>
      <c r="J1073" s="2">
        <v>2</v>
      </c>
      <c r="K1073" s="2">
        <v>30</v>
      </c>
      <c r="L1073" s="2" t="s">
        <v>4</v>
      </c>
      <c r="M1073" s="2" t="s">
        <v>3</v>
      </c>
      <c r="N1073" s="5">
        <f>IF(ISBLANK('Raw sheet'!L1073),AVERAGE('Raw sheet'!$L$2:'Raw sheet'!$L$1500),'Raw sheet'!L1073)</f>
        <v>5.2</v>
      </c>
      <c r="O1073" s="5" t="str">
        <f>IF(Table1[[#This Row],[Stress_Index]]&gt;=8,"High",IF(N1073&gt;=5,"Medium","Low"))</f>
        <v>Medium</v>
      </c>
      <c r="P1073" s="3">
        <v>2.63</v>
      </c>
      <c r="Q1073" s="2">
        <v>2.83</v>
      </c>
      <c r="R1073" s="3">
        <v>2.83</v>
      </c>
      <c r="S1073" s="3" t="str">
        <f>IF(Table1[[#This Row],[CGPA]]&gt;=3,"High",IF(R1072&gt;=2,"Medium","Low"))</f>
        <v>Low</v>
      </c>
      <c r="T1073" s="2" t="s">
        <v>2</v>
      </c>
      <c r="U1073" s="2" t="s">
        <v>1</v>
      </c>
      <c r="V1073" s="2" t="s">
        <v>0</v>
      </c>
      <c r="W1073" s="7">
        <v>0</v>
      </c>
      <c r="X1073" t="str">
        <f t="shared" si="33"/>
        <v>Active</v>
      </c>
    </row>
    <row r="1074" spans="1:24" x14ac:dyDescent="0.3">
      <c r="A1074" s="2">
        <v>1073</v>
      </c>
      <c r="B1074" s="7">
        <v>21.2</v>
      </c>
      <c r="C1074" s="2" t="s">
        <v>5</v>
      </c>
      <c r="D1074" s="7">
        <f>IF(ISBLANK('Raw sheet'!D1074),AVERAGE('Raw sheet'!$D$2:'Raw sheet'!$D$1500),'Raw sheet'!D1074)</f>
        <v>25000</v>
      </c>
      <c r="E1074" s="7" t="str">
        <f>IF(Table1[[#This Row],[Family_Income]]&gt;=100000,"Upper",IF(D1074&gt;=50000,"Middle","Lower"))</f>
        <v>Lower</v>
      </c>
      <c r="F1074" s="2" t="s">
        <v>4</v>
      </c>
      <c r="G1074" s="3">
        <f>IF(ISBLANK('Raw sheet'!F1074),AVERAGE('Raw sheet'!$F$2:'Raw sheet'!$F$1500),'Raw sheet'!F1074)</f>
        <v>3.85</v>
      </c>
      <c r="H1074" s="18">
        <v>65.7</v>
      </c>
      <c r="I1074" s="9" t="str">
        <f t="shared" si="32"/>
        <v>Low</v>
      </c>
      <c r="J1074" s="2">
        <v>2</v>
      </c>
      <c r="K1074" s="2">
        <v>43.5</v>
      </c>
      <c r="L1074" s="2" t="s">
        <v>4</v>
      </c>
      <c r="M1074" s="2" t="s">
        <v>4</v>
      </c>
      <c r="N1074" s="5">
        <f>IF(ISBLANK('Raw sheet'!L1074),AVERAGE('Raw sheet'!$L$2:'Raw sheet'!$L$1500),'Raw sheet'!L1074)</f>
        <v>4.7</v>
      </c>
      <c r="O1074" s="5" t="str">
        <f>IF(Table1[[#This Row],[Stress_Index]]&gt;=8,"High",IF(N1074&gt;=5,"Medium","Low"))</f>
        <v>Low</v>
      </c>
      <c r="P1074" s="3">
        <v>3.03</v>
      </c>
      <c r="Q1074" s="2">
        <v>3.74</v>
      </c>
      <c r="R1074" s="3">
        <v>3.77</v>
      </c>
      <c r="S1074" s="3" t="str">
        <f>IF(Table1[[#This Row],[CGPA]]&gt;=3,"High",IF(R1073&gt;=2,"Medium","Low"))</f>
        <v>High</v>
      </c>
      <c r="T1074" s="2" t="s">
        <v>7</v>
      </c>
      <c r="U1074" s="2" t="s">
        <v>13</v>
      </c>
      <c r="V1074" s="2" t="s">
        <v>9</v>
      </c>
      <c r="W1074" s="7">
        <v>0</v>
      </c>
      <c r="X1074" t="str">
        <f t="shared" si="33"/>
        <v>Active</v>
      </c>
    </row>
    <row r="1075" spans="1:24" x14ac:dyDescent="0.3">
      <c r="A1075" s="2">
        <v>1074</v>
      </c>
      <c r="B1075" s="7">
        <v>18.2</v>
      </c>
      <c r="C1075" s="2" t="s">
        <v>5</v>
      </c>
      <c r="D1075" s="7">
        <f>IF(ISBLANK('Raw sheet'!D1075),AVERAGE('Raw sheet'!$D$2:'Raw sheet'!$D$1500),'Raw sheet'!D1075)</f>
        <v>95609</v>
      </c>
      <c r="E1075" s="7" t="str">
        <f>IF(Table1[[#This Row],[Family_Income]]&gt;=100000,"Upper",IF(D1075&gt;=50000,"Middle","Lower"))</f>
        <v>Middle</v>
      </c>
      <c r="F1075" s="2" t="s">
        <v>4</v>
      </c>
      <c r="G1075" s="3">
        <f>IF(ISBLANK('Raw sheet'!F1075),AVERAGE('Raw sheet'!$F$2:'Raw sheet'!$F$1500),'Raw sheet'!F1075)</f>
        <v>4.32</v>
      </c>
      <c r="H1075" s="18">
        <v>85.9</v>
      </c>
      <c r="I1075" s="9" t="str">
        <f t="shared" si="32"/>
        <v>Good</v>
      </c>
      <c r="J1075" s="2">
        <v>0</v>
      </c>
      <c r="K1075" s="2">
        <v>20.2</v>
      </c>
      <c r="L1075" s="2" t="s">
        <v>3</v>
      </c>
      <c r="M1075" s="2" t="s">
        <v>4</v>
      </c>
      <c r="N1075" s="5">
        <f>IF(ISBLANK('Raw sheet'!L1075),AVERAGE('Raw sheet'!$L$2:'Raw sheet'!$L$1500),'Raw sheet'!L1075)</f>
        <v>5</v>
      </c>
      <c r="O1075" s="5" t="str">
        <f>IF(Table1[[#This Row],[Stress_Index]]&gt;=8,"High",IF(N1075&gt;=5,"Medium","Low"))</f>
        <v>Medium</v>
      </c>
      <c r="P1075" s="3">
        <v>2.7</v>
      </c>
      <c r="Q1075" s="2">
        <v>2.54</v>
      </c>
      <c r="R1075" s="3">
        <v>2.57</v>
      </c>
      <c r="S1075" s="3" t="str">
        <f>IF(Table1[[#This Row],[CGPA]]&gt;=3,"High",IF(R1074&gt;=2,"Medium","Low"))</f>
        <v>Medium</v>
      </c>
      <c r="T1075" s="2" t="s">
        <v>10</v>
      </c>
      <c r="U1075" s="2" t="s">
        <v>13</v>
      </c>
      <c r="V1075" s="2" t="s">
        <v>0</v>
      </c>
      <c r="W1075" s="7">
        <v>0</v>
      </c>
      <c r="X1075" t="str">
        <f t="shared" si="33"/>
        <v>Active</v>
      </c>
    </row>
    <row r="1076" spans="1:24" x14ac:dyDescent="0.3">
      <c r="A1076" s="2">
        <v>1075</v>
      </c>
      <c r="B1076" s="7">
        <v>23.2</v>
      </c>
      <c r="C1076" s="2" t="s">
        <v>11</v>
      </c>
      <c r="D1076" s="7">
        <f>IF(ISBLANK('Raw sheet'!D1076),AVERAGE('Raw sheet'!$D$2:'Raw sheet'!$D$1500),'Raw sheet'!D1076)</f>
        <v>28868</v>
      </c>
      <c r="E1076" s="7" t="str">
        <f>IF(Table1[[#This Row],[Family_Income]]&gt;=100000,"Upper",IF(D1076&gt;=50000,"Middle","Lower"))</f>
        <v>Lower</v>
      </c>
      <c r="F1076" s="2" t="s">
        <v>4</v>
      </c>
      <c r="G1076" s="3">
        <f>IF(ISBLANK('Raw sheet'!F1076),AVERAGE('Raw sheet'!$F$2:'Raw sheet'!$F$1500),'Raw sheet'!F1076)</f>
        <v>4.51</v>
      </c>
      <c r="H1076" s="18">
        <v>80.7</v>
      </c>
      <c r="I1076" s="9" t="str">
        <f t="shared" si="32"/>
        <v>Good</v>
      </c>
      <c r="J1076" s="2">
        <v>0</v>
      </c>
      <c r="K1076" s="2">
        <v>32.4</v>
      </c>
      <c r="L1076" s="2" t="s">
        <v>3</v>
      </c>
      <c r="M1076" s="2" t="s">
        <v>4</v>
      </c>
      <c r="N1076" s="5">
        <f>IF(ISBLANK('Raw sheet'!L1076),AVERAGE('Raw sheet'!$L$2:'Raw sheet'!$L$1500),'Raw sheet'!L1076)</f>
        <v>7.4</v>
      </c>
      <c r="O1076" s="5" t="str">
        <f>IF(Table1[[#This Row],[Stress_Index]]&gt;=8,"High",IF(N1076&gt;=5,"Medium","Low"))</f>
        <v>Medium</v>
      </c>
      <c r="P1076" s="3">
        <v>2.62</v>
      </c>
      <c r="Q1076" s="2">
        <v>2.67</v>
      </c>
      <c r="R1076" s="3">
        <v>2.64</v>
      </c>
      <c r="S1076" s="3" t="str">
        <f>IF(Table1[[#This Row],[CGPA]]&gt;=3,"High",IF(R1075&gt;=2,"Medium","Low"))</f>
        <v>Medium</v>
      </c>
      <c r="T1076" s="2" t="s">
        <v>12</v>
      </c>
      <c r="U1076" s="2" t="s">
        <v>1</v>
      </c>
      <c r="V1076" s="2" t="s">
        <v>15</v>
      </c>
      <c r="W1076" s="7">
        <v>0</v>
      </c>
      <c r="X1076" t="str">
        <f t="shared" si="33"/>
        <v>Active</v>
      </c>
    </row>
    <row r="1077" spans="1:24" x14ac:dyDescent="0.3">
      <c r="A1077" s="2">
        <v>1076</v>
      </c>
      <c r="B1077" s="7">
        <v>19.899999999999999</v>
      </c>
      <c r="C1077" s="2" t="s">
        <v>11</v>
      </c>
      <c r="D1077" s="7">
        <f>IF(ISBLANK('Raw sheet'!D1077),AVERAGE('Raw sheet'!$D$2:'Raw sheet'!$D$1500),'Raw sheet'!D1077)</f>
        <v>36516</v>
      </c>
      <c r="E1077" s="7" t="str">
        <f>IF(Table1[[#This Row],[Family_Income]]&gt;=100000,"Upper",IF(D1077&gt;=50000,"Middle","Lower"))</f>
        <v>Lower</v>
      </c>
      <c r="F1077" s="2" t="s">
        <v>4</v>
      </c>
      <c r="G1077" s="3">
        <f>IF(ISBLANK('Raw sheet'!F1077),AVERAGE('Raw sheet'!$F$2:'Raw sheet'!$F$1500),'Raw sheet'!F1077)</f>
        <v>2.11</v>
      </c>
      <c r="H1077" s="18">
        <v>78.2</v>
      </c>
      <c r="I1077" s="9" t="str">
        <f t="shared" si="32"/>
        <v>Good</v>
      </c>
      <c r="J1077" s="2">
        <v>4</v>
      </c>
      <c r="K1077" s="2">
        <v>33.5</v>
      </c>
      <c r="L1077" s="2" t="s">
        <v>4</v>
      </c>
      <c r="M1077" s="2" t="s">
        <v>4</v>
      </c>
      <c r="N1077" s="5">
        <f>IF(ISBLANK('Raw sheet'!L1077),AVERAGE('Raw sheet'!$L$2:'Raw sheet'!$L$1500),'Raw sheet'!L1077)</f>
        <v>6.4</v>
      </c>
      <c r="O1077" s="5" t="str">
        <f>IF(Table1[[#This Row],[Stress_Index]]&gt;=8,"High",IF(N1077&gt;=5,"Medium","Low"))</f>
        <v>Medium</v>
      </c>
      <c r="P1077" s="3">
        <v>1.2</v>
      </c>
      <c r="Q1077" s="2">
        <v>0.91</v>
      </c>
      <c r="R1077" s="3">
        <v>0.94</v>
      </c>
      <c r="S1077" s="3" t="str">
        <f>IF(Table1[[#This Row],[CGPA]]&gt;=3,"High",IF(R1076&gt;=2,"Medium","Low"))</f>
        <v>Medium</v>
      </c>
      <c r="T1077" s="2" t="s">
        <v>7</v>
      </c>
      <c r="U1077" s="2" t="s">
        <v>14</v>
      </c>
      <c r="V1077" s="2" t="s">
        <v>15</v>
      </c>
      <c r="W1077" s="7">
        <v>1</v>
      </c>
      <c r="X1077" t="str">
        <f t="shared" si="33"/>
        <v>Dropped Out</v>
      </c>
    </row>
    <row r="1078" spans="1:24" x14ac:dyDescent="0.3">
      <c r="A1078" s="2">
        <v>1077</v>
      </c>
      <c r="B1078" s="7">
        <v>17.600000000000001</v>
      </c>
      <c r="C1078" s="2" t="s">
        <v>5</v>
      </c>
      <c r="D1078" s="7">
        <f>IF(ISBLANK('Raw sheet'!D1078),AVERAGE('Raw sheet'!$D$2:'Raw sheet'!$D$1500),'Raw sheet'!D1078)</f>
        <v>25000</v>
      </c>
      <c r="E1078" s="7" t="str">
        <f>IF(Table1[[#This Row],[Family_Income]]&gt;=100000,"Upper",IF(D1078&gt;=50000,"Middle","Lower"))</f>
        <v>Lower</v>
      </c>
      <c r="F1078" s="2" t="s">
        <v>4</v>
      </c>
      <c r="G1078" s="3">
        <f>IF(ISBLANK('Raw sheet'!F1078),AVERAGE('Raw sheet'!$F$2:'Raw sheet'!$F$1500),'Raw sheet'!F1078)</f>
        <v>4.26</v>
      </c>
      <c r="H1078" s="18">
        <v>84.1</v>
      </c>
      <c r="I1078" s="9" t="str">
        <f t="shared" si="32"/>
        <v>Good</v>
      </c>
      <c r="J1078" s="2">
        <v>2</v>
      </c>
      <c r="K1078" s="2">
        <v>27.3</v>
      </c>
      <c r="L1078" s="2" t="s">
        <v>3</v>
      </c>
      <c r="M1078" s="2" t="s">
        <v>3</v>
      </c>
      <c r="N1078" s="5">
        <f>IF(ISBLANK('Raw sheet'!L1078),AVERAGE('Raw sheet'!$L$2:'Raw sheet'!$L$1500),'Raw sheet'!L1078)</f>
        <v>2.1</v>
      </c>
      <c r="O1078" s="5" t="str">
        <f>IF(Table1[[#This Row],[Stress_Index]]&gt;=8,"High",IF(N1078&gt;=5,"Medium","Low"))</f>
        <v>Low</v>
      </c>
      <c r="P1078" s="3">
        <v>3.52</v>
      </c>
      <c r="Q1078" s="2">
        <v>3.63</v>
      </c>
      <c r="R1078" s="3">
        <v>3.61</v>
      </c>
      <c r="S1078" s="3" t="str">
        <f>IF(Table1[[#This Row],[CGPA]]&gt;=3,"High",IF(R1077&gt;=2,"Medium","Low"))</f>
        <v>High</v>
      </c>
      <c r="T1078" s="2" t="s">
        <v>12</v>
      </c>
      <c r="U1078" s="2" t="s">
        <v>6</v>
      </c>
      <c r="V1078" s="2" t="s">
        <v>9</v>
      </c>
      <c r="W1078" s="7">
        <v>0</v>
      </c>
      <c r="X1078" t="str">
        <f t="shared" si="33"/>
        <v>Active</v>
      </c>
    </row>
    <row r="1079" spans="1:24" x14ac:dyDescent="0.3">
      <c r="A1079" s="2">
        <v>1078</v>
      </c>
      <c r="B1079" s="7">
        <v>20.100000000000001</v>
      </c>
      <c r="C1079" s="2" t="s">
        <v>5</v>
      </c>
      <c r="D1079" s="7">
        <f>IF(ISBLANK('Raw sheet'!D1079),AVERAGE('Raw sheet'!$D$2:'Raw sheet'!$D$1500),'Raw sheet'!D1079)</f>
        <v>108889</v>
      </c>
      <c r="E1079" s="7" t="str">
        <f>IF(Table1[[#This Row],[Family_Income]]&gt;=100000,"Upper",IF(D1079&gt;=50000,"Middle","Lower"))</f>
        <v>Upper</v>
      </c>
      <c r="F1079" s="2" t="s">
        <v>4</v>
      </c>
      <c r="G1079" s="3">
        <f>IF(ISBLANK('Raw sheet'!F1079),AVERAGE('Raw sheet'!$F$2:'Raw sheet'!$F$1500),'Raw sheet'!F1079)</f>
        <v>3.51</v>
      </c>
      <c r="H1079" s="18">
        <v>73.599999999999994</v>
      </c>
      <c r="I1079" s="9" t="str">
        <f t="shared" si="32"/>
        <v>Low</v>
      </c>
      <c r="J1079" s="2">
        <v>1</v>
      </c>
      <c r="K1079" s="2">
        <v>22.3</v>
      </c>
      <c r="L1079" s="2" t="s">
        <v>4</v>
      </c>
      <c r="M1079" s="2" t="s">
        <v>4</v>
      </c>
      <c r="N1079" s="5">
        <f>IF(ISBLANK('Raw sheet'!L1079),AVERAGE('Raw sheet'!$L$2:'Raw sheet'!$L$1500),'Raw sheet'!L1079)</f>
        <v>3.2</v>
      </c>
      <c r="O1079" s="5" t="str">
        <f>IF(Table1[[#This Row],[Stress_Index]]&gt;=8,"High",IF(N1079&gt;=5,"Medium","Low"))</f>
        <v>Low</v>
      </c>
      <c r="P1079" s="3">
        <v>1.54</v>
      </c>
      <c r="Q1079" s="2">
        <v>1.32</v>
      </c>
      <c r="R1079" s="3">
        <v>1.3</v>
      </c>
      <c r="S1079" s="3" t="str">
        <f>IF(Table1[[#This Row],[CGPA]]&gt;=3,"High",IF(R1078&gt;=2,"Medium","Low"))</f>
        <v>Medium</v>
      </c>
      <c r="T1079" s="2" t="s">
        <v>7</v>
      </c>
      <c r="U1079" s="2" t="s">
        <v>8</v>
      </c>
      <c r="V1079" s="2" t="s">
        <v>0</v>
      </c>
      <c r="W1079" s="7">
        <v>0</v>
      </c>
      <c r="X1079" t="str">
        <f t="shared" si="33"/>
        <v>Active</v>
      </c>
    </row>
    <row r="1080" spans="1:24" x14ac:dyDescent="0.3">
      <c r="A1080" s="2">
        <v>1079</v>
      </c>
      <c r="B1080" s="7">
        <v>24.3</v>
      </c>
      <c r="C1080" s="2" t="s">
        <v>11</v>
      </c>
      <c r="D1080" s="7">
        <f>IF(ISBLANK('Raw sheet'!D1080),AVERAGE('Raw sheet'!$D$2:'Raw sheet'!$D$1500),'Raw sheet'!D1080)</f>
        <v>25000</v>
      </c>
      <c r="E1080" s="7" t="str">
        <f>IF(Table1[[#This Row],[Family_Income]]&gt;=100000,"Upper",IF(D1080&gt;=50000,"Middle","Lower"))</f>
        <v>Lower</v>
      </c>
      <c r="F1080" s="2" t="s">
        <v>4</v>
      </c>
      <c r="G1080" s="3">
        <f>IF(ISBLANK('Raw sheet'!F1080),AVERAGE('Raw sheet'!$F$2:'Raw sheet'!$F$1500),'Raw sheet'!F1080)</f>
        <v>6.4</v>
      </c>
      <c r="H1080" s="18">
        <v>96.8</v>
      </c>
      <c r="I1080" s="9" t="str">
        <f t="shared" si="32"/>
        <v>Good</v>
      </c>
      <c r="J1080" s="2">
        <v>1</v>
      </c>
      <c r="K1080" s="2">
        <v>20.9</v>
      </c>
      <c r="L1080" s="2" t="s">
        <v>4</v>
      </c>
      <c r="M1080" s="2" t="s">
        <v>4</v>
      </c>
      <c r="N1080" s="5">
        <f>IF(ISBLANK('Raw sheet'!L1080),AVERAGE('Raw sheet'!$L$2:'Raw sheet'!$L$1500),'Raw sheet'!L1080)</f>
        <v>5.3</v>
      </c>
      <c r="O1080" s="5" t="str">
        <f>IF(Table1[[#This Row],[Stress_Index]]&gt;=8,"High",IF(N1080&gt;=5,"Medium","Low"))</f>
        <v>Medium</v>
      </c>
      <c r="P1080" s="3">
        <v>4</v>
      </c>
      <c r="Q1080" s="2">
        <v>3.73</v>
      </c>
      <c r="R1080" s="3">
        <v>3.73</v>
      </c>
      <c r="S1080" s="3" t="str">
        <f>IF(Table1[[#This Row],[CGPA]]&gt;=3,"High",IF(R1079&gt;=2,"Medium","Low"))</f>
        <v>High</v>
      </c>
      <c r="T1080" s="2" t="s">
        <v>2</v>
      </c>
      <c r="U1080" s="2" t="s">
        <v>13</v>
      </c>
      <c r="V1080" s="2" t="s">
        <v>15</v>
      </c>
      <c r="W1080" s="7">
        <v>0</v>
      </c>
      <c r="X1080" t="str">
        <f t="shared" si="33"/>
        <v>Active</v>
      </c>
    </row>
    <row r="1081" spans="1:24" x14ac:dyDescent="0.3">
      <c r="A1081" s="2">
        <v>1080</v>
      </c>
      <c r="B1081" s="7">
        <v>22.9</v>
      </c>
      <c r="C1081" s="2" t="s">
        <v>11</v>
      </c>
      <c r="D1081" s="7">
        <f>IF(ISBLANK('Raw sheet'!D1081),AVERAGE('Raw sheet'!$D$2:'Raw sheet'!$D$1500),'Raw sheet'!D1081)</f>
        <v>25930</v>
      </c>
      <c r="E1081" s="7" t="str">
        <f>IF(Table1[[#This Row],[Family_Income]]&gt;=100000,"Upper",IF(D1081&gt;=50000,"Middle","Lower"))</f>
        <v>Lower</v>
      </c>
      <c r="F1081" s="2" t="s">
        <v>4</v>
      </c>
      <c r="G1081" s="3">
        <f>IF(ISBLANK('Raw sheet'!F1081),AVERAGE('Raw sheet'!$F$2:'Raw sheet'!$F$1500),'Raw sheet'!F1081)</f>
        <v>3.75</v>
      </c>
      <c r="H1081" s="18">
        <v>80</v>
      </c>
      <c r="I1081" s="9" t="str">
        <f t="shared" si="32"/>
        <v>Good</v>
      </c>
      <c r="J1081" s="2">
        <v>4</v>
      </c>
      <c r="K1081" s="2">
        <v>25</v>
      </c>
      <c r="L1081" s="2" t="s">
        <v>3</v>
      </c>
      <c r="M1081" s="2" t="s">
        <v>3</v>
      </c>
      <c r="N1081" s="5">
        <f>IF(ISBLANK('Raw sheet'!L1081),AVERAGE('Raw sheet'!$L$2:'Raw sheet'!$L$1500),'Raw sheet'!L1081)</f>
        <v>6.5</v>
      </c>
      <c r="O1081" s="5" t="str">
        <f>IF(Table1[[#This Row],[Stress_Index]]&gt;=8,"High",IF(N1081&gt;=5,"Medium","Low"))</f>
        <v>Medium</v>
      </c>
      <c r="P1081" s="3">
        <v>2.0499999999999998</v>
      </c>
      <c r="Q1081" s="2">
        <v>2.61</v>
      </c>
      <c r="R1081" s="3">
        <v>2.6</v>
      </c>
      <c r="S1081" s="3" t="str">
        <f>IF(Table1[[#This Row],[CGPA]]&gt;=3,"High",IF(R1080&gt;=2,"Medium","Low"))</f>
        <v>Medium</v>
      </c>
      <c r="T1081" s="2" t="s">
        <v>12</v>
      </c>
      <c r="U1081" s="2" t="s">
        <v>8</v>
      </c>
      <c r="V1081" s="2" t="s">
        <v>9</v>
      </c>
      <c r="W1081" s="7">
        <v>0</v>
      </c>
      <c r="X1081" t="str">
        <f t="shared" si="33"/>
        <v>Active</v>
      </c>
    </row>
    <row r="1082" spans="1:24" x14ac:dyDescent="0.3">
      <c r="A1082" s="2">
        <v>1081</v>
      </c>
      <c r="B1082" s="7">
        <v>20.2</v>
      </c>
      <c r="C1082" s="2" t="s">
        <v>11</v>
      </c>
      <c r="D1082" s="7">
        <f>IF(ISBLANK('Raw sheet'!D1082),AVERAGE('Raw sheet'!$D$2:'Raw sheet'!$D$1500),'Raw sheet'!D1082)</f>
        <v>65528</v>
      </c>
      <c r="E1082" s="7" t="str">
        <f>IF(Table1[[#This Row],[Family_Income]]&gt;=100000,"Upper",IF(D1082&gt;=50000,"Middle","Lower"))</f>
        <v>Middle</v>
      </c>
      <c r="F1082" s="2" t="s">
        <v>4</v>
      </c>
      <c r="G1082" s="3">
        <f>IF(ISBLANK('Raw sheet'!F1082),AVERAGE('Raw sheet'!$F$2:'Raw sheet'!$F$1500),'Raw sheet'!F1082)</f>
        <v>3.84</v>
      </c>
      <c r="H1082" s="18">
        <v>82.6</v>
      </c>
      <c r="I1082" s="9" t="str">
        <f t="shared" si="32"/>
        <v>Good</v>
      </c>
      <c r="J1082" s="2">
        <v>2</v>
      </c>
      <c r="K1082" s="2">
        <v>38.9</v>
      </c>
      <c r="L1082" s="2" t="s">
        <v>3</v>
      </c>
      <c r="M1082" s="2" t="s">
        <v>3</v>
      </c>
      <c r="N1082" s="5">
        <f>IF(ISBLANK('Raw sheet'!L1082),AVERAGE('Raw sheet'!$L$2:'Raw sheet'!$L$1500),'Raw sheet'!L1082)</f>
        <v>5.0999999999999996</v>
      </c>
      <c r="O1082" s="5" t="str">
        <f>IF(Table1[[#This Row],[Stress_Index]]&gt;=8,"High",IF(N1082&gt;=5,"Medium","Low"))</f>
        <v>Medium</v>
      </c>
      <c r="P1082" s="3">
        <v>1.1499999999999999</v>
      </c>
      <c r="Q1082" s="2">
        <v>0.92</v>
      </c>
      <c r="R1082" s="3">
        <v>0.92</v>
      </c>
      <c r="S1082" s="3" t="str">
        <f>IF(Table1[[#This Row],[CGPA]]&gt;=3,"High",IF(R1081&gt;=2,"Medium","Low"))</f>
        <v>Medium</v>
      </c>
      <c r="T1082" s="2" t="s">
        <v>12</v>
      </c>
      <c r="U1082" s="2" t="s">
        <v>14</v>
      </c>
      <c r="V1082" s="2" t="s">
        <v>9</v>
      </c>
      <c r="W1082" s="7">
        <v>0</v>
      </c>
      <c r="X1082" t="str">
        <f t="shared" si="33"/>
        <v>Active</v>
      </c>
    </row>
    <row r="1083" spans="1:24" x14ac:dyDescent="0.3">
      <c r="A1083" s="2">
        <v>1082</v>
      </c>
      <c r="B1083" s="7">
        <v>20.2</v>
      </c>
      <c r="C1083" s="2" t="s">
        <v>5</v>
      </c>
      <c r="D1083" s="7">
        <f>IF(ISBLANK('Raw sheet'!D1083),AVERAGE('Raw sheet'!$D$2:'Raw sheet'!$D$1500),'Raw sheet'!D1083)</f>
        <v>26661</v>
      </c>
      <c r="E1083" s="7" t="str">
        <f>IF(Table1[[#This Row],[Family_Income]]&gt;=100000,"Upper",IF(D1083&gt;=50000,"Middle","Lower"))</f>
        <v>Lower</v>
      </c>
      <c r="F1083" s="2" t="s">
        <v>4</v>
      </c>
      <c r="G1083" s="3">
        <f>IF(ISBLANK('Raw sheet'!F1083),AVERAGE('Raw sheet'!$F$2:'Raw sheet'!$F$1500),'Raw sheet'!F1083)</f>
        <v>2.41</v>
      </c>
      <c r="H1083" s="18">
        <v>81</v>
      </c>
      <c r="I1083" s="9" t="str">
        <f t="shared" si="32"/>
        <v>Good</v>
      </c>
      <c r="J1083" s="2">
        <v>2</v>
      </c>
      <c r="K1083" s="2">
        <v>25.7</v>
      </c>
      <c r="L1083" s="2" t="s">
        <v>3</v>
      </c>
      <c r="M1083" s="2" t="s">
        <v>4</v>
      </c>
      <c r="N1083" s="5">
        <f>IF(ISBLANK('Raw sheet'!L1083),AVERAGE('Raw sheet'!$L$2:'Raw sheet'!$L$1500),'Raw sheet'!L1083)</f>
        <v>4.5999999999999996</v>
      </c>
      <c r="O1083" s="5" t="str">
        <f>IF(Table1[[#This Row],[Stress_Index]]&gt;=8,"High",IF(N1083&gt;=5,"Medium","Low"))</f>
        <v>Low</v>
      </c>
      <c r="P1083" s="3">
        <v>0.77</v>
      </c>
      <c r="Q1083" s="2">
        <v>0.63</v>
      </c>
      <c r="R1083" s="3">
        <v>0.68</v>
      </c>
      <c r="S1083" s="3" t="str">
        <f>IF(Table1[[#This Row],[CGPA]]&gt;=3,"High",IF(R1082&gt;=2,"Medium","Low"))</f>
        <v>Low</v>
      </c>
      <c r="T1083" s="2" t="s">
        <v>10</v>
      </c>
      <c r="U1083" s="2" t="s">
        <v>8</v>
      </c>
      <c r="V1083" s="2" t="s">
        <v>15</v>
      </c>
      <c r="W1083" s="7">
        <v>0</v>
      </c>
      <c r="X1083" t="str">
        <f t="shared" si="33"/>
        <v>Active</v>
      </c>
    </row>
    <row r="1084" spans="1:24" x14ac:dyDescent="0.3">
      <c r="A1084" s="2">
        <v>1083</v>
      </c>
      <c r="B1084" s="7">
        <v>20.3</v>
      </c>
      <c r="C1084" s="2" t="s">
        <v>5</v>
      </c>
      <c r="D1084" s="7">
        <f>IF(ISBLANK('Raw sheet'!D1084),AVERAGE('Raw sheet'!$D$2:'Raw sheet'!$D$1500),'Raw sheet'!D1084)</f>
        <v>30599</v>
      </c>
      <c r="E1084" s="7" t="str">
        <f>IF(Table1[[#This Row],[Family_Income]]&gt;=100000,"Upper",IF(D1084&gt;=50000,"Middle","Lower"))</f>
        <v>Lower</v>
      </c>
      <c r="F1084" s="2" t="s">
        <v>4</v>
      </c>
      <c r="G1084" s="3">
        <f>IF(ISBLANK('Raw sheet'!F1084),AVERAGE('Raw sheet'!$F$2:'Raw sheet'!$F$1500),'Raw sheet'!F1084)</f>
        <v>3.49</v>
      </c>
      <c r="H1084" s="18">
        <v>89.4</v>
      </c>
      <c r="I1084" s="9" t="str">
        <f t="shared" si="32"/>
        <v>Good</v>
      </c>
      <c r="J1084" s="2">
        <v>1</v>
      </c>
      <c r="K1084" s="2">
        <v>28.8</v>
      </c>
      <c r="L1084" s="2" t="s">
        <v>4</v>
      </c>
      <c r="M1084" s="2" t="s">
        <v>3</v>
      </c>
      <c r="N1084" s="5">
        <f>IF(ISBLANK('Raw sheet'!L1084),AVERAGE('Raw sheet'!$L$2:'Raw sheet'!$L$1500),'Raw sheet'!L1084)</f>
        <v>3.7</v>
      </c>
      <c r="O1084" s="5" t="str">
        <f>IF(Table1[[#This Row],[Stress_Index]]&gt;=8,"High",IF(N1084&gt;=5,"Medium","Low"))</f>
        <v>Low</v>
      </c>
      <c r="P1084" s="3">
        <v>2.93</v>
      </c>
      <c r="Q1084" s="2">
        <v>3.07</v>
      </c>
      <c r="R1084" s="3">
        <v>3.09</v>
      </c>
      <c r="S1084" s="3" t="str">
        <f>IF(Table1[[#This Row],[CGPA]]&gt;=3,"High",IF(R1083&gt;=2,"Medium","Low"))</f>
        <v>High</v>
      </c>
      <c r="T1084" s="2" t="s">
        <v>10</v>
      </c>
      <c r="U1084" s="2" t="s">
        <v>6</v>
      </c>
      <c r="V1084" s="2" t="s">
        <v>15</v>
      </c>
      <c r="W1084" s="7">
        <v>0</v>
      </c>
      <c r="X1084" t="str">
        <f t="shared" si="33"/>
        <v>Active</v>
      </c>
    </row>
    <row r="1085" spans="1:24" x14ac:dyDescent="0.3">
      <c r="A1085" s="2">
        <v>1084</v>
      </c>
      <c r="B1085" s="7">
        <v>25.6</v>
      </c>
      <c r="C1085" s="2" t="s">
        <v>5</v>
      </c>
      <c r="D1085" s="7">
        <f>IF(ISBLANK('Raw sheet'!D1085),AVERAGE('Raw sheet'!$D$2:'Raw sheet'!$D$1500),'Raw sheet'!D1085)</f>
        <v>25109</v>
      </c>
      <c r="E1085" s="7" t="str">
        <f>IF(Table1[[#This Row],[Family_Income]]&gt;=100000,"Upper",IF(D1085&gt;=50000,"Middle","Lower"))</f>
        <v>Lower</v>
      </c>
      <c r="F1085" s="2" t="s">
        <v>4</v>
      </c>
      <c r="G1085" s="3">
        <f>IF(ISBLANK('Raw sheet'!F1085),AVERAGE('Raw sheet'!$F$2:'Raw sheet'!$F$1500),'Raw sheet'!F1085)</f>
        <v>1.25</v>
      </c>
      <c r="H1085" s="18">
        <v>72.400000000000006</v>
      </c>
      <c r="I1085" s="9" t="str">
        <f t="shared" si="32"/>
        <v>Low</v>
      </c>
      <c r="J1085" s="2">
        <v>5</v>
      </c>
      <c r="K1085" s="2">
        <v>16.100000000000001</v>
      </c>
      <c r="L1085" s="2" t="s">
        <v>4</v>
      </c>
      <c r="M1085" s="2" t="s">
        <v>3</v>
      </c>
      <c r="N1085" s="5">
        <f>IF(ISBLANK('Raw sheet'!L1085),AVERAGE('Raw sheet'!$L$2:'Raw sheet'!$L$1500),'Raw sheet'!L1085)</f>
        <v>7.1</v>
      </c>
      <c r="O1085" s="5" t="str">
        <f>IF(Table1[[#This Row],[Stress_Index]]&gt;=8,"High",IF(N1085&gt;=5,"Medium","Low"))</f>
        <v>Medium</v>
      </c>
      <c r="P1085" s="3">
        <v>0</v>
      </c>
      <c r="Q1085" s="2">
        <v>0.05</v>
      </c>
      <c r="R1085" s="3">
        <v>0.04</v>
      </c>
      <c r="S1085" s="3" t="str">
        <f>IF(Table1[[#This Row],[CGPA]]&gt;=3,"High",IF(R1084&gt;=2,"Medium","Low"))</f>
        <v>Medium</v>
      </c>
      <c r="T1085" s="2" t="s">
        <v>7</v>
      </c>
      <c r="U1085" s="2" t="s">
        <v>6</v>
      </c>
      <c r="V1085" s="2" t="s">
        <v>15</v>
      </c>
      <c r="W1085" s="7">
        <v>0</v>
      </c>
      <c r="X1085" t="str">
        <f t="shared" si="33"/>
        <v>Active</v>
      </c>
    </row>
    <row r="1086" spans="1:24" x14ac:dyDescent="0.3">
      <c r="A1086" s="2">
        <v>1085</v>
      </c>
      <c r="B1086" s="7">
        <v>21.8</v>
      </c>
      <c r="C1086" s="2" t="s">
        <v>5</v>
      </c>
      <c r="D1086" s="7">
        <f>IF(ISBLANK('Raw sheet'!D1086),AVERAGE('Raw sheet'!$D$2:'Raw sheet'!$D$1500),'Raw sheet'!D1086)</f>
        <v>38587.00282087447</v>
      </c>
      <c r="E1086" s="7" t="str">
        <f>IF(Table1[[#This Row],[Family_Income]]&gt;=100000,"Upper",IF(D1086&gt;=50000,"Middle","Lower"))</f>
        <v>Lower</v>
      </c>
      <c r="F1086" s="2" t="s">
        <v>4</v>
      </c>
      <c r="G1086" s="3">
        <f>IF(ISBLANK('Raw sheet'!F1086),AVERAGE('Raw sheet'!$F$2:'Raw sheet'!$F$1500),'Raw sheet'!F1086)</f>
        <v>4.0178702397743278</v>
      </c>
      <c r="H1086" s="18">
        <v>88.6</v>
      </c>
      <c r="I1086" s="9" t="str">
        <f t="shared" si="32"/>
        <v>Good</v>
      </c>
      <c r="J1086" s="2">
        <v>1</v>
      </c>
      <c r="K1086" s="2">
        <v>24.3</v>
      </c>
      <c r="L1086" s="2" t="s">
        <v>3</v>
      </c>
      <c r="M1086" s="2" t="s">
        <v>3</v>
      </c>
      <c r="N1086" s="5">
        <f>IF(ISBLANK('Raw sheet'!L1086),AVERAGE('Raw sheet'!$L$2:'Raw sheet'!$L$1500),'Raw sheet'!L1086)</f>
        <v>5.5242595204513369</v>
      </c>
      <c r="O1086" s="5" t="str">
        <f>IF(Table1[[#This Row],[Stress_Index]]&gt;=8,"High",IF(N1086&gt;=5,"Medium","Low"))</f>
        <v>Medium</v>
      </c>
      <c r="P1086" s="3">
        <v>1.25</v>
      </c>
      <c r="Q1086" s="2">
        <v>1.44</v>
      </c>
      <c r="R1086" s="3">
        <v>1.44</v>
      </c>
      <c r="S1086" s="3" t="str">
        <f>IF(Table1[[#This Row],[CGPA]]&gt;=3,"High",IF(R1085&gt;=2,"Medium","Low"))</f>
        <v>Low</v>
      </c>
      <c r="T1086" s="2" t="s">
        <v>2</v>
      </c>
      <c r="U1086" s="2" t="s">
        <v>8</v>
      </c>
      <c r="V1086" s="2" t="s">
        <v>15</v>
      </c>
      <c r="W1086" s="7">
        <v>1</v>
      </c>
      <c r="X1086" t="str">
        <f t="shared" si="33"/>
        <v>Dropped Out</v>
      </c>
    </row>
    <row r="1087" spans="1:24" x14ac:dyDescent="0.3">
      <c r="A1087" s="2">
        <v>1086</v>
      </c>
      <c r="B1087" s="7">
        <v>21.9</v>
      </c>
      <c r="C1087" s="2" t="s">
        <v>5</v>
      </c>
      <c r="D1087" s="7">
        <f>IF(ISBLANK('Raw sheet'!D1087),AVERAGE('Raw sheet'!$D$2:'Raw sheet'!$D$1500),'Raw sheet'!D1087)</f>
        <v>37134</v>
      </c>
      <c r="E1087" s="7" t="str">
        <f>IF(Table1[[#This Row],[Family_Income]]&gt;=100000,"Upper",IF(D1087&gt;=50000,"Middle","Lower"))</f>
        <v>Lower</v>
      </c>
      <c r="F1087" s="2" t="s">
        <v>4</v>
      </c>
      <c r="G1087" s="3">
        <f>IF(ISBLANK('Raw sheet'!F1087),AVERAGE('Raw sheet'!$F$2:'Raw sheet'!$F$1500),'Raw sheet'!F1087)</f>
        <v>4.76</v>
      </c>
      <c r="H1087" s="18">
        <v>77.900000000000006</v>
      </c>
      <c r="I1087" s="9" t="str">
        <f t="shared" si="32"/>
        <v>Good</v>
      </c>
      <c r="J1087" s="2">
        <v>1</v>
      </c>
      <c r="K1087" s="2">
        <v>32.799999999999997</v>
      </c>
      <c r="L1087" s="2" t="s">
        <v>3</v>
      </c>
      <c r="M1087" s="2" t="s">
        <v>3</v>
      </c>
      <c r="N1087" s="5">
        <f>IF(ISBLANK('Raw sheet'!L1087),AVERAGE('Raw sheet'!$L$2:'Raw sheet'!$L$1500),'Raw sheet'!L1087)</f>
        <v>8.5</v>
      </c>
      <c r="O1087" s="5" t="str">
        <f>IF(Table1[[#This Row],[Stress_Index]]&gt;=8,"High",IF(N1087&gt;=5,"Medium","Low"))</f>
        <v>High</v>
      </c>
      <c r="P1087" s="3">
        <v>1.26</v>
      </c>
      <c r="Q1087" s="2">
        <v>1.24</v>
      </c>
      <c r="R1087" s="3">
        <v>1.32</v>
      </c>
      <c r="S1087" s="3" t="str">
        <f>IF(Table1[[#This Row],[CGPA]]&gt;=3,"High",IF(R1086&gt;=2,"Medium","Low"))</f>
        <v>Low</v>
      </c>
      <c r="T1087" s="2" t="s">
        <v>7</v>
      </c>
      <c r="U1087" s="2" t="s">
        <v>13</v>
      </c>
      <c r="V1087" s="2" t="s">
        <v>0</v>
      </c>
      <c r="W1087" s="7">
        <v>1</v>
      </c>
      <c r="X1087" t="str">
        <f t="shared" si="33"/>
        <v>Dropped Out</v>
      </c>
    </row>
    <row r="1088" spans="1:24" x14ac:dyDescent="0.3">
      <c r="A1088" s="2">
        <v>1087</v>
      </c>
      <c r="B1088" s="7">
        <v>23.3</v>
      </c>
      <c r="C1088" s="2" t="s">
        <v>5</v>
      </c>
      <c r="D1088" s="7">
        <f>IF(ISBLANK('Raw sheet'!D1088),AVERAGE('Raw sheet'!$D$2:'Raw sheet'!$D$1500),'Raw sheet'!D1088)</f>
        <v>41430</v>
      </c>
      <c r="E1088" s="7" t="str">
        <f>IF(Table1[[#This Row],[Family_Income]]&gt;=100000,"Upper",IF(D1088&gt;=50000,"Middle","Lower"))</f>
        <v>Lower</v>
      </c>
      <c r="F1088" s="2" t="s">
        <v>4</v>
      </c>
      <c r="G1088" s="3">
        <f>IF(ISBLANK('Raw sheet'!F1088),AVERAGE('Raw sheet'!$F$2:'Raw sheet'!$F$1500),'Raw sheet'!F1088)</f>
        <v>3.52</v>
      </c>
      <c r="H1088" s="18">
        <v>77.900000000000006</v>
      </c>
      <c r="I1088" s="9" t="str">
        <f t="shared" si="32"/>
        <v>Good</v>
      </c>
      <c r="J1088" s="2">
        <v>1</v>
      </c>
      <c r="K1088" s="2">
        <v>10</v>
      </c>
      <c r="L1088" s="2" t="s">
        <v>4</v>
      </c>
      <c r="M1088" s="2" t="s">
        <v>4</v>
      </c>
      <c r="N1088" s="5">
        <f>IF(ISBLANK('Raw sheet'!L1088),AVERAGE('Raw sheet'!$L$2:'Raw sheet'!$L$1500),'Raw sheet'!L1088)</f>
        <v>3.2</v>
      </c>
      <c r="O1088" s="5" t="str">
        <f>IF(Table1[[#This Row],[Stress_Index]]&gt;=8,"High",IF(N1088&gt;=5,"Medium","Low"))</f>
        <v>Low</v>
      </c>
      <c r="P1088" s="3">
        <v>2.12</v>
      </c>
      <c r="Q1088" s="2">
        <v>2.3199999999999998</v>
      </c>
      <c r="R1088" s="3">
        <v>2.25</v>
      </c>
      <c r="S1088" s="3" t="str">
        <f>IF(Table1[[#This Row],[CGPA]]&gt;=3,"High",IF(R1087&gt;=2,"Medium","Low"))</f>
        <v>Low</v>
      </c>
      <c r="T1088" s="2" t="s">
        <v>12</v>
      </c>
      <c r="U1088" s="2" t="s">
        <v>1</v>
      </c>
      <c r="V1088" s="2" t="s">
        <v>9</v>
      </c>
      <c r="W1088" s="7">
        <v>0</v>
      </c>
      <c r="X1088" t="str">
        <f t="shared" si="33"/>
        <v>Active</v>
      </c>
    </row>
    <row r="1089" spans="1:24" x14ac:dyDescent="0.3">
      <c r="A1089" s="2">
        <v>1088</v>
      </c>
      <c r="B1089" s="7">
        <v>21.5</v>
      </c>
      <c r="C1089" s="2" t="s">
        <v>11</v>
      </c>
      <c r="D1089" s="7">
        <f>IF(ISBLANK('Raw sheet'!D1089),AVERAGE('Raw sheet'!$D$2:'Raw sheet'!$D$1500),'Raw sheet'!D1089)</f>
        <v>25000</v>
      </c>
      <c r="E1089" s="7" t="str">
        <f>IF(Table1[[#This Row],[Family_Income]]&gt;=100000,"Upper",IF(D1089&gt;=50000,"Middle","Lower"))</f>
        <v>Lower</v>
      </c>
      <c r="F1089" s="2" t="s">
        <v>4</v>
      </c>
      <c r="G1089" s="3">
        <f>IF(ISBLANK('Raw sheet'!F1089),AVERAGE('Raw sheet'!$F$2:'Raw sheet'!$F$1500),'Raw sheet'!F1089)</f>
        <v>4.66</v>
      </c>
      <c r="H1089" s="18">
        <v>89</v>
      </c>
      <c r="I1089" s="9" t="str">
        <f t="shared" si="32"/>
        <v>Good</v>
      </c>
      <c r="J1089" s="2">
        <v>2</v>
      </c>
      <c r="K1089" s="2">
        <v>42.5</v>
      </c>
      <c r="L1089" s="2" t="s">
        <v>3</v>
      </c>
      <c r="M1089" s="2" t="s">
        <v>3</v>
      </c>
      <c r="N1089" s="5">
        <f>IF(ISBLANK('Raw sheet'!L1089),AVERAGE('Raw sheet'!$L$2:'Raw sheet'!$L$1500),'Raw sheet'!L1089)</f>
        <v>6.7</v>
      </c>
      <c r="O1089" s="5" t="str">
        <f>IF(Table1[[#This Row],[Stress_Index]]&gt;=8,"High",IF(N1089&gt;=5,"Medium","Low"))</f>
        <v>Medium</v>
      </c>
      <c r="P1089" s="3">
        <v>2.68</v>
      </c>
      <c r="Q1089" s="2">
        <v>2.87</v>
      </c>
      <c r="R1089" s="3">
        <v>2.86</v>
      </c>
      <c r="S1089" s="3" t="str">
        <f>IF(Table1[[#This Row],[CGPA]]&gt;=3,"High",IF(R1088&gt;=2,"Medium","Low"))</f>
        <v>Medium</v>
      </c>
      <c r="T1089" s="2" t="s">
        <v>10</v>
      </c>
      <c r="U1089" s="2" t="s">
        <v>14</v>
      </c>
      <c r="V1089" s="2" t="s">
        <v>9</v>
      </c>
      <c r="W1089" s="7">
        <v>0</v>
      </c>
      <c r="X1089" t="str">
        <f t="shared" si="33"/>
        <v>Active</v>
      </c>
    </row>
    <row r="1090" spans="1:24" x14ac:dyDescent="0.3">
      <c r="A1090" s="2">
        <v>1089</v>
      </c>
      <c r="B1090" s="7">
        <v>20.399999999999999</v>
      </c>
      <c r="C1090" s="2" t="s">
        <v>5</v>
      </c>
      <c r="D1090" s="7">
        <f>IF(ISBLANK('Raw sheet'!D1090),AVERAGE('Raw sheet'!$D$2:'Raw sheet'!$D$1500),'Raw sheet'!D1090)</f>
        <v>25000</v>
      </c>
      <c r="E1090" s="7" t="str">
        <f>IF(Table1[[#This Row],[Family_Income]]&gt;=100000,"Upper",IF(D1090&gt;=50000,"Middle","Lower"))</f>
        <v>Lower</v>
      </c>
      <c r="F1090" s="2" t="s">
        <v>4</v>
      </c>
      <c r="G1090" s="3">
        <f>IF(ISBLANK('Raw sheet'!F1090),AVERAGE('Raw sheet'!$F$2:'Raw sheet'!$F$1500),'Raw sheet'!F1090)</f>
        <v>2.75</v>
      </c>
      <c r="H1090" s="18">
        <v>79.900000000000006</v>
      </c>
      <c r="I1090" s="9" t="str">
        <f t="shared" ref="I1090:I1153" si="34">IF(H1090&gt;=75,"Good","Low")</f>
        <v>Good</v>
      </c>
      <c r="J1090" s="2">
        <v>1</v>
      </c>
      <c r="K1090" s="2">
        <v>22.9</v>
      </c>
      <c r="L1090" s="2" t="s">
        <v>4</v>
      </c>
      <c r="M1090" s="2" t="s">
        <v>3</v>
      </c>
      <c r="N1090" s="5">
        <f>IF(ISBLANK('Raw sheet'!L1090),AVERAGE('Raw sheet'!$L$2:'Raw sheet'!$L$1500),'Raw sheet'!L1090)</f>
        <v>6.5</v>
      </c>
      <c r="O1090" s="5" t="str">
        <f>IF(Table1[[#This Row],[Stress_Index]]&gt;=8,"High",IF(N1090&gt;=5,"Medium","Low"))</f>
        <v>Medium</v>
      </c>
      <c r="P1090" s="3">
        <v>2.94</v>
      </c>
      <c r="Q1090" s="2">
        <v>2.96</v>
      </c>
      <c r="R1090" s="3">
        <v>2.96</v>
      </c>
      <c r="S1090" s="3" t="str">
        <f>IF(Table1[[#This Row],[CGPA]]&gt;=3,"High",IF(R1089&gt;=2,"Medium","Low"))</f>
        <v>Medium</v>
      </c>
      <c r="T1090" s="2" t="s">
        <v>2</v>
      </c>
      <c r="U1090" s="2" t="s">
        <v>1</v>
      </c>
      <c r="V1090" s="2" t="s">
        <v>16</v>
      </c>
      <c r="W1090" s="7">
        <v>0</v>
      </c>
      <c r="X1090" t="str">
        <f t="shared" ref="X1090:X1153" si="35">IF(W1090=1,"Dropped Out","Active")</f>
        <v>Active</v>
      </c>
    </row>
    <row r="1091" spans="1:24" x14ac:dyDescent="0.3">
      <c r="A1091" s="2">
        <v>1090</v>
      </c>
      <c r="B1091" s="7">
        <v>20.6</v>
      </c>
      <c r="C1091" s="2" t="s">
        <v>11</v>
      </c>
      <c r="D1091" s="7">
        <f>IF(ISBLANK('Raw sheet'!D1091),AVERAGE('Raw sheet'!$D$2:'Raw sheet'!$D$1500),'Raw sheet'!D1091)</f>
        <v>25000</v>
      </c>
      <c r="E1091" s="7" t="str">
        <f>IF(Table1[[#This Row],[Family_Income]]&gt;=100000,"Upper",IF(D1091&gt;=50000,"Middle","Lower"))</f>
        <v>Lower</v>
      </c>
      <c r="F1091" s="2" t="s">
        <v>4</v>
      </c>
      <c r="G1091" s="3">
        <f>IF(ISBLANK('Raw sheet'!F1091),AVERAGE('Raw sheet'!$F$2:'Raw sheet'!$F$1500),'Raw sheet'!F1091)</f>
        <v>3.76</v>
      </c>
      <c r="H1091" s="18">
        <v>86.9</v>
      </c>
      <c r="I1091" s="9" t="str">
        <f t="shared" si="34"/>
        <v>Good</v>
      </c>
      <c r="J1091" s="2">
        <v>0</v>
      </c>
      <c r="K1091" s="2">
        <v>51.2</v>
      </c>
      <c r="L1091" s="2" t="s">
        <v>4</v>
      </c>
      <c r="M1091" s="2" t="s">
        <v>3</v>
      </c>
      <c r="N1091" s="5">
        <f>IF(ISBLANK('Raw sheet'!L1091),AVERAGE('Raw sheet'!$L$2:'Raw sheet'!$L$1500),'Raw sheet'!L1091)</f>
        <v>7</v>
      </c>
      <c r="O1091" s="5" t="str">
        <f>IF(Table1[[#This Row],[Stress_Index]]&gt;=8,"High",IF(N1091&gt;=5,"Medium","Low"))</f>
        <v>Medium</v>
      </c>
      <c r="P1091" s="3">
        <v>1.53</v>
      </c>
      <c r="Q1091" s="2">
        <v>1.57</v>
      </c>
      <c r="R1091" s="3">
        <v>1.58</v>
      </c>
      <c r="S1091" s="3" t="str">
        <f>IF(Table1[[#This Row],[CGPA]]&gt;=3,"High",IF(R1090&gt;=2,"Medium","Low"))</f>
        <v>Medium</v>
      </c>
      <c r="T1091" s="2" t="s">
        <v>12</v>
      </c>
      <c r="U1091" s="2" t="s">
        <v>13</v>
      </c>
      <c r="V1091" s="2" t="s">
        <v>0</v>
      </c>
      <c r="W1091" s="7">
        <v>0</v>
      </c>
      <c r="X1091" t="str">
        <f t="shared" si="35"/>
        <v>Active</v>
      </c>
    </row>
    <row r="1092" spans="1:24" x14ac:dyDescent="0.3">
      <c r="A1092" s="2">
        <v>1091</v>
      </c>
      <c r="B1092" s="7">
        <v>20.8</v>
      </c>
      <c r="C1092" s="2" t="s">
        <v>5</v>
      </c>
      <c r="D1092" s="7">
        <f>IF(ISBLANK('Raw sheet'!D1092),AVERAGE('Raw sheet'!$D$2:'Raw sheet'!$D$1500),'Raw sheet'!D1092)</f>
        <v>38587.00282087447</v>
      </c>
      <c r="E1092" s="7" t="str">
        <f>IF(Table1[[#This Row],[Family_Income]]&gt;=100000,"Upper",IF(D1092&gt;=50000,"Middle","Lower"))</f>
        <v>Lower</v>
      </c>
      <c r="F1092" s="2" t="s">
        <v>4</v>
      </c>
      <c r="G1092" s="3">
        <f>IF(ISBLANK('Raw sheet'!F1092),AVERAGE('Raw sheet'!$F$2:'Raw sheet'!$F$1500),'Raw sheet'!F1092)</f>
        <v>4.0178702397743278</v>
      </c>
      <c r="H1092" s="18">
        <v>87.1</v>
      </c>
      <c r="I1092" s="9" t="str">
        <f t="shared" si="34"/>
        <v>Good</v>
      </c>
      <c r="J1092" s="2">
        <v>3</v>
      </c>
      <c r="K1092" s="2">
        <v>35</v>
      </c>
      <c r="L1092" s="2" t="s">
        <v>3</v>
      </c>
      <c r="M1092" s="2" t="s">
        <v>4</v>
      </c>
      <c r="N1092" s="5">
        <f>IF(ISBLANK('Raw sheet'!L1092),AVERAGE('Raw sheet'!$L$2:'Raw sheet'!$L$1500),'Raw sheet'!L1092)</f>
        <v>5.5242595204513369</v>
      </c>
      <c r="O1092" s="5" t="str">
        <f>IF(Table1[[#This Row],[Stress_Index]]&gt;=8,"High",IF(N1092&gt;=5,"Medium","Low"))</f>
        <v>Medium</v>
      </c>
      <c r="P1092" s="3">
        <v>3.4</v>
      </c>
      <c r="Q1092" s="2">
        <v>3.77</v>
      </c>
      <c r="R1092" s="3">
        <v>3.77</v>
      </c>
      <c r="S1092" s="3" t="str">
        <f>IF(Table1[[#This Row],[CGPA]]&gt;=3,"High",IF(R1091&gt;=2,"Medium","Low"))</f>
        <v>High</v>
      </c>
      <c r="T1092" s="2" t="s">
        <v>2</v>
      </c>
      <c r="U1092" s="2" t="s">
        <v>1</v>
      </c>
      <c r="V1092" s="2" t="s">
        <v>0</v>
      </c>
      <c r="W1092" s="7">
        <v>0</v>
      </c>
      <c r="X1092" t="str">
        <f t="shared" si="35"/>
        <v>Active</v>
      </c>
    </row>
    <row r="1093" spans="1:24" x14ac:dyDescent="0.3">
      <c r="A1093" s="2">
        <v>1092</v>
      </c>
      <c r="B1093" s="7">
        <v>20.9</v>
      </c>
      <c r="C1093" s="2" t="s">
        <v>5</v>
      </c>
      <c r="D1093" s="7">
        <f>IF(ISBLANK('Raw sheet'!D1093),AVERAGE('Raw sheet'!$D$2:'Raw sheet'!$D$1500),'Raw sheet'!D1093)</f>
        <v>25000</v>
      </c>
      <c r="E1093" s="7" t="str">
        <f>IF(Table1[[#This Row],[Family_Income]]&gt;=100000,"Upper",IF(D1093&gt;=50000,"Middle","Lower"))</f>
        <v>Lower</v>
      </c>
      <c r="F1093" s="2" t="s">
        <v>4</v>
      </c>
      <c r="G1093" s="3">
        <f>IF(ISBLANK('Raw sheet'!F1093),AVERAGE('Raw sheet'!$F$2:'Raw sheet'!$F$1500),'Raw sheet'!F1093)</f>
        <v>2.0099999999999998</v>
      </c>
      <c r="H1093" s="18">
        <v>79.2</v>
      </c>
      <c r="I1093" s="9" t="str">
        <f t="shared" si="34"/>
        <v>Good</v>
      </c>
      <c r="J1093" s="2">
        <v>4</v>
      </c>
      <c r="K1093" s="2">
        <v>8</v>
      </c>
      <c r="L1093" s="2" t="s">
        <v>3</v>
      </c>
      <c r="M1093" s="2" t="s">
        <v>4</v>
      </c>
      <c r="N1093" s="5">
        <f>IF(ISBLANK('Raw sheet'!L1093),AVERAGE('Raw sheet'!$L$2:'Raw sheet'!$L$1500),'Raw sheet'!L1093)</f>
        <v>4.5999999999999996</v>
      </c>
      <c r="O1093" s="5" t="str">
        <f>IF(Table1[[#This Row],[Stress_Index]]&gt;=8,"High",IF(N1093&gt;=5,"Medium","Low"))</f>
        <v>Low</v>
      </c>
      <c r="P1093" s="3">
        <v>1.33</v>
      </c>
      <c r="Q1093" s="2">
        <v>0.92</v>
      </c>
      <c r="R1093" s="3">
        <v>0.96</v>
      </c>
      <c r="S1093" s="3" t="str">
        <f>IF(Table1[[#This Row],[CGPA]]&gt;=3,"High",IF(R1092&gt;=2,"Medium","Low"))</f>
        <v>Medium</v>
      </c>
      <c r="T1093" s="2" t="s">
        <v>7</v>
      </c>
      <c r="U1093" s="2" t="s">
        <v>1</v>
      </c>
      <c r="V1093" s="2" t="s">
        <v>0</v>
      </c>
      <c r="W1093" s="7">
        <v>0</v>
      </c>
      <c r="X1093" t="str">
        <f t="shared" si="35"/>
        <v>Active</v>
      </c>
    </row>
    <row r="1094" spans="1:24" x14ac:dyDescent="0.3">
      <c r="A1094" s="2">
        <v>1093</v>
      </c>
      <c r="B1094" s="7">
        <v>22.6</v>
      </c>
      <c r="C1094" s="2" t="s">
        <v>5</v>
      </c>
      <c r="D1094" s="7">
        <f>IF(ISBLANK('Raw sheet'!D1094),AVERAGE('Raw sheet'!$D$2:'Raw sheet'!$D$1500),'Raw sheet'!D1094)</f>
        <v>35536</v>
      </c>
      <c r="E1094" s="7" t="str">
        <f>IF(Table1[[#This Row],[Family_Income]]&gt;=100000,"Upper",IF(D1094&gt;=50000,"Middle","Lower"))</f>
        <v>Lower</v>
      </c>
      <c r="F1094" s="2" t="s">
        <v>4</v>
      </c>
      <c r="G1094" s="3">
        <f>IF(ISBLANK('Raw sheet'!F1094),AVERAGE('Raw sheet'!$F$2:'Raw sheet'!$F$1500),'Raw sheet'!F1094)</f>
        <v>4.99</v>
      </c>
      <c r="H1094" s="18">
        <v>83.9</v>
      </c>
      <c r="I1094" s="9" t="str">
        <f t="shared" si="34"/>
        <v>Good</v>
      </c>
      <c r="J1094" s="2">
        <v>3</v>
      </c>
      <c r="K1094" s="2">
        <v>33.299999999999997</v>
      </c>
      <c r="L1094" s="2" t="s">
        <v>3</v>
      </c>
      <c r="M1094" s="2" t="s">
        <v>4</v>
      </c>
      <c r="N1094" s="5">
        <f>IF(ISBLANK('Raw sheet'!L1094),AVERAGE('Raw sheet'!$L$2:'Raw sheet'!$L$1500),'Raw sheet'!L1094)</f>
        <v>5.2</v>
      </c>
      <c r="O1094" s="5" t="str">
        <f>IF(Table1[[#This Row],[Stress_Index]]&gt;=8,"High",IF(N1094&gt;=5,"Medium","Low"))</f>
        <v>Medium</v>
      </c>
      <c r="P1094" s="3">
        <v>2.7</v>
      </c>
      <c r="Q1094" s="2">
        <v>2.83</v>
      </c>
      <c r="R1094" s="3">
        <v>2.83</v>
      </c>
      <c r="S1094" s="3" t="str">
        <f>IF(Table1[[#This Row],[CGPA]]&gt;=3,"High",IF(R1093&gt;=2,"Medium","Low"))</f>
        <v>Low</v>
      </c>
      <c r="T1094" s="2" t="s">
        <v>2</v>
      </c>
      <c r="U1094" s="2" t="s">
        <v>1</v>
      </c>
      <c r="V1094" s="2" t="s">
        <v>0</v>
      </c>
      <c r="W1094" s="7">
        <v>0</v>
      </c>
      <c r="X1094" t="str">
        <f t="shared" si="35"/>
        <v>Active</v>
      </c>
    </row>
    <row r="1095" spans="1:24" x14ac:dyDescent="0.3">
      <c r="A1095" s="2">
        <v>1094</v>
      </c>
      <c r="B1095" s="7">
        <v>21.1</v>
      </c>
      <c r="C1095" s="2" t="s">
        <v>5</v>
      </c>
      <c r="D1095" s="7">
        <f>IF(ISBLANK('Raw sheet'!D1095),AVERAGE('Raw sheet'!$D$2:'Raw sheet'!$D$1500),'Raw sheet'!D1095)</f>
        <v>52217</v>
      </c>
      <c r="E1095" s="7" t="str">
        <f>IF(Table1[[#This Row],[Family_Income]]&gt;=100000,"Upper",IF(D1095&gt;=50000,"Middle","Lower"))</f>
        <v>Middle</v>
      </c>
      <c r="F1095" s="2" t="s">
        <v>3</v>
      </c>
      <c r="G1095" s="3">
        <f>IF(ISBLANK('Raw sheet'!F1095),AVERAGE('Raw sheet'!$F$2:'Raw sheet'!$F$1500),'Raw sheet'!F1095)</f>
        <v>3.86</v>
      </c>
      <c r="H1095" s="18">
        <v>78.099999999999994</v>
      </c>
      <c r="I1095" s="9" t="str">
        <f t="shared" si="34"/>
        <v>Good</v>
      </c>
      <c r="J1095" s="2">
        <v>0</v>
      </c>
      <c r="K1095" s="2">
        <v>26.2</v>
      </c>
      <c r="L1095" s="2" t="s">
        <v>3</v>
      </c>
      <c r="M1095" s="2" t="s">
        <v>3</v>
      </c>
      <c r="N1095" s="5">
        <f>IF(ISBLANK('Raw sheet'!L1095),AVERAGE('Raw sheet'!$L$2:'Raw sheet'!$L$1500),'Raw sheet'!L1095)</f>
        <v>5.8</v>
      </c>
      <c r="O1095" s="5" t="str">
        <f>IF(Table1[[#This Row],[Stress_Index]]&gt;=8,"High",IF(N1095&gt;=5,"Medium","Low"))</f>
        <v>Medium</v>
      </c>
      <c r="P1095" s="3">
        <v>2.35</v>
      </c>
      <c r="Q1095" s="2">
        <v>3</v>
      </c>
      <c r="R1095" s="3">
        <v>3</v>
      </c>
      <c r="S1095" s="3" t="str">
        <f>IF(Table1[[#This Row],[CGPA]]&gt;=3,"High",IF(R1094&gt;=2,"Medium","Low"))</f>
        <v>High</v>
      </c>
      <c r="T1095" s="2" t="s">
        <v>2</v>
      </c>
      <c r="U1095" s="2" t="s">
        <v>1</v>
      </c>
      <c r="V1095" s="2" t="s">
        <v>9</v>
      </c>
      <c r="W1095" s="7">
        <v>0</v>
      </c>
      <c r="X1095" t="str">
        <f t="shared" si="35"/>
        <v>Active</v>
      </c>
    </row>
    <row r="1096" spans="1:24" x14ac:dyDescent="0.3">
      <c r="A1096" s="2">
        <v>1095</v>
      </c>
      <c r="B1096" s="7">
        <v>22.6</v>
      </c>
      <c r="C1096" s="2" t="s">
        <v>5</v>
      </c>
      <c r="D1096" s="7">
        <f>IF(ISBLANK('Raw sheet'!D1096),AVERAGE('Raw sheet'!$D$2:'Raw sheet'!$D$1500),'Raw sheet'!D1096)</f>
        <v>50143</v>
      </c>
      <c r="E1096" s="7" t="str">
        <f>IF(Table1[[#This Row],[Family_Income]]&gt;=100000,"Upper",IF(D1096&gt;=50000,"Middle","Lower"))</f>
        <v>Middle</v>
      </c>
      <c r="F1096" s="2" t="s">
        <v>4</v>
      </c>
      <c r="G1096" s="3">
        <f>IF(ISBLANK('Raw sheet'!F1096),AVERAGE('Raw sheet'!$F$2:'Raw sheet'!$F$1500),'Raw sheet'!F1096)</f>
        <v>1.75</v>
      </c>
      <c r="H1096" s="18">
        <v>81.8</v>
      </c>
      <c r="I1096" s="9" t="str">
        <f t="shared" si="34"/>
        <v>Good</v>
      </c>
      <c r="J1096" s="2">
        <v>1</v>
      </c>
      <c r="K1096" s="2">
        <v>33.5</v>
      </c>
      <c r="L1096" s="2" t="s">
        <v>3</v>
      </c>
      <c r="M1096" s="2" t="s">
        <v>3</v>
      </c>
      <c r="N1096" s="5">
        <f>IF(ISBLANK('Raw sheet'!L1096),AVERAGE('Raw sheet'!$L$2:'Raw sheet'!$L$1500),'Raw sheet'!L1096)</f>
        <v>3.7</v>
      </c>
      <c r="O1096" s="5" t="str">
        <f>IF(Table1[[#This Row],[Stress_Index]]&gt;=8,"High",IF(N1096&gt;=5,"Medium","Low"))</f>
        <v>Low</v>
      </c>
      <c r="P1096" s="3">
        <v>2.4</v>
      </c>
      <c r="Q1096" s="2">
        <v>2.08</v>
      </c>
      <c r="R1096" s="3">
        <v>2.06</v>
      </c>
      <c r="S1096" s="3" t="str">
        <f>IF(Table1[[#This Row],[CGPA]]&gt;=3,"High",IF(R1095&gt;=2,"Medium","Low"))</f>
        <v>Medium</v>
      </c>
      <c r="T1096" s="2" t="s">
        <v>7</v>
      </c>
      <c r="U1096" s="2" t="s">
        <v>13</v>
      </c>
      <c r="V1096" s="2" t="s">
        <v>0</v>
      </c>
      <c r="W1096" s="7">
        <v>0</v>
      </c>
      <c r="X1096" t="str">
        <f t="shared" si="35"/>
        <v>Active</v>
      </c>
    </row>
    <row r="1097" spans="1:24" x14ac:dyDescent="0.3">
      <c r="A1097" s="2">
        <v>1096</v>
      </c>
      <c r="B1097" s="7">
        <v>20.8</v>
      </c>
      <c r="C1097" s="2" t="s">
        <v>11</v>
      </c>
      <c r="D1097" s="7">
        <f>IF(ISBLANK('Raw sheet'!D1097),AVERAGE('Raw sheet'!$D$2:'Raw sheet'!$D$1500),'Raw sheet'!D1097)</f>
        <v>25000</v>
      </c>
      <c r="E1097" s="7" t="str">
        <f>IF(Table1[[#This Row],[Family_Income]]&gt;=100000,"Upper",IF(D1097&gt;=50000,"Middle","Lower"))</f>
        <v>Lower</v>
      </c>
      <c r="F1097" s="2" t="s">
        <v>4</v>
      </c>
      <c r="G1097" s="3">
        <f>IF(ISBLANK('Raw sheet'!F1097),AVERAGE('Raw sheet'!$F$2:'Raw sheet'!$F$1500),'Raw sheet'!F1097)</f>
        <v>2.92</v>
      </c>
      <c r="H1097" s="18">
        <v>85.8</v>
      </c>
      <c r="I1097" s="9" t="str">
        <f t="shared" si="34"/>
        <v>Good</v>
      </c>
      <c r="J1097" s="2">
        <v>1</v>
      </c>
      <c r="K1097" s="2">
        <v>49.4</v>
      </c>
      <c r="L1097" s="2" t="s">
        <v>4</v>
      </c>
      <c r="M1097" s="2" t="s">
        <v>3</v>
      </c>
      <c r="N1097" s="5">
        <f>IF(ISBLANK('Raw sheet'!L1097),AVERAGE('Raw sheet'!$L$2:'Raw sheet'!$L$1500),'Raw sheet'!L1097)</f>
        <v>7.4</v>
      </c>
      <c r="O1097" s="5" t="str">
        <f>IF(Table1[[#This Row],[Stress_Index]]&gt;=8,"High",IF(N1097&gt;=5,"Medium","Low"))</f>
        <v>Medium</v>
      </c>
      <c r="P1097" s="3">
        <v>1.03</v>
      </c>
      <c r="Q1097" s="2">
        <v>1.49</v>
      </c>
      <c r="R1097" s="3">
        <v>1.51</v>
      </c>
      <c r="S1097" s="3" t="str">
        <f>IF(Table1[[#This Row],[CGPA]]&gt;=3,"High",IF(R1096&gt;=2,"Medium","Low"))</f>
        <v>Medium</v>
      </c>
      <c r="T1097" s="2" t="s">
        <v>10</v>
      </c>
      <c r="U1097" s="2" t="s">
        <v>13</v>
      </c>
      <c r="V1097" s="2" t="s">
        <v>9</v>
      </c>
      <c r="W1097" s="7">
        <v>0</v>
      </c>
      <c r="X1097" t="str">
        <f t="shared" si="35"/>
        <v>Active</v>
      </c>
    </row>
    <row r="1098" spans="1:24" x14ac:dyDescent="0.3">
      <c r="A1098" s="2">
        <v>1097</v>
      </c>
      <c r="B1098" s="7">
        <v>21.2</v>
      </c>
      <c r="C1098" s="2" t="s">
        <v>11</v>
      </c>
      <c r="D1098" s="7">
        <f>IF(ISBLANK('Raw sheet'!D1098),AVERAGE('Raw sheet'!$D$2:'Raw sheet'!$D$1500),'Raw sheet'!D1098)</f>
        <v>25667</v>
      </c>
      <c r="E1098" s="7" t="str">
        <f>IF(Table1[[#This Row],[Family_Income]]&gt;=100000,"Upper",IF(D1098&gt;=50000,"Middle","Lower"))</f>
        <v>Lower</v>
      </c>
      <c r="F1098" s="2" t="s">
        <v>4</v>
      </c>
      <c r="G1098" s="3">
        <f>IF(ISBLANK('Raw sheet'!F1098),AVERAGE('Raw sheet'!$F$2:'Raw sheet'!$F$1500),'Raw sheet'!F1098)</f>
        <v>5.7</v>
      </c>
      <c r="H1098" s="18">
        <v>74.3</v>
      </c>
      <c r="I1098" s="9" t="str">
        <f t="shared" si="34"/>
        <v>Low</v>
      </c>
      <c r="J1098" s="2">
        <v>2</v>
      </c>
      <c r="K1098" s="2">
        <v>38.5</v>
      </c>
      <c r="L1098" s="2" t="s">
        <v>3</v>
      </c>
      <c r="M1098" s="2" t="s">
        <v>4</v>
      </c>
      <c r="N1098" s="5">
        <f>IF(ISBLANK('Raw sheet'!L1098),AVERAGE('Raw sheet'!$L$2:'Raw sheet'!$L$1500),'Raw sheet'!L1098)</f>
        <v>1</v>
      </c>
      <c r="O1098" s="5" t="str">
        <f>IF(Table1[[#This Row],[Stress_Index]]&gt;=8,"High",IF(N1098&gt;=5,"Medium","Low"))</f>
        <v>Low</v>
      </c>
      <c r="P1098" s="3">
        <v>4</v>
      </c>
      <c r="Q1098" s="2">
        <v>3.67</v>
      </c>
      <c r="R1098" s="3">
        <v>3.67</v>
      </c>
      <c r="S1098" s="3" t="str">
        <f>IF(Table1[[#This Row],[CGPA]]&gt;=3,"High",IF(R1097&gt;=2,"Medium","Low"))</f>
        <v>High</v>
      </c>
      <c r="T1098" s="2" t="s">
        <v>2</v>
      </c>
      <c r="U1098" s="2" t="s">
        <v>13</v>
      </c>
      <c r="V1098" s="2" t="s">
        <v>9</v>
      </c>
      <c r="W1098" s="7">
        <v>0</v>
      </c>
      <c r="X1098" t="str">
        <f t="shared" si="35"/>
        <v>Active</v>
      </c>
    </row>
    <row r="1099" spans="1:24" x14ac:dyDescent="0.3">
      <c r="A1099" s="2">
        <v>1098</v>
      </c>
      <c r="B1099" s="7">
        <v>17</v>
      </c>
      <c r="C1099" s="2" t="s">
        <v>5</v>
      </c>
      <c r="D1099" s="7">
        <f>IF(ISBLANK('Raw sheet'!D1099),AVERAGE('Raw sheet'!$D$2:'Raw sheet'!$D$1500),'Raw sheet'!D1099)</f>
        <v>25000</v>
      </c>
      <c r="E1099" s="7" t="str">
        <f>IF(Table1[[#This Row],[Family_Income]]&gt;=100000,"Upper",IF(D1099&gt;=50000,"Middle","Lower"))</f>
        <v>Lower</v>
      </c>
      <c r="F1099" s="2" t="s">
        <v>4</v>
      </c>
      <c r="G1099" s="3">
        <f>IF(ISBLANK('Raw sheet'!F1099),AVERAGE('Raw sheet'!$F$2:'Raw sheet'!$F$1500),'Raw sheet'!F1099)</f>
        <v>3.06</v>
      </c>
      <c r="H1099" s="18">
        <v>85.5</v>
      </c>
      <c r="I1099" s="9" t="str">
        <f t="shared" si="34"/>
        <v>Good</v>
      </c>
      <c r="J1099" s="2">
        <v>2</v>
      </c>
      <c r="K1099" s="2">
        <v>27.3</v>
      </c>
      <c r="L1099" s="2" t="s">
        <v>3</v>
      </c>
      <c r="M1099" s="2" t="s">
        <v>4</v>
      </c>
      <c r="N1099" s="5">
        <f>IF(ISBLANK('Raw sheet'!L1099),AVERAGE('Raw sheet'!$L$2:'Raw sheet'!$L$1500),'Raw sheet'!L1099)</f>
        <v>3.4</v>
      </c>
      <c r="O1099" s="5" t="str">
        <f>IF(Table1[[#This Row],[Stress_Index]]&gt;=8,"High",IF(N1099&gt;=5,"Medium","Low"))</f>
        <v>Low</v>
      </c>
      <c r="P1099" s="3">
        <v>3.79</v>
      </c>
      <c r="Q1099" s="2">
        <v>3.24</v>
      </c>
      <c r="R1099" s="3">
        <v>3.32</v>
      </c>
      <c r="S1099" s="3" t="str">
        <f>IF(Table1[[#This Row],[CGPA]]&gt;=3,"High",IF(R1098&gt;=2,"Medium","Low"))</f>
        <v>High</v>
      </c>
      <c r="T1099" s="2" t="s">
        <v>12</v>
      </c>
      <c r="U1099" s="2" t="s">
        <v>6</v>
      </c>
      <c r="V1099" s="2" t="s">
        <v>9</v>
      </c>
      <c r="W1099" s="7">
        <v>0</v>
      </c>
      <c r="X1099" t="str">
        <f t="shared" si="35"/>
        <v>Active</v>
      </c>
    </row>
    <row r="1100" spans="1:24" x14ac:dyDescent="0.3">
      <c r="A1100" s="2">
        <v>1099</v>
      </c>
      <c r="B1100" s="7">
        <v>23</v>
      </c>
      <c r="C1100" s="2" t="s">
        <v>5</v>
      </c>
      <c r="D1100" s="7">
        <f>IF(ISBLANK('Raw sheet'!D1100),AVERAGE('Raw sheet'!$D$2:'Raw sheet'!$D$1500),'Raw sheet'!D1100)</f>
        <v>32411</v>
      </c>
      <c r="E1100" s="7" t="str">
        <f>IF(Table1[[#This Row],[Family_Income]]&gt;=100000,"Upper",IF(D1100&gt;=50000,"Middle","Lower"))</f>
        <v>Lower</v>
      </c>
      <c r="F1100" s="2" t="s">
        <v>4</v>
      </c>
      <c r="G1100" s="3">
        <f>IF(ISBLANK('Raw sheet'!F1100),AVERAGE('Raw sheet'!$F$2:'Raw sheet'!$F$1500),'Raw sheet'!F1100)</f>
        <v>4.8099999999999996</v>
      </c>
      <c r="H1100" s="18">
        <v>84.5</v>
      </c>
      <c r="I1100" s="9" t="str">
        <f t="shared" si="34"/>
        <v>Good</v>
      </c>
      <c r="J1100" s="2">
        <v>1</v>
      </c>
      <c r="K1100" s="2">
        <v>13.2</v>
      </c>
      <c r="L1100" s="2" t="s">
        <v>3</v>
      </c>
      <c r="M1100" s="2" t="s">
        <v>3</v>
      </c>
      <c r="N1100" s="5">
        <f>IF(ISBLANK('Raw sheet'!L1100),AVERAGE('Raw sheet'!$L$2:'Raw sheet'!$L$1500),'Raw sheet'!L1100)</f>
        <v>2.5</v>
      </c>
      <c r="O1100" s="5" t="str">
        <f>IF(Table1[[#This Row],[Stress_Index]]&gt;=8,"High",IF(N1100&gt;=5,"Medium","Low"))</f>
        <v>Low</v>
      </c>
      <c r="P1100" s="3">
        <v>3.77</v>
      </c>
      <c r="Q1100" s="2">
        <v>3.29</v>
      </c>
      <c r="R1100" s="3">
        <v>3.31</v>
      </c>
      <c r="S1100" s="3" t="str">
        <f>IF(Table1[[#This Row],[CGPA]]&gt;=3,"High",IF(R1099&gt;=2,"Medium","Low"))</f>
        <v>High</v>
      </c>
      <c r="T1100" s="2" t="s">
        <v>7</v>
      </c>
      <c r="U1100" s="2" t="s">
        <v>13</v>
      </c>
      <c r="V1100" s="2" t="s">
        <v>0</v>
      </c>
      <c r="W1100" s="7">
        <v>0</v>
      </c>
      <c r="X1100" t="str">
        <f t="shared" si="35"/>
        <v>Active</v>
      </c>
    </row>
    <row r="1101" spans="1:24" x14ac:dyDescent="0.3">
      <c r="A1101" s="2">
        <v>1100</v>
      </c>
      <c r="B1101" s="7">
        <v>21.8</v>
      </c>
      <c r="C1101" s="2" t="s">
        <v>11</v>
      </c>
      <c r="D1101" s="7">
        <f>IF(ISBLANK('Raw sheet'!D1101),AVERAGE('Raw sheet'!$D$2:'Raw sheet'!$D$1500),'Raw sheet'!D1101)</f>
        <v>25000</v>
      </c>
      <c r="E1101" s="7" t="str">
        <f>IF(Table1[[#This Row],[Family_Income]]&gt;=100000,"Upper",IF(D1101&gt;=50000,"Middle","Lower"))</f>
        <v>Lower</v>
      </c>
      <c r="F1101" s="2" t="s">
        <v>4</v>
      </c>
      <c r="G1101" s="3">
        <f>IF(ISBLANK('Raw sheet'!F1101),AVERAGE('Raw sheet'!$F$2:'Raw sheet'!$F$1500),'Raw sheet'!F1101)</f>
        <v>3.04</v>
      </c>
      <c r="H1101" s="18">
        <v>70.099999999999994</v>
      </c>
      <c r="I1101" s="9" t="str">
        <f t="shared" si="34"/>
        <v>Low</v>
      </c>
      <c r="J1101" s="2">
        <v>1</v>
      </c>
      <c r="K1101" s="2">
        <v>40.5</v>
      </c>
      <c r="L1101" s="2" t="s">
        <v>4</v>
      </c>
      <c r="M1101" s="2" t="s">
        <v>3</v>
      </c>
      <c r="N1101" s="5">
        <f>IF(ISBLANK('Raw sheet'!L1101),AVERAGE('Raw sheet'!$L$2:'Raw sheet'!$L$1500),'Raw sheet'!L1101)</f>
        <v>7.5</v>
      </c>
      <c r="O1101" s="5" t="str">
        <f>IF(Table1[[#This Row],[Stress_Index]]&gt;=8,"High",IF(N1101&gt;=5,"Medium","Low"))</f>
        <v>Medium</v>
      </c>
      <c r="P1101" s="3">
        <v>0.86</v>
      </c>
      <c r="Q1101" s="2">
        <v>0.72</v>
      </c>
      <c r="R1101" s="3">
        <v>0.72</v>
      </c>
      <c r="S1101" s="3" t="str">
        <f>IF(Table1[[#This Row],[CGPA]]&gt;=3,"High",IF(R1100&gt;=2,"Medium","Low"))</f>
        <v>Medium</v>
      </c>
      <c r="T1101" s="2" t="s">
        <v>12</v>
      </c>
      <c r="U1101" s="2" t="s">
        <v>1</v>
      </c>
      <c r="V1101" s="2" t="s">
        <v>0</v>
      </c>
      <c r="W1101" s="7">
        <v>1</v>
      </c>
      <c r="X1101" t="str">
        <f t="shared" si="35"/>
        <v>Dropped Out</v>
      </c>
    </row>
    <row r="1102" spans="1:24" x14ac:dyDescent="0.3">
      <c r="A1102" s="2">
        <v>1101</v>
      </c>
      <c r="B1102" s="7">
        <v>23.2</v>
      </c>
      <c r="C1102" s="2" t="s">
        <v>11</v>
      </c>
      <c r="D1102" s="7">
        <f>IF(ISBLANK('Raw sheet'!D1102),AVERAGE('Raw sheet'!$D$2:'Raw sheet'!$D$1500),'Raw sheet'!D1102)</f>
        <v>42410</v>
      </c>
      <c r="E1102" s="7" t="str">
        <f>IF(Table1[[#This Row],[Family_Income]]&gt;=100000,"Upper",IF(D1102&gt;=50000,"Middle","Lower"))</f>
        <v>Lower</v>
      </c>
      <c r="F1102" s="2" t="s">
        <v>4</v>
      </c>
      <c r="G1102" s="3">
        <f>IF(ISBLANK('Raw sheet'!F1102),AVERAGE('Raw sheet'!$F$2:'Raw sheet'!$F$1500),'Raw sheet'!F1102)</f>
        <v>4.32</v>
      </c>
      <c r="H1102" s="18">
        <v>76</v>
      </c>
      <c r="I1102" s="9" t="str">
        <f t="shared" si="34"/>
        <v>Good</v>
      </c>
      <c r="J1102" s="2">
        <v>2</v>
      </c>
      <c r="K1102" s="2">
        <v>36.1</v>
      </c>
      <c r="L1102" s="2" t="s">
        <v>3</v>
      </c>
      <c r="M1102" s="2" t="s">
        <v>3</v>
      </c>
      <c r="N1102" s="5">
        <f>IF(ISBLANK('Raw sheet'!L1102),AVERAGE('Raw sheet'!$L$2:'Raw sheet'!$L$1500),'Raw sheet'!L1102)</f>
        <v>5.9</v>
      </c>
      <c r="O1102" s="5" t="str">
        <f>IF(Table1[[#This Row],[Stress_Index]]&gt;=8,"High",IF(N1102&gt;=5,"Medium","Low"))</f>
        <v>Medium</v>
      </c>
      <c r="P1102" s="3">
        <v>1.9</v>
      </c>
      <c r="Q1102" s="2">
        <v>1.1399999999999999</v>
      </c>
      <c r="R1102" s="3">
        <v>1.19</v>
      </c>
      <c r="S1102" s="3" t="str">
        <f>IF(Table1[[#This Row],[CGPA]]&gt;=3,"High",IF(R1101&gt;=2,"Medium","Low"))</f>
        <v>Low</v>
      </c>
      <c r="T1102" s="2" t="s">
        <v>12</v>
      </c>
      <c r="U1102" s="2" t="s">
        <v>1</v>
      </c>
      <c r="V1102" s="2" t="s">
        <v>9</v>
      </c>
      <c r="W1102" s="7">
        <v>1</v>
      </c>
      <c r="X1102" t="str">
        <f t="shared" si="35"/>
        <v>Dropped Out</v>
      </c>
    </row>
    <row r="1103" spans="1:24" x14ac:dyDescent="0.3">
      <c r="A1103" s="2">
        <v>1102</v>
      </c>
      <c r="B1103" s="7">
        <v>17</v>
      </c>
      <c r="C1103" s="2" t="s">
        <v>5</v>
      </c>
      <c r="D1103" s="7">
        <f>IF(ISBLANK('Raw sheet'!D1103),AVERAGE('Raw sheet'!$D$2:'Raw sheet'!$D$1500),'Raw sheet'!D1103)</f>
        <v>29393</v>
      </c>
      <c r="E1103" s="7" t="str">
        <f>IF(Table1[[#This Row],[Family_Income]]&gt;=100000,"Upper",IF(D1103&gt;=50000,"Middle","Lower"))</f>
        <v>Lower</v>
      </c>
      <c r="F1103" s="2" t="s">
        <v>4</v>
      </c>
      <c r="G1103" s="3">
        <f>IF(ISBLANK('Raw sheet'!F1103),AVERAGE('Raw sheet'!$F$2:'Raw sheet'!$F$1500),'Raw sheet'!F1103)</f>
        <v>4.68</v>
      </c>
      <c r="H1103" s="18">
        <v>76.5</v>
      </c>
      <c r="I1103" s="9" t="str">
        <f t="shared" si="34"/>
        <v>Good</v>
      </c>
      <c r="J1103" s="2">
        <v>5</v>
      </c>
      <c r="K1103" s="2">
        <v>43.9</v>
      </c>
      <c r="L1103" s="2" t="s">
        <v>4</v>
      </c>
      <c r="M1103" s="2" t="s">
        <v>3</v>
      </c>
      <c r="N1103" s="5">
        <f>IF(ISBLANK('Raw sheet'!L1103),AVERAGE('Raw sheet'!$L$2:'Raw sheet'!$L$1500),'Raw sheet'!L1103)</f>
        <v>4.5</v>
      </c>
      <c r="O1103" s="5" t="str">
        <f>IF(Table1[[#This Row],[Stress_Index]]&gt;=8,"High",IF(N1103&gt;=5,"Medium","Low"))</f>
        <v>Low</v>
      </c>
      <c r="P1103" s="3">
        <v>2.68</v>
      </c>
      <c r="Q1103" s="2">
        <v>3.03</v>
      </c>
      <c r="R1103" s="3">
        <v>2.95</v>
      </c>
      <c r="S1103" s="3" t="str">
        <f>IF(Table1[[#This Row],[CGPA]]&gt;=3,"High",IF(R1102&gt;=2,"Medium","Low"))</f>
        <v>Low</v>
      </c>
      <c r="T1103" s="2" t="s">
        <v>12</v>
      </c>
      <c r="U1103" s="2" t="s">
        <v>1</v>
      </c>
      <c r="V1103" s="2" t="s">
        <v>15</v>
      </c>
      <c r="W1103" s="7">
        <v>0</v>
      </c>
      <c r="X1103" t="str">
        <f t="shared" si="35"/>
        <v>Active</v>
      </c>
    </row>
    <row r="1104" spans="1:24" x14ac:dyDescent="0.3">
      <c r="A1104" s="2">
        <v>1103</v>
      </c>
      <c r="B1104" s="7">
        <v>25.6</v>
      </c>
      <c r="C1104" s="2" t="s">
        <v>11</v>
      </c>
      <c r="D1104" s="7">
        <f>IF(ISBLANK('Raw sheet'!D1104),AVERAGE('Raw sheet'!$D$2:'Raw sheet'!$D$1500),'Raw sheet'!D1104)</f>
        <v>25000</v>
      </c>
      <c r="E1104" s="7" t="str">
        <f>IF(Table1[[#This Row],[Family_Income]]&gt;=100000,"Upper",IF(D1104&gt;=50000,"Middle","Lower"))</f>
        <v>Lower</v>
      </c>
      <c r="F1104" s="2" t="s">
        <v>4</v>
      </c>
      <c r="G1104" s="3">
        <f>IF(ISBLANK('Raw sheet'!F1104),AVERAGE('Raw sheet'!$F$2:'Raw sheet'!$F$1500),'Raw sheet'!F1104)</f>
        <v>3.14</v>
      </c>
      <c r="H1104" s="18">
        <v>78.400000000000006</v>
      </c>
      <c r="I1104" s="9" t="str">
        <f t="shared" si="34"/>
        <v>Good</v>
      </c>
      <c r="J1104" s="2">
        <v>2</v>
      </c>
      <c r="K1104" s="2">
        <v>28.3</v>
      </c>
      <c r="L1104" s="2" t="s">
        <v>3</v>
      </c>
      <c r="M1104" s="2" t="s">
        <v>3</v>
      </c>
      <c r="N1104" s="5">
        <f>IF(ISBLANK('Raw sheet'!L1104),AVERAGE('Raw sheet'!$L$2:'Raw sheet'!$L$1500),'Raw sheet'!L1104)</f>
        <v>5.7</v>
      </c>
      <c r="O1104" s="5" t="str">
        <f>IF(Table1[[#This Row],[Stress_Index]]&gt;=8,"High",IF(N1104&gt;=5,"Medium","Low"))</f>
        <v>Medium</v>
      </c>
      <c r="P1104" s="3">
        <v>1.96</v>
      </c>
      <c r="Q1104" s="2">
        <v>1.43</v>
      </c>
      <c r="R1104" s="3">
        <v>1.43</v>
      </c>
      <c r="S1104" s="3" t="str">
        <f>IF(Table1[[#This Row],[CGPA]]&gt;=3,"High",IF(R1103&gt;=2,"Medium","Low"))</f>
        <v>Medium</v>
      </c>
      <c r="T1104" s="2" t="s">
        <v>2</v>
      </c>
      <c r="U1104" s="2" t="s">
        <v>13</v>
      </c>
      <c r="V1104" s="2" t="s">
        <v>15</v>
      </c>
      <c r="W1104" s="7">
        <v>0</v>
      </c>
      <c r="X1104" t="str">
        <f t="shared" si="35"/>
        <v>Active</v>
      </c>
    </row>
    <row r="1105" spans="1:24" x14ac:dyDescent="0.3">
      <c r="A1105" s="2">
        <v>1104</v>
      </c>
      <c r="B1105" s="7">
        <v>20.7</v>
      </c>
      <c r="C1105" s="2" t="s">
        <v>11</v>
      </c>
      <c r="D1105" s="7">
        <f>IF(ISBLANK('Raw sheet'!D1105),AVERAGE('Raw sheet'!$D$2:'Raw sheet'!$D$1500),'Raw sheet'!D1105)</f>
        <v>25000</v>
      </c>
      <c r="E1105" s="7" t="str">
        <f>IF(Table1[[#This Row],[Family_Income]]&gt;=100000,"Upper",IF(D1105&gt;=50000,"Middle","Lower"))</f>
        <v>Lower</v>
      </c>
      <c r="F1105" s="2" t="s">
        <v>4</v>
      </c>
      <c r="G1105" s="3">
        <f>IF(ISBLANK('Raw sheet'!F1105),AVERAGE('Raw sheet'!$F$2:'Raw sheet'!$F$1500),'Raw sheet'!F1105)</f>
        <v>3.83</v>
      </c>
      <c r="H1105" s="18">
        <v>74.400000000000006</v>
      </c>
      <c r="I1105" s="9" t="str">
        <f t="shared" si="34"/>
        <v>Low</v>
      </c>
      <c r="J1105" s="2">
        <v>1</v>
      </c>
      <c r="K1105" s="2">
        <v>33.5</v>
      </c>
      <c r="L1105" s="2" t="s">
        <v>4</v>
      </c>
      <c r="M1105" s="2" t="s">
        <v>3</v>
      </c>
      <c r="N1105" s="5">
        <f>IF(ISBLANK('Raw sheet'!L1105),AVERAGE('Raw sheet'!$L$2:'Raw sheet'!$L$1500),'Raw sheet'!L1105)</f>
        <v>6</v>
      </c>
      <c r="O1105" s="5" t="str">
        <f>IF(Table1[[#This Row],[Stress_Index]]&gt;=8,"High",IF(N1105&gt;=5,"Medium","Low"))</f>
        <v>Medium</v>
      </c>
      <c r="P1105" s="3">
        <v>3.09</v>
      </c>
      <c r="Q1105" s="2">
        <v>2.77</v>
      </c>
      <c r="R1105" s="3">
        <v>2.77</v>
      </c>
      <c r="S1105" s="3" t="str">
        <f>IF(Table1[[#This Row],[CGPA]]&gt;=3,"High",IF(R1104&gt;=2,"Medium","Low"))</f>
        <v>Low</v>
      </c>
      <c r="T1105" s="2" t="s">
        <v>2</v>
      </c>
      <c r="U1105" s="2" t="s">
        <v>1</v>
      </c>
      <c r="V1105" s="2" t="s">
        <v>9</v>
      </c>
      <c r="W1105" s="7">
        <v>0</v>
      </c>
      <c r="X1105" t="str">
        <f t="shared" si="35"/>
        <v>Active</v>
      </c>
    </row>
    <row r="1106" spans="1:24" x14ac:dyDescent="0.3">
      <c r="A1106" s="2">
        <v>1105</v>
      </c>
      <c r="B1106" s="7">
        <v>23.4</v>
      </c>
      <c r="C1106" s="2" t="s">
        <v>11</v>
      </c>
      <c r="D1106" s="7">
        <f>IF(ISBLANK('Raw sheet'!D1106),AVERAGE('Raw sheet'!$D$2:'Raw sheet'!$D$1500),'Raw sheet'!D1106)</f>
        <v>29836</v>
      </c>
      <c r="E1106" s="7" t="str">
        <f>IF(Table1[[#This Row],[Family_Income]]&gt;=100000,"Upper",IF(D1106&gt;=50000,"Middle","Lower"))</f>
        <v>Lower</v>
      </c>
      <c r="F1106" s="2" t="s">
        <v>4</v>
      </c>
      <c r="G1106" s="3">
        <f>IF(ISBLANK('Raw sheet'!F1106),AVERAGE('Raw sheet'!$F$2:'Raw sheet'!$F$1500),'Raw sheet'!F1106)</f>
        <v>4.4000000000000004</v>
      </c>
      <c r="H1106" s="18">
        <v>89.5</v>
      </c>
      <c r="I1106" s="9" t="str">
        <f t="shared" si="34"/>
        <v>Good</v>
      </c>
      <c r="J1106" s="2">
        <v>1</v>
      </c>
      <c r="K1106" s="2">
        <v>27</v>
      </c>
      <c r="L1106" s="2" t="s">
        <v>4</v>
      </c>
      <c r="M1106" s="2" t="s">
        <v>3</v>
      </c>
      <c r="N1106" s="5">
        <f>IF(ISBLANK('Raw sheet'!L1106),AVERAGE('Raw sheet'!$L$2:'Raw sheet'!$L$1500),'Raw sheet'!L1106)</f>
        <v>3.3</v>
      </c>
      <c r="O1106" s="5" t="str">
        <f>IF(Table1[[#This Row],[Stress_Index]]&gt;=8,"High",IF(N1106&gt;=5,"Medium","Low"))</f>
        <v>Low</v>
      </c>
      <c r="P1106" s="3">
        <v>4</v>
      </c>
      <c r="Q1106" s="2">
        <v>3.54</v>
      </c>
      <c r="R1106" s="3">
        <v>3.42</v>
      </c>
      <c r="S1106" s="3" t="str">
        <f>IF(Table1[[#This Row],[CGPA]]&gt;=3,"High",IF(R1105&gt;=2,"Medium","Low"))</f>
        <v>High</v>
      </c>
      <c r="T1106" s="2" t="s">
        <v>10</v>
      </c>
      <c r="U1106" s="2" t="s">
        <v>6</v>
      </c>
      <c r="V1106" s="2" t="s">
        <v>9</v>
      </c>
      <c r="W1106" s="7">
        <v>0</v>
      </c>
      <c r="X1106" t="str">
        <f t="shared" si="35"/>
        <v>Active</v>
      </c>
    </row>
    <row r="1107" spans="1:24" x14ac:dyDescent="0.3">
      <c r="A1107" s="2">
        <v>1106</v>
      </c>
      <c r="B1107" s="7">
        <v>18.7</v>
      </c>
      <c r="C1107" s="2" t="s">
        <v>11</v>
      </c>
      <c r="D1107" s="7">
        <f>IF(ISBLANK('Raw sheet'!D1107),AVERAGE('Raw sheet'!$D$2:'Raw sheet'!$D$1500),'Raw sheet'!D1107)</f>
        <v>31384</v>
      </c>
      <c r="E1107" s="7" t="str">
        <f>IF(Table1[[#This Row],[Family_Income]]&gt;=100000,"Upper",IF(D1107&gt;=50000,"Middle","Lower"))</f>
        <v>Lower</v>
      </c>
      <c r="F1107" s="2" t="s">
        <v>3</v>
      </c>
      <c r="G1107" s="3">
        <f>IF(ISBLANK('Raw sheet'!F1107),AVERAGE('Raw sheet'!$F$2:'Raw sheet'!$F$1500),'Raw sheet'!F1107)</f>
        <v>3.26</v>
      </c>
      <c r="H1107" s="18">
        <v>90.5</v>
      </c>
      <c r="I1107" s="9" t="str">
        <f t="shared" si="34"/>
        <v>Good</v>
      </c>
      <c r="J1107" s="2">
        <v>3</v>
      </c>
      <c r="K1107" s="2">
        <v>31</v>
      </c>
      <c r="L1107" s="2" t="s">
        <v>4</v>
      </c>
      <c r="M1107" s="2" t="s">
        <v>4</v>
      </c>
      <c r="N1107" s="5">
        <f>IF(ISBLANK('Raw sheet'!L1107),AVERAGE('Raw sheet'!$L$2:'Raw sheet'!$L$1500),'Raw sheet'!L1107)</f>
        <v>5.8</v>
      </c>
      <c r="O1107" s="5" t="str">
        <f>IF(Table1[[#This Row],[Stress_Index]]&gt;=8,"High",IF(N1107&gt;=5,"Medium","Low"))</f>
        <v>Medium</v>
      </c>
      <c r="P1107" s="3">
        <v>2.56</v>
      </c>
      <c r="Q1107" s="2">
        <v>2.73</v>
      </c>
      <c r="R1107" s="3">
        <v>2.72</v>
      </c>
      <c r="S1107" s="3" t="str">
        <f>IF(Table1[[#This Row],[CGPA]]&gt;=3,"High",IF(R1106&gt;=2,"Medium","Low"))</f>
        <v>Medium</v>
      </c>
      <c r="T1107" s="2" t="s">
        <v>7</v>
      </c>
      <c r="U1107" s="2" t="s">
        <v>14</v>
      </c>
      <c r="V1107" s="2" t="s">
        <v>15</v>
      </c>
      <c r="W1107" s="7">
        <v>0</v>
      </c>
      <c r="X1107" t="str">
        <f t="shared" si="35"/>
        <v>Active</v>
      </c>
    </row>
    <row r="1108" spans="1:24" x14ac:dyDescent="0.3">
      <c r="A1108" s="2">
        <v>1107</v>
      </c>
      <c r="B1108" s="7">
        <v>22.3</v>
      </c>
      <c r="C1108" s="2" t="s">
        <v>11</v>
      </c>
      <c r="D1108" s="7">
        <f>IF(ISBLANK('Raw sheet'!D1108),AVERAGE('Raw sheet'!$D$2:'Raw sheet'!$D$1500),'Raw sheet'!D1108)</f>
        <v>25000</v>
      </c>
      <c r="E1108" s="7" t="str">
        <f>IF(Table1[[#This Row],[Family_Income]]&gt;=100000,"Upper",IF(D1108&gt;=50000,"Middle","Lower"))</f>
        <v>Lower</v>
      </c>
      <c r="F1108" s="2" t="s">
        <v>4</v>
      </c>
      <c r="G1108" s="3">
        <f>IF(ISBLANK('Raw sheet'!F1108),AVERAGE('Raw sheet'!$F$2:'Raw sheet'!$F$1500),'Raw sheet'!F1108)</f>
        <v>3.73</v>
      </c>
      <c r="H1108" s="18">
        <v>75.7</v>
      </c>
      <c r="I1108" s="9" t="str">
        <f t="shared" si="34"/>
        <v>Good</v>
      </c>
      <c r="J1108" s="2">
        <v>1</v>
      </c>
      <c r="K1108" s="2">
        <v>11.8</v>
      </c>
      <c r="L1108" s="2" t="s">
        <v>3</v>
      </c>
      <c r="M1108" s="2" t="s">
        <v>3</v>
      </c>
      <c r="N1108" s="5">
        <f>IF(ISBLANK('Raw sheet'!L1108),AVERAGE('Raw sheet'!$L$2:'Raw sheet'!$L$1500),'Raw sheet'!L1108)</f>
        <v>8</v>
      </c>
      <c r="O1108" s="5" t="str">
        <f>IF(Table1[[#This Row],[Stress_Index]]&gt;=8,"High",IF(N1108&gt;=5,"Medium","Low"))</f>
        <v>High</v>
      </c>
      <c r="P1108" s="3">
        <v>2.98</v>
      </c>
      <c r="Q1108" s="2">
        <v>2.74</v>
      </c>
      <c r="R1108" s="3">
        <v>2.81</v>
      </c>
      <c r="S1108" s="3" t="str">
        <f>IF(Table1[[#This Row],[CGPA]]&gt;=3,"High",IF(R1107&gt;=2,"Medium","Low"))</f>
        <v>Medium</v>
      </c>
      <c r="T1108" s="2" t="s">
        <v>10</v>
      </c>
      <c r="U1108" s="2" t="s">
        <v>8</v>
      </c>
      <c r="V1108" s="2" t="s">
        <v>0</v>
      </c>
      <c r="W1108" s="7">
        <v>0</v>
      </c>
      <c r="X1108" t="str">
        <f t="shared" si="35"/>
        <v>Active</v>
      </c>
    </row>
    <row r="1109" spans="1:24" x14ac:dyDescent="0.3">
      <c r="A1109" s="2">
        <v>1108</v>
      </c>
      <c r="B1109" s="7">
        <v>18.7</v>
      </c>
      <c r="C1109" s="2" t="s">
        <v>11</v>
      </c>
      <c r="D1109" s="7">
        <f>IF(ISBLANK('Raw sheet'!D1109),AVERAGE('Raw sheet'!$D$2:'Raw sheet'!$D$1500),'Raw sheet'!D1109)</f>
        <v>25000</v>
      </c>
      <c r="E1109" s="7" t="str">
        <f>IF(Table1[[#This Row],[Family_Income]]&gt;=100000,"Upper",IF(D1109&gt;=50000,"Middle","Lower"))</f>
        <v>Lower</v>
      </c>
      <c r="F1109" s="2" t="s">
        <v>4</v>
      </c>
      <c r="G1109" s="3">
        <f>IF(ISBLANK('Raw sheet'!F1109),AVERAGE('Raw sheet'!$F$2:'Raw sheet'!$F$1500),'Raw sheet'!F1109)</f>
        <v>2.77</v>
      </c>
      <c r="H1109" s="18">
        <v>72.8</v>
      </c>
      <c r="I1109" s="9" t="str">
        <f t="shared" si="34"/>
        <v>Low</v>
      </c>
      <c r="J1109" s="2">
        <v>3</v>
      </c>
      <c r="K1109" s="2">
        <v>33.799999999999997</v>
      </c>
      <c r="L1109" s="2" t="s">
        <v>3</v>
      </c>
      <c r="M1109" s="2" t="s">
        <v>3</v>
      </c>
      <c r="N1109" s="5">
        <f>IF(ISBLANK('Raw sheet'!L1109),AVERAGE('Raw sheet'!$L$2:'Raw sheet'!$L$1500),'Raw sheet'!L1109)</f>
        <v>8.3000000000000007</v>
      </c>
      <c r="O1109" s="5" t="str">
        <f>IF(Table1[[#This Row],[Stress_Index]]&gt;=8,"High",IF(N1109&gt;=5,"Medium","Low"))</f>
        <v>High</v>
      </c>
      <c r="P1109" s="3">
        <v>1.64</v>
      </c>
      <c r="Q1109" s="2">
        <v>1.51</v>
      </c>
      <c r="R1109" s="3">
        <v>1.54</v>
      </c>
      <c r="S1109" s="3" t="str">
        <f>IF(Table1[[#This Row],[CGPA]]&gt;=3,"High",IF(R1108&gt;=2,"Medium","Low"))</f>
        <v>Medium</v>
      </c>
      <c r="T1109" s="2" t="s">
        <v>7</v>
      </c>
      <c r="U1109" s="2" t="s">
        <v>8</v>
      </c>
      <c r="V1109" s="2" t="s">
        <v>9</v>
      </c>
      <c r="W1109" s="7">
        <v>1</v>
      </c>
      <c r="X1109" t="str">
        <f t="shared" si="35"/>
        <v>Dropped Out</v>
      </c>
    </row>
    <row r="1110" spans="1:24" x14ac:dyDescent="0.3">
      <c r="A1110" s="2">
        <v>1109</v>
      </c>
      <c r="B1110" s="7">
        <v>19.600000000000001</v>
      </c>
      <c r="C1110" s="2" t="s">
        <v>5</v>
      </c>
      <c r="D1110" s="7">
        <f>IF(ISBLANK('Raw sheet'!D1110),AVERAGE('Raw sheet'!$D$2:'Raw sheet'!$D$1500),'Raw sheet'!D1110)</f>
        <v>30753</v>
      </c>
      <c r="E1110" s="7" t="str">
        <f>IF(Table1[[#This Row],[Family_Income]]&gt;=100000,"Upper",IF(D1110&gt;=50000,"Middle","Lower"))</f>
        <v>Lower</v>
      </c>
      <c r="F1110" s="2" t="s">
        <v>4</v>
      </c>
      <c r="G1110" s="3">
        <f>IF(ISBLANK('Raw sheet'!F1110),AVERAGE('Raw sheet'!$F$2:'Raw sheet'!$F$1500),'Raw sheet'!F1110)</f>
        <v>4.1399999999999997</v>
      </c>
      <c r="H1110" s="18">
        <v>81.900000000000006</v>
      </c>
      <c r="I1110" s="9" t="str">
        <f t="shared" si="34"/>
        <v>Good</v>
      </c>
      <c r="J1110" s="2">
        <v>0</v>
      </c>
      <c r="K1110" s="2">
        <v>34.6</v>
      </c>
      <c r="L1110" s="2" t="s">
        <v>3</v>
      </c>
      <c r="M1110" s="2" t="s">
        <v>3</v>
      </c>
      <c r="N1110" s="5">
        <f>IF(ISBLANK('Raw sheet'!L1110),AVERAGE('Raw sheet'!$L$2:'Raw sheet'!$L$1500),'Raw sheet'!L1110)</f>
        <v>7</v>
      </c>
      <c r="O1110" s="5" t="str">
        <f>IF(Table1[[#This Row],[Stress_Index]]&gt;=8,"High",IF(N1110&gt;=5,"Medium","Low"))</f>
        <v>Medium</v>
      </c>
      <c r="P1110" s="3">
        <v>2.0699999999999998</v>
      </c>
      <c r="Q1110" s="2">
        <v>2.1800000000000002</v>
      </c>
      <c r="R1110" s="3">
        <v>2.17</v>
      </c>
      <c r="S1110" s="3" t="str">
        <f>IF(Table1[[#This Row],[CGPA]]&gt;=3,"High",IF(R1109&gt;=2,"Medium","Low"))</f>
        <v>Low</v>
      </c>
      <c r="T1110" s="2" t="s">
        <v>7</v>
      </c>
      <c r="U1110" s="2" t="s">
        <v>8</v>
      </c>
      <c r="V1110" s="2" t="s">
        <v>15</v>
      </c>
      <c r="W1110" s="7">
        <v>0</v>
      </c>
      <c r="X1110" t="str">
        <f t="shared" si="35"/>
        <v>Active</v>
      </c>
    </row>
    <row r="1111" spans="1:24" x14ac:dyDescent="0.3">
      <c r="A1111" s="2">
        <v>1110</v>
      </c>
      <c r="B1111" s="7">
        <v>25.2</v>
      </c>
      <c r="C1111" s="2" t="s">
        <v>11</v>
      </c>
      <c r="D1111" s="7">
        <f>IF(ISBLANK('Raw sheet'!D1111),AVERAGE('Raw sheet'!$D$2:'Raw sheet'!$D$1500),'Raw sheet'!D1111)</f>
        <v>25000</v>
      </c>
      <c r="E1111" s="7" t="str">
        <f>IF(Table1[[#This Row],[Family_Income]]&gt;=100000,"Upper",IF(D1111&gt;=50000,"Middle","Lower"))</f>
        <v>Lower</v>
      </c>
      <c r="F1111" s="2" t="s">
        <v>3</v>
      </c>
      <c r="G1111" s="3">
        <f>IF(ISBLANK('Raw sheet'!F1111),AVERAGE('Raw sheet'!$F$2:'Raw sheet'!$F$1500),'Raw sheet'!F1111)</f>
        <v>5.4</v>
      </c>
      <c r="H1111" s="18">
        <v>92.6</v>
      </c>
      <c r="I1111" s="9" t="str">
        <f t="shared" si="34"/>
        <v>Good</v>
      </c>
      <c r="J1111" s="2">
        <v>2</v>
      </c>
      <c r="K1111" s="2">
        <v>24</v>
      </c>
      <c r="L1111" s="2" t="s">
        <v>3</v>
      </c>
      <c r="M1111" s="2" t="s">
        <v>3</v>
      </c>
      <c r="N1111" s="5">
        <f>IF(ISBLANK('Raw sheet'!L1111),AVERAGE('Raw sheet'!$L$2:'Raw sheet'!$L$1500),'Raw sheet'!L1111)</f>
        <v>6</v>
      </c>
      <c r="O1111" s="5" t="str">
        <f>IF(Table1[[#This Row],[Stress_Index]]&gt;=8,"High",IF(N1111&gt;=5,"Medium","Low"))</f>
        <v>Medium</v>
      </c>
      <c r="P1111" s="3">
        <v>2.2400000000000002</v>
      </c>
      <c r="Q1111" s="2">
        <v>2.0699999999999998</v>
      </c>
      <c r="R1111" s="3">
        <v>2.0499999999999998</v>
      </c>
      <c r="S1111" s="3" t="str">
        <f>IF(Table1[[#This Row],[CGPA]]&gt;=3,"High",IF(R1110&gt;=2,"Medium","Low"))</f>
        <v>Medium</v>
      </c>
      <c r="T1111" s="2" t="s">
        <v>10</v>
      </c>
      <c r="U1111" s="2" t="s">
        <v>14</v>
      </c>
      <c r="V1111" s="2" t="s">
        <v>15</v>
      </c>
      <c r="W1111" s="7">
        <v>0</v>
      </c>
      <c r="X1111" t="str">
        <f t="shared" si="35"/>
        <v>Active</v>
      </c>
    </row>
    <row r="1112" spans="1:24" x14ac:dyDescent="0.3">
      <c r="A1112" s="2">
        <v>1111</v>
      </c>
      <c r="B1112" s="7">
        <v>20.6</v>
      </c>
      <c r="C1112" s="2" t="s">
        <v>11</v>
      </c>
      <c r="D1112" s="7">
        <f>IF(ISBLANK('Raw sheet'!D1112),AVERAGE('Raw sheet'!$D$2:'Raw sheet'!$D$1500),'Raw sheet'!D1112)</f>
        <v>25000</v>
      </c>
      <c r="E1112" s="7" t="str">
        <f>IF(Table1[[#This Row],[Family_Income]]&gt;=100000,"Upper",IF(D1112&gt;=50000,"Middle","Lower"))</f>
        <v>Lower</v>
      </c>
      <c r="F1112" s="2" t="s">
        <v>4</v>
      </c>
      <c r="G1112" s="3">
        <f>IF(ISBLANK('Raw sheet'!F1112),AVERAGE('Raw sheet'!$F$2:'Raw sheet'!$F$1500),'Raw sheet'!F1112)</f>
        <v>2.4900000000000002</v>
      </c>
      <c r="H1112" s="18">
        <v>99.2</v>
      </c>
      <c r="I1112" s="9" t="str">
        <f t="shared" si="34"/>
        <v>Good</v>
      </c>
      <c r="J1112" s="2">
        <v>5</v>
      </c>
      <c r="K1112" s="2">
        <v>37.299999999999997</v>
      </c>
      <c r="L1112" s="2" t="s">
        <v>3</v>
      </c>
      <c r="M1112" s="2" t="s">
        <v>4</v>
      </c>
      <c r="N1112" s="5">
        <f>IF(ISBLANK('Raw sheet'!L1112),AVERAGE('Raw sheet'!$L$2:'Raw sheet'!$L$1500),'Raw sheet'!L1112)</f>
        <v>7.2</v>
      </c>
      <c r="O1112" s="5" t="str">
        <f>IF(Table1[[#This Row],[Stress_Index]]&gt;=8,"High",IF(N1112&gt;=5,"Medium","Low"))</f>
        <v>Medium</v>
      </c>
      <c r="P1112" s="3">
        <v>2.99</v>
      </c>
      <c r="Q1112" s="2">
        <v>2.69</v>
      </c>
      <c r="R1112" s="3">
        <v>2.64</v>
      </c>
      <c r="S1112" s="3" t="str">
        <f>IF(Table1[[#This Row],[CGPA]]&gt;=3,"High",IF(R1111&gt;=2,"Medium","Low"))</f>
        <v>Medium</v>
      </c>
      <c r="T1112" s="2" t="s">
        <v>7</v>
      </c>
      <c r="U1112" s="2" t="s">
        <v>1</v>
      </c>
      <c r="V1112" s="2" t="s">
        <v>0</v>
      </c>
      <c r="W1112" s="7">
        <v>0</v>
      </c>
      <c r="X1112" t="str">
        <f t="shared" si="35"/>
        <v>Active</v>
      </c>
    </row>
    <row r="1113" spans="1:24" x14ac:dyDescent="0.3">
      <c r="A1113" s="2">
        <v>1112</v>
      </c>
      <c r="B1113" s="7">
        <v>21.5</v>
      </c>
      <c r="C1113" s="2" t="s">
        <v>11</v>
      </c>
      <c r="D1113" s="7">
        <f>IF(ISBLANK('Raw sheet'!D1113),AVERAGE('Raw sheet'!$D$2:'Raw sheet'!$D$1500),'Raw sheet'!D1113)</f>
        <v>25000</v>
      </c>
      <c r="E1113" s="7" t="str">
        <f>IF(Table1[[#This Row],[Family_Income]]&gt;=100000,"Upper",IF(D1113&gt;=50000,"Middle","Lower"))</f>
        <v>Lower</v>
      </c>
      <c r="F1113" s="2" t="s">
        <v>4</v>
      </c>
      <c r="G1113" s="3">
        <f>IF(ISBLANK('Raw sheet'!F1113),AVERAGE('Raw sheet'!$F$2:'Raw sheet'!$F$1500),'Raw sheet'!F1113)</f>
        <v>3.08</v>
      </c>
      <c r="H1113" s="18">
        <v>76.599999999999994</v>
      </c>
      <c r="I1113" s="9" t="str">
        <f t="shared" si="34"/>
        <v>Good</v>
      </c>
      <c r="J1113" s="2">
        <v>2</v>
      </c>
      <c r="K1113" s="2">
        <v>40.5</v>
      </c>
      <c r="L1113" s="2" t="s">
        <v>3</v>
      </c>
      <c r="M1113" s="2" t="s">
        <v>3</v>
      </c>
      <c r="N1113" s="5">
        <f>IF(ISBLANK('Raw sheet'!L1113),AVERAGE('Raw sheet'!$L$2:'Raw sheet'!$L$1500),'Raw sheet'!L1113)</f>
        <v>6.8</v>
      </c>
      <c r="O1113" s="5" t="str">
        <f>IF(Table1[[#This Row],[Stress_Index]]&gt;=8,"High",IF(N1113&gt;=5,"Medium","Low"))</f>
        <v>Medium</v>
      </c>
      <c r="P1113" s="3">
        <v>1.43</v>
      </c>
      <c r="Q1113" s="2">
        <v>1.21</v>
      </c>
      <c r="R1113" s="3">
        <v>1.1200000000000001</v>
      </c>
      <c r="S1113" s="3" t="str">
        <f>IF(Table1[[#This Row],[CGPA]]&gt;=3,"High",IF(R1112&gt;=2,"Medium","Low"))</f>
        <v>Medium</v>
      </c>
      <c r="T1113" s="2" t="s">
        <v>12</v>
      </c>
      <c r="U1113" s="2" t="s">
        <v>13</v>
      </c>
      <c r="V1113" s="2" t="s">
        <v>0</v>
      </c>
      <c r="W1113" s="7">
        <v>0</v>
      </c>
      <c r="X1113" t="str">
        <f t="shared" si="35"/>
        <v>Active</v>
      </c>
    </row>
    <row r="1114" spans="1:24" x14ac:dyDescent="0.3">
      <c r="A1114" s="2">
        <v>1113</v>
      </c>
      <c r="B1114" s="7">
        <v>22.9</v>
      </c>
      <c r="C1114" s="2" t="s">
        <v>11</v>
      </c>
      <c r="D1114" s="7">
        <f>IF(ISBLANK('Raw sheet'!D1114),AVERAGE('Raw sheet'!$D$2:'Raw sheet'!$D$1500),'Raw sheet'!D1114)</f>
        <v>38587.00282087447</v>
      </c>
      <c r="E1114" s="7" t="str">
        <f>IF(Table1[[#This Row],[Family_Income]]&gt;=100000,"Upper",IF(D1114&gt;=50000,"Middle","Lower"))</f>
        <v>Lower</v>
      </c>
      <c r="F1114" s="2" t="s">
        <v>4</v>
      </c>
      <c r="G1114" s="3">
        <f>IF(ISBLANK('Raw sheet'!F1114),AVERAGE('Raw sheet'!$F$2:'Raw sheet'!$F$1500),'Raw sheet'!F1114)</f>
        <v>4.0178702397743278</v>
      </c>
      <c r="H1114" s="18">
        <v>63.8</v>
      </c>
      <c r="I1114" s="9" t="str">
        <f t="shared" si="34"/>
        <v>Low</v>
      </c>
      <c r="J1114" s="2">
        <v>0</v>
      </c>
      <c r="K1114" s="2">
        <v>46.8</v>
      </c>
      <c r="L1114" s="2" t="s">
        <v>3</v>
      </c>
      <c r="M1114" s="2" t="s">
        <v>3</v>
      </c>
      <c r="N1114" s="5">
        <f>IF(ISBLANK('Raw sheet'!L1114),AVERAGE('Raw sheet'!$L$2:'Raw sheet'!$L$1500),'Raw sheet'!L1114)</f>
        <v>5.5242595204513369</v>
      </c>
      <c r="O1114" s="5" t="str">
        <f>IF(Table1[[#This Row],[Stress_Index]]&gt;=8,"High",IF(N1114&gt;=5,"Medium","Low"))</f>
        <v>Medium</v>
      </c>
      <c r="P1114" s="3">
        <v>2.14</v>
      </c>
      <c r="Q1114" s="2">
        <v>2.57</v>
      </c>
      <c r="R1114" s="3">
        <v>2.5299999999999998</v>
      </c>
      <c r="S1114" s="3" t="str">
        <f>IF(Table1[[#This Row],[CGPA]]&gt;=3,"High",IF(R1113&gt;=2,"Medium","Low"))</f>
        <v>Low</v>
      </c>
      <c r="T1114" s="2" t="s">
        <v>12</v>
      </c>
      <c r="U1114" s="2" t="s">
        <v>1</v>
      </c>
      <c r="V1114" s="2" t="s">
        <v>9</v>
      </c>
      <c r="W1114" s="7">
        <v>0</v>
      </c>
      <c r="X1114" t="str">
        <f t="shared" si="35"/>
        <v>Active</v>
      </c>
    </row>
    <row r="1115" spans="1:24" x14ac:dyDescent="0.3">
      <c r="A1115" s="2">
        <v>1114</v>
      </c>
      <c r="B1115" s="7">
        <v>22.1</v>
      </c>
      <c r="C1115" s="2" t="s">
        <v>5</v>
      </c>
      <c r="D1115" s="7">
        <f>IF(ISBLANK('Raw sheet'!D1115),AVERAGE('Raw sheet'!$D$2:'Raw sheet'!$D$1500),'Raw sheet'!D1115)</f>
        <v>25000</v>
      </c>
      <c r="E1115" s="7" t="str">
        <f>IF(Table1[[#This Row],[Family_Income]]&gt;=100000,"Upper",IF(D1115&gt;=50000,"Middle","Lower"))</f>
        <v>Lower</v>
      </c>
      <c r="F1115" s="2" t="s">
        <v>4</v>
      </c>
      <c r="G1115" s="3">
        <f>IF(ISBLANK('Raw sheet'!F1115),AVERAGE('Raw sheet'!$F$2:'Raw sheet'!$F$1500),'Raw sheet'!F1115)</f>
        <v>4.67</v>
      </c>
      <c r="H1115" s="18">
        <v>70.099999999999994</v>
      </c>
      <c r="I1115" s="9" t="str">
        <f t="shared" si="34"/>
        <v>Low</v>
      </c>
      <c r="J1115" s="2">
        <v>1</v>
      </c>
      <c r="K1115" s="2">
        <v>17.8</v>
      </c>
      <c r="L1115" s="2" t="s">
        <v>4</v>
      </c>
      <c r="M1115" s="2" t="s">
        <v>3</v>
      </c>
      <c r="N1115" s="5">
        <f>IF(ISBLANK('Raw sheet'!L1115),AVERAGE('Raw sheet'!$L$2:'Raw sheet'!$L$1500),'Raw sheet'!L1115)</f>
        <v>3.9</v>
      </c>
      <c r="O1115" s="5" t="str">
        <f>IF(Table1[[#This Row],[Stress_Index]]&gt;=8,"High",IF(N1115&gt;=5,"Medium","Low"))</f>
        <v>Low</v>
      </c>
      <c r="P1115" s="3">
        <v>1.61</v>
      </c>
      <c r="Q1115" s="2">
        <v>1.39</v>
      </c>
      <c r="R1115" s="3">
        <v>1.48</v>
      </c>
      <c r="S1115" s="3" t="str">
        <f>IF(Table1[[#This Row],[CGPA]]&gt;=3,"High",IF(R1114&gt;=2,"Medium","Low"))</f>
        <v>Medium</v>
      </c>
      <c r="T1115" s="2" t="s">
        <v>12</v>
      </c>
      <c r="U1115" s="2" t="s">
        <v>13</v>
      </c>
      <c r="V1115" s="2" t="s">
        <v>17</v>
      </c>
      <c r="W1115" s="7">
        <v>1</v>
      </c>
      <c r="X1115" t="str">
        <f t="shared" si="35"/>
        <v>Dropped Out</v>
      </c>
    </row>
    <row r="1116" spans="1:24" x14ac:dyDescent="0.3">
      <c r="A1116" s="2">
        <v>1115</v>
      </c>
      <c r="B1116" s="7">
        <v>21.3</v>
      </c>
      <c r="C1116" s="2" t="s">
        <v>5</v>
      </c>
      <c r="D1116" s="7">
        <f>IF(ISBLANK('Raw sheet'!D1116),AVERAGE('Raw sheet'!$D$2:'Raw sheet'!$D$1500),'Raw sheet'!D1116)</f>
        <v>25000</v>
      </c>
      <c r="E1116" s="7" t="str">
        <f>IF(Table1[[#This Row],[Family_Income]]&gt;=100000,"Upper",IF(D1116&gt;=50000,"Middle","Lower"))</f>
        <v>Lower</v>
      </c>
      <c r="F1116" s="2" t="s">
        <v>4</v>
      </c>
      <c r="G1116" s="3">
        <f>IF(ISBLANK('Raw sheet'!F1116),AVERAGE('Raw sheet'!$F$2:'Raw sheet'!$F$1500),'Raw sheet'!F1116)</f>
        <v>1.92</v>
      </c>
      <c r="H1116" s="18">
        <v>67.7</v>
      </c>
      <c r="I1116" s="9" t="str">
        <f t="shared" si="34"/>
        <v>Low</v>
      </c>
      <c r="J1116" s="2">
        <v>1</v>
      </c>
      <c r="K1116" s="2">
        <v>38</v>
      </c>
      <c r="L1116" s="2" t="s">
        <v>4</v>
      </c>
      <c r="M1116" s="2" t="s">
        <v>4</v>
      </c>
      <c r="N1116" s="5">
        <f>IF(ISBLANK('Raw sheet'!L1116),AVERAGE('Raw sheet'!$L$2:'Raw sheet'!$L$1500),'Raw sheet'!L1116)</f>
        <v>6.6</v>
      </c>
      <c r="O1116" s="5" t="str">
        <f>IF(Table1[[#This Row],[Stress_Index]]&gt;=8,"High",IF(N1116&gt;=5,"Medium","Low"))</f>
        <v>Medium</v>
      </c>
      <c r="P1116" s="3">
        <v>1.58</v>
      </c>
      <c r="Q1116" s="2">
        <v>1.49</v>
      </c>
      <c r="R1116" s="3">
        <v>1.49</v>
      </c>
      <c r="S1116" s="3" t="str">
        <f>IF(Table1[[#This Row],[CGPA]]&gt;=3,"High",IF(R1115&gt;=2,"Medium","Low"))</f>
        <v>Low</v>
      </c>
      <c r="T1116" s="2" t="s">
        <v>2</v>
      </c>
      <c r="U1116" s="2" t="s">
        <v>13</v>
      </c>
      <c r="V1116" s="2" t="s">
        <v>15</v>
      </c>
      <c r="W1116" s="7">
        <v>1</v>
      </c>
      <c r="X1116" t="str">
        <f t="shared" si="35"/>
        <v>Dropped Out</v>
      </c>
    </row>
    <row r="1117" spans="1:24" x14ac:dyDescent="0.3">
      <c r="A1117" s="2">
        <v>1116</v>
      </c>
      <c r="B1117" s="7">
        <v>21.8</v>
      </c>
      <c r="C1117" s="2" t="s">
        <v>5</v>
      </c>
      <c r="D1117" s="7">
        <f>IF(ISBLANK('Raw sheet'!D1117),AVERAGE('Raw sheet'!$D$2:'Raw sheet'!$D$1500),'Raw sheet'!D1117)</f>
        <v>29980</v>
      </c>
      <c r="E1117" s="7" t="str">
        <f>IF(Table1[[#This Row],[Family_Income]]&gt;=100000,"Upper",IF(D1117&gt;=50000,"Middle","Lower"))</f>
        <v>Lower</v>
      </c>
      <c r="F1117" s="2" t="s">
        <v>3</v>
      </c>
      <c r="G1117" s="3">
        <f>IF(ISBLANK('Raw sheet'!F1117),AVERAGE('Raw sheet'!$F$2:'Raw sheet'!$F$1500),'Raw sheet'!F1117)</f>
        <v>4.6500000000000004</v>
      </c>
      <c r="H1117" s="18">
        <v>85.3</v>
      </c>
      <c r="I1117" s="9" t="str">
        <f t="shared" si="34"/>
        <v>Good</v>
      </c>
      <c r="J1117" s="2">
        <v>3</v>
      </c>
      <c r="K1117" s="2">
        <v>46.1</v>
      </c>
      <c r="L1117" s="2" t="s">
        <v>3</v>
      </c>
      <c r="M1117" s="2" t="s">
        <v>3</v>
      </c>
      <c r="N1117" s="5">
        <f>IF(ISBLANK('Raw sheet'!L1117),AVERAGE('Raw sheet'!$L$2:'Raw sheet'!$L$1500),'Raw sheet'!L1117)</f>
        <v>4.3</v>
      </c>
      <c r="O1117" s="5" t="str">
        <f>IF(Table1[[#This Row],[Stress_Index]]&gt;=8,"High",IF(N1117&gt;=5,"Medium","Low"))</f>
        <v>Low</v>
      </c>
      <c r="P1117" s="3">
        <v>2.57</v>
      </c>
      <c r="Q1117" s="2">
        <v>2.16</v>
      </c>
      <c r="R1117" s="3">
        <v>2.16</v>
      </c>
      <c r="S1117" s="3" t="str">
        <f>IF(Table1[[#This Row],[CGPA]]&gt;=3,"High",IF(R1116&gt;=2,"Medium","Low"))</f>
        <v>Low</v>
      </c>
      <c r="T1117" s="2" t="s">
        <v>2</v>
      </c>
      <c r="U1117" s="2" t="s">
        <v>14</v>
      </c>
      <c r="V1117" s="2" t="s">
        <v>0</v>
      </c>
      <c r="W1117" s="7">
        <v>0</v>
      </c>
      <c r="X1117" t="str">
        <f t="shared" si="35"/>
        <v>Active</v>
      </c>
    </row>
    <row r="1118" spans="1:24" x14ac:dyDescent="0.3">
      <c r="A1118" s="2">
        <v>1117</v>
      </c>
      <c r="B1118" s="7">
        <v>26.3</v>
      </c>
      <c r="C1118" s="2" t="s">
        <v>5</v>
      </c>
      <c r="D1118" s="7">
        <f>IF(ISBLANK('Raw sheet'!D1118),AVERAGE('Raw sheet'!$D$2:'Raw sheet'!$D$1500),'Raw sheet'!D1118)</f>
        <v>25000</v>
      </c>
      <c r="E1118" s="7" t="str">
        <f>IF(Table1[[#This Row],[Family_Income]]&gt;=100000,"Upper",IF(D1118&gt;=50000,"Middle","Lower"))</f>
        <v>Lower</v>
      </c>
      <c r="F1118" s="2" t="s">
        <v>4</v>
      </c>
      <c r="G1118" s="3">
        <f>IF(ISBLANK('Raw sheet'!F1118),AVERAGE('Raw sheet'!$F$2:'Raw sheet'!$F$1500),'Raw sheet'!F1118)</f>
        <v>4.74</v>
      </c>
      <c r="H1118" s="18">
        <v>82.8</v>
      </c>
      <c r="I1118" s="9" t="str">
        <f t="shared" si="34"/>
        <v>Good</v>
      </c>
      <c r="J1118" s="2">
        <v>1</v>
      </c>
      <c r="K1118" s="2">
        <v>25.8</v>
      </c>
      <c r="L1118" s="2" t="s">
        <v>4</v>
      </c>
      <c r="M1118" s="2" t="s">
        <v>4</v>
      </c>
      <c r="N1118" s="5">
        <f>IF(ISBLANK('Raw sheet'!L1118),AVERAGE('Raw sheet'!$L$2:'Raw sheet'!$L$1500),'Raw sheet'!L1118)</f>
        <v>3.7</v>
      </c>
      <c r="O1118" s="5" t="str">
        <f>IF(Table1[[#This Row],[Stress_Index]]&gt;=8,"High",IF(N1118&gt;=5,"Medium","Low"))</f>
        <v>Low</v>
      </c>
      <c r="P1118" s="3">
        <v>4</v>
      </c>
      <c r="Q1118" s="2">
        <v>4</v>
      </c>
      <c r="R1118" s="3">
        <v>4</v>
      </c>
      <c r="S1118" s="3" t="str">
        <f>IF(Table1[[#This Row],[CGPA]]&gt;=3,"High",IF(R1117&gt;=2,"Medium","Low"))</f>
        <v>High</v>
      </c>
      <c r="T1118" s="2" t="s">
        <v>2</v>
      </c>
      <c r="U1118" s="2" t="s">
        <v>13</v>
      </c>
      <c r="V1118" s="2" t="s">
        <v>9</v>
      </c>
      <c r="W1118" s="7">
        <v>0</v>
      </c>
      <c r="X1118" t="str">
        <f t="shared" si="35"/>
        <v>Active</v>
      </c>
    </row>
    <row r="1119" spans="1:24" x14ac:dyDescent="0.3">
      <c r="A1119" s="2">
        <v>1118</v>
      </c>
      <c r="B1119" s="7">
        <v>20.9</v>
      </c>
      <c r="C1119" s="2" t="s">
        <v>5</v>
      </c>
      <c r="D1119" s="7">
        <f>IF(ISBLANK('Raw sheet'!D1119),AVERAGE('Raw sheet'!$D$2:'Raw sheet'!$D$1500),'Raw sheet'!D1119)</f>
        <v>31021</v>
      </c>
      <c r="E1119" s="7" t="str">
        <f>IF(Table1[[#This Row],[Family_Income]]&gt;=100000,"Upper",IF(D1119&gt;=50000,"Middle","Lower"))</f>
        <v>Lower</v>
      </c>
      <c r="F1119" s="2" t="s">
        <v>4</v>
      </c>
      <c r="G1119" s="3">
        <f>IF(ISBLANK('Raw sheet'!F1119),AVERAGE('Raw sheet'!$F$2:'Raw sheet'!$F$1500),'Raw sheet'!F1119)</f>
        <v>5.18</v>
      </c>
      <c r="H1119" s="18">
        <v>83.7</v>
      </c>
      <c r="I1119" s="9" t="str">
        <f t="shared" si="34"/>
        <v>Good</v>
      </c>
      <c r="J1119" s="2">
        <v>2</v>
      </c>
      <c r="K1119" s="2">
        <v>46.7</v>
      </c>
      <c r="L1119" s="2" t="s">
        <v>3</v>
      </c>
      <c r="M1119" s="2" t="s">
        <v>4</v>
      </c>
      <c r="N1119" s="5">
        <f>IF(ISBLANK('Raw sheet'!L1119),AVERAGE('Raw sheet'!$L$2:'Raw sheet'!$L$1500),'Raw sheet'!L1119)</f>
        <v>7.8</v>
      </c>
      <c r="O1119" s="5" t="str">
        <f>IF(Table1[[#This Row],[Stress_Index]]&gt;=8,"High",IF(N1119&gt;=5,"Medium","Low"))</f>
        <v>Medium</v>
      </c>
      <c r="P1119" s="3">
        <v>0.91</v>
      </c>
      <c r="Q1119" s="2">
        <v>0.99</v>
      </c>
      <c r="R1119" s="3">
        <v>1.06</v>
      </c>
      <c r="S1119" s="3" t="str">
        <f>IF(Table1[[#This Row],[CGPA]]&gt;=3,"High",IF(R1118&gt;=2,"Medium","Low"))</f>
        <v>Medium</v>
      </c>
      <c r="T1119" s="2" t="s">
        <v>10</v>
      </c>
      <c r="U1119" s="2" t="s">
        <v>14</v>
      </c>
      <c r="V1119" s="2" t="s">
        <v>15</v>
      </c>
      <c r="W1119" s="7">
        <v>0</v>
      </c>
      <c r="X1119" t="str">
        <f t="shared" si="35"/>
        <v>Active</v>
      </c>
    </row>
    <row r="1120" spans="1:24" x14ac:dyDescent="0.3">
      <c r="A1120" s="2">
        <v>1119</v>
      </c>
      <c r="B1120" s="7">
        <v>21.4</v>
      </c>
      <c r="C1120" s="2" t="s">
        <v>11</v>
      </c>
      <c r="D1120" s="7">
        <f>IF(ISBLANK('Raw sheet'!D1120),AVERAGE('Raw sheet'!$D$2:'Raw sheet'!$D$1500),'Raw sheet'!D1120)</f>
        <v>25000</v>
      </c>
      <c r="E1120" s="7" t="str">
        <f>IF(Table1[[#This Row],[Family_Income]]&gt;=100000,"Upper",IF(D1120&gt;=50000,"Middle","Lower"))</f>
        <v>Lower</v>
      </c>
      <c r="F1120" s="2" t="s">
        <v>3</v>
      </c>
      <c r="G1120" s="3">
        <f>IF(ISBLANK('Raw sheet'!F1120),AVERAGE('Raw sheet'!$F$2:'Raw sheet'!$F$1500),'Raw sheet'!F1120)</f>
        <v>4.4800000000000004</v>
      </c>
      <c r="H1120" s="18">
        <v>91</v>
      </c>
      <c r="I1120" s="9" t="str">
        <f t="shared" si="34"/>
        <v>Good</v>
      </c>
      <c r="J1120" s="2">
        <v>2</v>
      </c>
      <c r="K1120" s="2">
        <v>21.3</v>
      </c>
      <c r="L1120" s="2" t="s">
        <v>4</v>
      </c>
      <c r="M1120" s="2" t="s">
        <v>4</v>
      </c>
      <c r="N1120" s="5">
        <f>IF(ISBLANK('Raw sheet'!L1120),AVERAGE('Raw sheet'!$L$2:'Raw sheet'!$L$1500),'Raw sheet'!L1120)</f>
        <v>5.6</v>
      </c>
      <c r="O1120" s="5" t="str">
        <f>IF(Table1[[#This Row],[Stress_Index]]&gt;=8,"High",IF(N1120&gt;=5,"Medium","Low"))</f>
        <v>Medium</v>
      </c>
      <c r="P1120" s="3">
        <v>0.52</v>
      </c>
      <c r="Q1120" s="2">
        <v>0.48</v>
      </c>
      <c r="R1120" s="3">
        <v>0.48</v>
      </c>
      <c r="S1120" s="3" t="str">
        <f>IF(Table1[[#This Row],[CGPA]]&gt;=3,"High",IF(R1119&gt;=2,"Medium","Low"))</f>
        <v>Low</v>
      </c>
      <c r="T1120" s="2" t="s">
        <v>2</v>
      </c>
      <c r="U1120" s="2" t="s">
        <v>6</v>
      </c>
      <c r="V1120" s="2" t="s">
        <v>15</v>
      </c>
      <c r="W1120" s="7">
        <v>0</v>
      </c>
      <c r="X1120" t="str">
        <f t="shared" si="35"/>
        <v>Active</v>
      </c>
    </row>
    <row r="1121" spans="1:24" x14ac:dyDescent="0.3">
      <c r="A1121" s="2">
        <v>1120</v>
      </c>
      <c r="B1121" s="7">
        <v>23.3</v>
      </c>
      <c r="C1121" s="2" t="s">
        <v>5</v>
      </c>
      <c r="D1121" s="7">
        <f>IF(ISBLANK('Raw sheet'!D1121),AVERAGE('Raw sheet'!$D$2:'Raw sheet'!$D$1500),'Raw sheet'!D1121)</f>
        <v>32879</v>
      </c>
      <c r="E1121" s="7" t="str">
        <f>IF(Table1[[#This Row],[Family_Income]]&gt;=100000,"Upper",IF(D1121&gt;=50000,"Middle","Lower"))</f>
        <v>Lower</v>
      </c>
      <c r="F1121" s="2" t="s">
        <v>4</v>
      </c>
      <c r="G1121" s="3">
        <f>IF(ISBLANK('Raw sheet'!F1121),AVERAGE('Raw sheet'!$F$2:'Raw sheet'!$F$1500),'Raw sheet'!F1121)</f>
        <v>2.04</v>
      </c>
      <c r="H1121" s="18">
        <v>95</v>
      </c>
      <c r="I1121" s="9" t="str">
        <f t="shared" si="34"/>
        <v>Good</v>
      </c>
      <c r="J1121" s="2">
        <v>0</v>
      </c>
      <c r="K1121" s="2">
        <v>30.8</v>
      </c>
      <c r="L1121" s="2" t="s">
        <v>3</v>
      </c>
      <c r="M1121" s="2" t="s">
        <v>3</v>
      </c>
      <c r="N1121" s="5">
        <f>IF(ISBLANK('Raw sheet'!L1121),AVERAGE('Raw sheet'!$L$2:'Raw sheet'!$L$1500),'Raw sheet'!L1121)</f>
        <v>5.4</v>
      </c>
      <c r="O1121" s="5" t="str">
        <f>IF(Table1[[#This Row],[Stress_Index]]&gt;=8,"High",IF(N1121&gt;=5,"Medium","Low"))</f>
        <v>Medium</v>
      </c>
      <c r="P1121" s="3">
        <v>2.67</v>
      </c>
      <c r="Q1121" s="2">
        <v>2.5499999999999998</v>
      </c>
      <c r="R1121" s="3">
        <v>2.57</v>
      </c>
      <c r="S1121" s="3" t="str">
        <f>IF(Table1[[#This Row],[CGPA]]&gt;=3,"High",IF(R1120&gt;=2,"Medium","Low"))</f>
        <v>Low</v>
      </c>
      <c r="T1121" s="2" t="s">
        <v>10</v>
      </c>
      <c r="U1121" s="2" t="s">
        <v>6</v>
      </c>
      <c r="V1121" s="2" t="s">
        <v>9</v>
      </c>
      <c r="W1121" s="7">
        <v>0</v>
      </c>
      <c r="X1121" t="str">
        <f t="shared" si="35"/>
        <v>Active</v>
      </c>
    </row>
    <row r="1122" spans="1:24" x14ac:dyDescent="0.3">
      <c r="A1122" s="2">
        <v>1121</v>
      </c>
      <c r="B1122" s="7">
        <v>23.4</v>
      </c>
      <c r="C1122" s="2" t="s">
        <v>11</v>
      </c>
      <c r="D1122" s="7">
        <f>IF(ISBLANK('Raw sheet'!D1122),AVERAGE('Raw sheet'!$D$2:'Raw sheet'!$D$1500),'Raw sheet'!D1122)</f>
        <v>50359</v>
      </c>
      <c r="E1122" s="7" t="str">
        <f>IF(Table1[[#This Row],[Family_Income]]&gt;=100000,"Upper",IF(D1122&gt;=50000,"Middle","Lower"))</f>
        <v>Middle</v>
      </c>
      <c r="F1122" s="2" t="s">
        <v>4</v>
      </c>
      <c r="G1122" s="3">
        <f>IF(ISBLANK('Raw sheet'!F1122),AVERAGE('Raw sheet'!$F$2:'Raw sheet'!$F$1500),'Raw sheet'!F1122)</f>
        <v>3.83</v>
      </c>
      <c r="H1122" s="18">
        <v>88.7</v>
      </c>
      <c r="I1122" s="9" t="str">
        <f t="shared" si="34"/>
        <v>Good</v>
      </c>
      <c r="J1122" s="2">
        <v>0</v>
      </c>
      <c r="K1122" s="2">
        <v>9.3000000000000007</v>
      </c>
      <c r="L1122" s="2" t="s">
        <v>4</v>
      </c>
      <c r="M1122" s="2" t="s">
        <v>3</v>
      </c>
      <c r="N1122" s="5">
        <f>IF(ISBLANK('Raw sheet'!L1122),AVERAGE('Raw sheet'!$L$2:'Raw sheet'!$L$1500),'Raw sheet'!L1122)</f>
        <v>3.3</v>
      </c>
      <c r="O1122" s="5" t="str">
        <f>IF(Table1[[#This Row],[Stress_Index]]&gt;=8,"High",IF(N1122&gt;=5,"Medium","Low"))</f>
        <v>Low</v>
      </c>
      <c r="P1122" s="3">
        <v>2.29</v>
      </c>
      <c r="Q1122" s="2">
        <v>2.61</v>
      </c>
      <c r="R1122" s="3">
        <v>2.5299999999999998</v>
      </c>
      <c r="S1122" s="3" t="str">
        <f>IF(Table1[[#This Row],[CGPA]]&gt;=3,"High",IF(R1121&gt;=2,"Medium","Low"))</f>
        <v>Medium</v>
      </c>
      <c r="T1122" s="2" t="s">
        <v>10</v>
      </c>
      <c r="U1122" s="2" t="s">
        <v>14</v>
      </c>
      <c r="V1122" s="2" t="s">
        <v>0</v>
      </c>
      <c r="W1122" s="7">
        <v>0</v>
      </c>
      <c r="X1122" t="str">
        <f t="shared" si="35"/>
        <v>Active</v>
      </c>
    </row>
    <row r="1123" spans="1:24" x14ac:dyDescent="0.3">
      <c r="A1123" s="2">
        <v>1122</v>
      </c>
      <c r="B1123" s="7">
        <v>23.6</v>
      </c>
      <c r="C1123" s="2" t="s">
        <v>11</v>
      </c>
      <c r="D1123" s="7">
        <f>IF(ISBLANK('Raw sheet'!D1123),AVERAGE('Raw sheet'!$D$2:'Raw sheet'!$D$1500),'Raw sheet'!D1123)</f>
        <v>38587.00282087447</v>
      </c>
      <c r="E1123" s="7" t="str">
        <f>IF(Table1[[#This Row],[Family_Income]]&gt;=100000,"Upper",IF(D1123&gt;=50000,"Middle","Lower"))</f>
        <v>Lower</v>
      </c>
      <c r="F1123" s="2" t="s">
        <v>4</v>
      </c>
      <c r="G1123" s="3">
        <f>IF(ISBLANK('Raw sheet'!F1123),AVERAGE('Raw sheet'!$F$2:'Raw sheet'!$F$1500),'Raw sheet'!F1123)</f>
        <v>4.0178702397743278</v>
      </c>
      <c r="H1123" s="18">
        <v>87.9</v>
      </c>
      <c r="I1123" s="9" t="str">
        <f t="shared" si="34"/>
        <v>Good</v>
      </c>
      <c r="J1123" s="2">
        <v>0</v>
      </c>
      <c r="K1123" s="2">
        <v>7.6</v>
      </c>
      <c r="L1123" s="2" t="s">
        <v>3</v>
      </c>
      <c r="M1123" s="2" t="s">
        <v>4</v>
      </c>
      <c r="N1123" s="5">
        <f>IF(ISBLANK('Raw sheet'!L1123),AVERAGE('Raw sheet'!$L$2:'Raw sheet'!$L$1500),'Raw sheet'!L1123)</f>
        <v>5.5242595204513369</v>
      </c>
      <c r="O1123" s="5" t="str">
        <f>IF(Table1[[#This Row],[Stress_Index]]&gt;=8,"High",IF(N1123&gt;=5,"Medium","Low"))</f>
        <v>Medium</v>
      </c>
      <c r="P1123" s="3">
        <v>4</v>
      </c>
      <c r="Q1123" s="2">
        <v>4</v>
      </c>
      <c r="R1123" s="3">
        <v>3.91</v>
      </c>
      <c r="S1123" s="3" t="str">
        <f>IF(Table1[[#This Row],[CGPA]]&gt;=3,"High",IF(R1122&gt;=2,"Medium","Low"))</f>
        <v>High</v>
      </c>
      <c r="T1123" s="2" t="s">
        <v>7</v>
      </c>
      <c r="U1123" s="2" t="s">
        <v>6</v>
      </c>
      <c r="V1123" s="2" t="s">
        <v>15</v>
      </c>
      <c r="W1123" s="7">
        <v>0</v>
      </c>
      <c r="X1123" t="str">
        <f t="shared" si="35"/>
        <v>Active</v>
      </c>
    </row>
    <row r="1124" spans="1:24" x14ac:dyDescent="0.3">
      <c r="A1124" s="2">
        <v>1123</v>
      </c>
      <c r="B1124" s="7">
        <v>22.4</v>
      </c>
      <c r="C1124" s="2" t="s">
        <v>5</v>
      </c>
      <c r="D1124" s="7">
        <f>IF(ISBLANK('Raw sheet'!D1124),AVERAGE('Raw sheet'!$D$2:'Raw sheet'!$D$1500),'Raw sheet'!D1124)</f>
        <v>64404</v>
      </c>
      <c r="E1124" s="7" t="str">
        <f>IF(Table1[[#This Row],[Family_Income]]&gt;=100000,"Upper",IF(D1124&gt;=50000,"Middle","Lower"))</f>
        <v>Middle</v>
      </c>
      <c r="F1124" s="2" t="s">
        <v>4</v>
      </c>
      <c r="G1124" s="3">
        <f>IF(ISBLANK('Raw sheet'!F1124),AVERAGE('Raw sheet'!$F$2:'Raw sheet'!$F$1500),'Raw sheet'!F1124)</f>
        <v>4.6900000000000004</v>
      </c>
      <c r="H1124" s="18">
        <v>70.2</v>
      </c>
      <c r="I1124" s="9" t="str">
        <f t="shared" si="34"/>
        <v>Low</v>
      </c>
      <c r="J1124" s="2">
        <v>5</v>
      </c>
      <c r="K1124" s="2">
        <v>11.4</v>
      </c>
      <c r="L1124" s="2" t="s">
        <v>4</v>
      </c>
      <c r="M1124" s="2" t="s">
        <v>4</v>
      </c>
      <c r="N1124" s="5">
        <f>IF(ISBLANK('Raw sheet'!L1124),AVERAGE('Raw sheet'!$L$2:'Raw sheet'!$L$1500),'Raw sheet'!L1124)</f>
        <v>4.9000000000000004</v>
      </c>
      <c r="O1124" s="5" t="str">
        <f>IF(Table1[[#This Row],[Stress_Index]]&gt;=8,"High",IF(N1124&gt;=5,"Medium","Low"))</f>
        <v>Low</v>
      </c>
      <c r="P1124" s="3">
        <v>2.63</v>
      </c>
      <c r="Q1124" s="2">
        <v>2.57</v>
      </c>
      <c r="R1124" s="3">
        <v>2.5299999999999998</v>
      </c>
      <c r="S1124" s="3" t="str">
        <f>IF(Table1[[#This Row],[CGPA]]&gt;=3,"High",IF(R1123&gt;=2,"Medium","Low"))</f>
        <v>Medium</v>
      </c>
      <c r="T1124" s="2" t="s">
        <v>10</v>
      </c>
      <c r="U1124" s="2" t="s">
        <v>6</v>
      </c>
      <c r="V1124" s="2" t="s">
        <v>9</v>
      </c>
      <c r="W1124" s="7">
        <v>0</v>
      </c>
      <c r="X1124" t="str">
        <f t="shared" si="35"/>
        <v>Active</v>
      </c>
    </row>
    <row r="1125" spans="1:24" x14ac:dyDescent="0.3">
      <c r="A1125" s="2">
        <v>1124</v>
      </c>
      <c r="B1125" s="7">
        <v>18.5</v>
      </c>
      <c r="C1125" s="2" t="s">
        <v>5</v>
      </c>
      <c r="D1125" s="7">
        <f>IF(ISBLANK('Raw sheet'!D1125),AVERAGE('Raw sheet'!$D$2:'Raw sheet'!$D$1500),'Raw sheet'!D1125)</f>
        <v>38587.00282087447</v>
      </c>
      <c r="E1125" s="7" t="str">
        <f>IF(Table1[[#This Row],[Family_Income]]&gt;=100000,"Upper",IF(D1125&gt;=50000,"Middle","Lower"))</f>
        <v>Lower</v>
      </c>
      <c r="F1125" s="2" t="s">
        <v>4</v>
      </c>
      <c r="G1125" s="3">
        <f>IF(ISBLANK('Raw sheet'!F1125),AVERAGE('Raw sheet'!$F$2:'Raw sheet'!$F$1500),'Raw sheet'!F1125)</f>
        <v>4.0178702397743278</v>
      </c>
      <c r="H1125" s="18">
        <v>62.9</v>
      </c>
      <c r="I1125" s="9" t="str">
        <f t="shared" si="34"/>
        <v>Low</v>
      </c>
      <c r="J1125" s="2">
        <v>0</v>
      </c>
      <c r="K1125" s="2">
        <v>47</v>
      </c>
      <c r="L1125" s="2" t="s">
        <v>3</v>
      </c>
      <c r="M1125" s="2" t="s">
        <v>4</v>
      </c>
      <c r="N1125" s="5">
        <f>IF(ISBLANK('Raw sheet'!L1125),AVERAGE('Raw sheet'!$L$2:'Raw sheet'!$L$1500),'Raw sheet'!L1125)</f>
        <v>5.5242595204513369</v>
      </c>
      <c r="O1125" s="5" t="str">
        <f>IF(Table1[[#This Row],[Stress_Index]]&gt;=8,"High",IF(N1125&gt;=5,"Medium","Low"))</f>
        <v>Medium</v>
      </c>
      <c r="P1125" s="3">
        <v>2.98</v>
      </c>
      <c r="Q1125" s="2">
        <v>3.21</v>
      </c>
      <c r="R1125" s="3">
        <v>3.24</v>
      </c>
      <c r="S1125" s="3" t="str">
        <f>IF(Table1[[#This Row],[CGPA]]&gt;=3,"High",IF(R1124&gt;=2,"Medium","Low"))</f>
        <v>High</v>
      </c>
      <c r="T1125" s="2" t="s">
        <v>7</v>
      </c>
      <c r="U1125" s="2" t="s">
        <v>13</v>
      </c>
      <c r="V1125" s="2" t="s">
        <v>0</v>
      </c>
      <c r="W1125" s="7">
        <v>0</v>
      </c>
      <c r="X1125" t="str">
        <f t="shared" si="35"/>
        <v>Active</v>
      </c>
    </row>
    <row r="1126" spans="1:24" x14ac:dyDescent="0.3">
      <c r="A1126" s="2">
        <v>1125</v>
      </c>
      <c r="B1126" s="7">
        <v>24.6</v>
      </c>
      <c r="C1126" s="2" t="s">
        <v>11</v>
      </c>
      <c r="D1126" s="7">
        <f>IF(ISBLANK('Raw sheet'!D1126),AVERAGE('Raw sheet'!$D$2:'Raw sheet'!$D$1500),'Raw sheet'!D1126)</f>
        <v>34308</v>
      </c>
      <c r="E1126" s="7" t="str">
        <f>IF(Table1[[#This Row],[Family_Income]]&gt;=100000,"Upper",IF(D1126&gt;=50000,"Middle","Lower"))</f>
        <v>Lower</v>
      </c>
      <c r="F1126" s="2" t="s">
        <v>4</v>
      </c>
      <c r="G1126" s="3">
        <f>IF(ISBLANK('Raw sheet'!F1126),AVERAGE('Raw sheet'!$F$2:'Raw sheet'!$F$1500),'Raw sheet'!F1126)</f>
        <v>3.44</v>
      </c>
      <c r="H1126" s="18">
        <v>93.1</v>
      </c>
      <c r="I1126" s="9" t="str">
        <f t="shared" si="34"/>
        <v>Good</v>
      </c>
      <c r="J1126" s="2">
        <v>1</v>
      </c>
      <c r="K1126" s="2">
        <v>20.7</v>
      </c>
      <c r="L1126" s="2" t="s">
        <v>3</v>
      </c>
      <c r="M1126" s="2" t="s">
        <v>3</v>
      </c>
      <c r="N1126" s="5">
        <f>IF(ISBLANK('Raw sheet'!L1126),AVERAGE('Raw sheet'!$L$2:'Raw sheet'!$L$1500),'Raw sheet'!L1126)</f>
        <v>3.3</v>
      </c>
      <c r="O1126" s="5" t="str">
        <f>IF(Table1[[#This Row],[Stress_Index]]&gt;=8,"High",IF(N1126&gt;=5,"Medium","Low"))</f>
        <v>Low</v>
      </c>
      <c r="P1126" s="3">
        <v>3.32</v>
      </c>
      <c r="Q1126" s="2">
        <v>3.63</v>
      </c>
      <c r="R1126" s="3">
        <v>3.63</v>
      </c>
      <c r="S1126" s="3" t="str">
        <f>IF(Table1[[#This Row],[CGPA]]&gt;=3,"High",IF(R1125&gt;=2,"Medium","Low"))</f>
        <v>High</v>
      </c>
      <c r="T1126" s="2" t="s">
        <v>2</v>
      </c>
      <c r="U1126" s="2" t="s">
        <v>1</v>
      </c>
      <c r="V1126" s="2" t="s">
        <v>17</v>
      </c>
      <c r="W1126" s="7">
        <v>0</v>
      </c>
      <c r="X1126" t="str">
        <f t="shared" si="35"/>
        <v>Active</v>
      </c>
    </row>
    <row r="1127" spans="1:24" x14ac:dyDescent="0.3">
      <c r="A1127" s="2">
        <v>1126</v>
      </c>
      <c r="B1127" s="7">
        <v>18.5</v>
      </c>
      <c r="C1127" s="2" t="s">
        <v>11</v>
      </c>
      <c r="D1127" s="7">
        <f>IF(ISBLANK('Raw sheet'!D1127),AVERAGE('Raw sheet'!$D$2:'Raw sheet'!$D$1500),'Raw sheet'!D1127)</f>
        <v>25000</v>
      </c>
      <c r="E1127" s="7" t="str">
        <f>IF(Table1[[#This Row],[Family_Income]]&gt;=100000,"Upper",IF(D1127&gt;=50000,"Middle","Lower"))</f>
        <v>Lower</v>
      </c>
      <c r="F1127" s="2" t="s">
        <v>4</v>
      </c>
      <c r="G1127" s="3">
        <f>IF(ISBLANK('Raw sheet'!F1127),AVERAGE('Raw sheet'!$F$2:'Raw sheet'!$F$1500),'Raw sheet'!F1127)</f>
        <v>3.86</v>
      </c>
      <c r="H1127" s="18">
        <v>77.599999999999994</v>
      </c>
      <c r="I1127" s="9" t="str">
        <f t="shared" si="34"/>
        <v>Good</v>
      </c>
      <c r="J1127" s="2">
        <v>0</v>
      </c>
      <c r="K1127" s="2">
        <v>20.7</v>
      </c>
      <c r="L1127" s="2" t="s">
        <v>4</v>
      </c>
      <c r="M1127" s="2" t="s">
        <v>4</v>
      </c>
      <c r="N1127" s="5">
        <f>IF(ISBLANK('Raw sheet'!L1127),AVERAGE('Raw sheet'!$L$2:'Raw sheet'!$L$1500),'Raw sheet'!L1127)</f>
        <v>8.6</v>
      </c>
      <c r="O1127" s="5" t="str">
        <f>IF(Table1[[#This Row],[Stress_Index]]&gt;=8,"High",IF(N1127&gt;=5,"Medium","Low"))</f>
        <v>High</v>
      </c>
      <c r="P1127" s="3">
        <v>2.82</v>
      </c>
      <c r="Q1127" s="2">
        <v>3.73</v>
      </c>
      <c r="R1127" s="3">
        <v>3.76</v>
      </c>
      <c r="S1127" s="3" t="str">
        <f>IF(Table1[[#This Row],[CGPA]]&gt;=3,"High",IF(R1126&gt;=2,"Medium","Low"))</f>
        <v>High</v>
      </c>
      <c r="T1127" s="2" t="s">
        <v>10</v>
      </c>
      <c r="U1127" s="2" t="s">
        <v>14</v>
      </c>
      <c r="V1127" s="2" t="s">
        <v>9</v>
      </c>
      <c r="W1127" s="7">
        <v>0</v>
      </c>
      <c r="X1127" t="str">
        <f t="shared" si="35"/>
        <v>Active</v>
      </c>
    </row>
    <row r="1128" spans="1:24" x14ac:dyDescent="0.3">
      <c r="A1128" s="2">
        <v>1127</v>
      </c>
      <c r="B1128" s="7">
        <v>21.7</v>
      </c>
      <c r="C1128" s="2" t="s">
        <v>11</v>
      </c>
      <c r="D1128" s="7">
        <f>IF(ISBLANK('Raw sheet'!D1128),AVERAGE('Raw sheet'!$D$2:'Raw sheet'!$D$1500),'Raw sheet'!D1128)</f>
        <v>25000</v>
      </c>
      <c r="E1128" s="7" t="str">
        <f>IF(Table1[[#This Row],[Family_Income]]&gt;=100000,"Upper",IF(D1128&gt;=50000,"Middle","Lower"))</f>
        <v>Lower</v>
      </c>
      <c r="F1128" s="2" t="s">
        <v>4</v>
      </c>
      <c r="G1128" s="3">
        <f>IF(ISBLANK('Raw sheet'!F1128),AVERAGE('Raw sheet'!$F$2:'Raw sheet'!$F$1500),'Raw sheet'!F1128)</f>
        <v>3.87</v>
      </c>
      <c r="H1128" s="18">
        <v>90.8</v>
      </c>
      <c r="I1128" s="9" t="str">
        <f t="shared" si="34"/>
        <v>Good</v>
      </c>
      <c r="J1128" s="2">
        <v>5</v>
      </c>
      <c r="K1128" s="2">
        <v>34.9</v>
      </c>
      <c r="L1128" s="2" t="s">
        <v>4</v>
      </c>
      <c r="M1128" s="2" t="s">
        <v>3</v>
      </c>
      <c r="N1128" s="5">
        <f>IF(ISBLANK('Raw sheet'!L1128),AVERAGE('Raw sheet'!$L$2:'Raw sheet'!$L$1500),'Raw sheet'!L1128)</f>
        <v>8</v>
      </c>
      <c r="O1128" s="5" t="str">
        <f>IF(Table1[[#This Row],[Stress_Index]]&gt;=8,"High",IF(N1128&gt;=5,"Medium","Low"))</f>
        <v>High</v>
      </c>
      <c r="P1128" s="3">
        <v>1.1299999999999999</v>
      </c>
      <c r="Q1128" s="2">
        <v>1.17</v>
      </c>
      <c r="R1128" s="3">
        <v>1.23</v>
      </c>
      <c r="S1128" s="3" t="str">
        <f>IF(Table1[[#This Row],[CGPA]]&gt;=3,"High",IF(R1127&gt;=2,"Medium","Low"))</f>
        <v>Medium</v>
      </c>
      <c r="T1128" s="2" t="s">
        <v>7</v>
      </c>
      <c r="U1128" s="2" t="s">
        <v>6</v>
      </c>
      <c r="V1128" s="2" t="s">
        <v>16</v>
      </c>
      <c r="W1128" s="7">
        <v>0</v>
      </c>
      <c r="X1128" t="str">
        <f t="shared" si="35"/>
        <v>Active</v>
      </c>
    </row>
    <row r="1129" spans="1:24" x14ac:dyDescent="0.3">
      <c r="A1129" s="2">
        <v>1128</v>
      </c>
      <c r="B1129" s="7">
        <v>19.3</v>
      </c>
      <c r="C1129" s="2" t="s">
        <v>11</v>
      </c>
      <c r="D1129" s="7">
        <f>IF(ISBLANK('Raw sheet'!D1129),AVERAGE('Raw sheet'!$D$2:'Raw sheet'!$D$1500),'Raw sheet'!D1129)</f>
        <v>25000</v>
      </c>
      <c r="E1129" s="7" t="str">
        <f>IF(Table1[[#This Row],[Family_Income]]&gt;=100000,"Upper",IF(D1129&gt;=50000,"Middle","Lower"))</f>
        <v>Lower</v>
      </c>
      <c r="F1129" s="2" t="s">
        <v>3</v>
      </c>
      <c r="G1129" s="3">
        <f>IF(ISBLANK('Raw sheet'!F1129),AVERAGE('Raw sheet'!$F$2:'Raw sheet'!$F$1500),'Raw sheet'!F1129)</f>
        <v>2.35</v>
      </c>
      <c r="H1129" s="18">
        <v>83</v>
      </c>
      <c r="I1129" s="9" t="str">
        <f t="shared" si="34"/>
        <v>Good</v>
      </c>
      <c r="J1129" s="2">
        <v>1</v>
      </c>
      <c r="K1129" s="2">
        <v>21.1</v>
      </c>
      <c r="L1129" s="2" t="s">
        <v>3</v>
      </c>
      <c r="M1129" s="2" t="s">
        <v>3</v>
      </c>
      <c r="N1129" s="5">
        <f>IF(ISBLANK('Raw sheet'!L1129),AVERAGE('Raw sheet'!$L$2:'Raw sheet'!$L$1500),'Raw sheet'!L1129)</f>
        <v>5.3</v>
      </c>
      <c r="O1129" s="5" t="str">
        <f>IF(Table1[[#This Row],[Stress_Index]]&gt;=8,"High",IF(N1129&gt;=5,"Medium","Low"))</f>
        <v>Medium</v>
      </c>
      <c r="P1129" s="3">
        <v>1.53</v>
      </c>
      <c r="Q1129" s="2">
        <v>1.04</v>
      </c>
      <c r="R1129" s="3">
        <v>1.05</v>
      </c>
      <c r="S1129" s="3" t="str">
        <f>IF(Table1[[#This Row],[CGPA]]&gt;=3,"High",IF(R1128&gt;=2,"Medium","Low"))</f>
        <v>Low</v>
      </c>
      <c r="T1129" s="2" t="s">
        <v>7</v>
      </c>
      <c r="U1129" s="2" t="s">
        <v>1</v>
      </c>
      <c r="V1129" s="2" t="s">
        <v>16</v>
      </c>
      <c r="W1129" s="7">
        <v>1</v>
      </c>
      <c r="X1129" t="str">
        <f t="shared" si="35"/>
        <v>Dropped Out</v>
      </c>
    </row>
    <row r="1130" spans="1:24" x14ac:dyDescent="0.3">
      <c r="A1130" s="2">
        <v>1129</v>
      </c>
      <c r="B1130" s="7">
        <v>20.9</v>
      </c>
      <c r="C1130" s="2" t="s">
        <v>11</v>
      </c>
      <c r="D1130" s="7">
        <f>IF(ISBLANK('Raw sheet'!D1130),AVERAGE('Raw sheet'!$D$2:'Raw sheet'!$D$1500),'Raw sheet'!D1130)</f>
        <v>29814</v>
      </c>
      <c r="E1130" s="7" t="str">
        <f>IF(Table1[[#This Row],[Family_Income]]&gt;=100000,"Upper",IF(D1130&gt;=50000,"Middle","Lower"))</f>
        <v>Lower</v>
      </c>
      <c r="F1130" s="2" t="s">
        <v>4</v>
      </c>
      <c r="G1130" s="3">
        <f>IF(ISBLANK('Raw sheet'!F1130),AVERAGE('Raw sheet'!$F$2:'Raw sheet'!$F$1500),'Raw sheet'!F1130)</f>
        <v>2.74</v>
      </c>
      <c r="H1130" s="18">
        <v>88.3</v>
      </c>
      <c r="I1130" s="9" t="str">
        <f t="shared" si="34"/>
        <v>Good</v>
      </c>
      <c r="J1130" s="2">
        <v>1</v>
      </c>
      <c r="K1130" s="2">
        <v>44.5</v>
      </c>
      <c r="L1130" s="2" t="s">
        <v>3</v>
      </c>
      <c r="M1130" s="2" t="s">
        <v>3</v>
      </c>
      <c r="N1130" s="5">
        <f>IF(ISBLANK('Raw sheet'!L1130),AVERAGE('Raw sheet'!$L$2:'Raw sheet'!$L$1500),'Raw sheet'!L1130)</f>
        <v>3.1</v>
      </c>
      <c r="O1130" s="5" t="str">
        <f>IF(Table1[[#This Row],[Stress_Index]]&gt;=8,"High",IF(N1130&gt;=5,"Medium","Low"))</f>
        <v>Low</v>
      </c>
      <c r="P1130" s="3">
        <v>2.27</v>
      </c>
      <c r="Q1130" s="2">
        <v>2.04</v>
      </c>
      <c r="R1130" s="3">
        <v>2.0299999999999998</v>
      </c>
      <c r="S1130" s="3" t="str">
        <f>IF(Table1[[#This Row],[CGPA]]&gt;=3,"High",IF(R1129&gt;=2,"Medium","Low"))</f>
        <v>Low</v>
      </c>
      <c r="T1130" s="2" t="s">
        <v>10</v>
      </c>
      <c r="U1130" s="2" t="s">
        <v>6</v>
      </c>
      <c r="V1130" s="2" t="s">
        <v>9</v>
      </c>
      <c r="W1130" s="7">
        <v>0</v>
      </c>
      <c r="X1130" t="str">
        <f t="shared" si="35"/>
        <v>Active</v>
      </c>
    </row>
    <row r="1131" spans="1:24" x14ac:dyDescent="0.3">
      <c r="A1131" s="2">
        <v>1130</v>
      </c>
      <c r="B1131" s="7">
        <v>21.7</v>
      </c>
      <c r="C1131" s="2" t="s">
        <v>11</v>
      </c>
      <c r="D1131" s="7">
        <f>IF(ISBLANK('Raw sheet'!D1131),AVERAGE('Raw sheet'!$D$2:'Raw sheet'!$D$1500),'Raw sheet'!D1131)</f>
        <v>45181</v>
      </c>
      <c r="E1131" s="7" t="str">
        <f>IF(Table1[[#This Row],[Family_Income]]&gt;=100000,"Upper",IF(D1131&gt;=50000,"Middle","Lower"))</f>
        <v>Lower</v>
      </c>
      <c r="F1131" s="2" t="s">
        <v>4</v>
      </c>
      <c r="G1131" s="3">
        <f>IF(ISBLANK('Raw sheet'!F1131),AVERAGE('Raw sheet'!$F$2:'Raw sheet'!$F$1500),'Raw sheet'!F1131)</f>
        <v>3.91</v>
      </c>
      <c r="H1131" s="18">
        <v>75</v>
      </c>
      <c r="I1131" s="9" t="str">
        <f t="shared" si="34"/>
        <v>Good</v>
      </c>
      <c r="J1131" s="2">
        <v>4</v>
      </c>
      <c r="K1131" s="2">
        <v>52.4</v>
      </c>
      <c r="L1131" s="2" t="s">
        <v>4</v>
      </c>
      <c r="M1131" s="2" t="s">
        <v>3</v>
      </c>
      <c r="N1131" s="5">
        <f>IF(ISBLANK('Raw sheet'!L1131),AVERAGE('Raw sheet'!$L$2:'Raw sheet'!$L$1500),'Raw sheet'!L1131)</f>
        <v>2.4</v>
      </c>
      <c r="O1131" s="5" t="str">
        <f>IF(Table1[[#This Row],[Stress_Index]]&gt;=8,"High",IF(N1131&gt;=5,"Medium","Low"))</f>
        <v>Low</v>
      </c>
      <c r="P1131" s="3">
        <v>2.7</v>
      </c>
      <c r="Q1131" s="2">
        <v>3.26</v>
      </c>
      <c r="R1131" s="3">
        <v>3.3</v>
      </c>
      <c r="S1131" s="3" t="str">
        <f>IF(Table1[[#This Row],[CGPA]]&gt;=3,"High",IF(R1130&gt;=2,"Medium","Low"))</f>
        <v>High</v>
      </c>
      <c r="T1131" s="2" t="s">
        <v>12</v>
      </c>
      <c r="U1131" s="2" t="s">
        <v>8</v>
      </c>
      <c r="V1131" s="2" t="s">
        <v>9</v>
      </c>
      <c r="W1131" s="7">
        <v>0</v>
      </c>
      <c r="X1131" t="str">
        <f t="shared" si="35"/>
        <v>Active</v>
      </c>
    </row>
    <row r="1132" spans="1:24" x14ac:dyDescent="0.3">
      <c r="A1132" s="2">
        <v>1131</v>
      </c>
      <c r="B1132" s="7">
        <v>21.7</v>
      </c>
      <c r="C1132" s="2" t="s">
        <v>11</v>
      </c>
      <c r="D1132" s="7">
        <f>IF(ISBLANK('Raw sheet'!D1132),AVERAGE('Raw sheet'!$D$2:'Raw sheet'!$D$1500),'Raw sheet'!D1132)</f>
        <v>25000</v>
      </c>
      <c r="E1132" s="7" t="str">
        <f>IF(Table1[[#This Row],[Family_Income]]&gt;=100000,"Upper",IF(D1132&gt;=50000,"Middle","Lower"))</f>
        <v>Lower</v>
      </c>
      <c r="F1132" s="2" t="s">
        <v>4</v>
      </c>
      <c r="G1132" s="3">
        <f>IF(ISBLANK('Raw sheet'!F1132),AVERAGE('Raw sheet'!$F$2:'Raw sheet'!$F$1500),'Raw sheet'!F1132)</f>
        <v>2.91</v>
      </c>
      <c r="H1132" s="18">
        <v>88.1</v>
      </c>
      <c r="I1132" s="9" t="str">
        <f t="shared" si="34"/>
        <v>Good</v>
      </c>
      <c r="J1132" s="2">
        <v>0</v>
      </c>
      <c r="K1132" s="2">
        <v>5</v>
      </c>
      <c r="L1132" s="2" t="s">
        <v>3</v>
      </c>
      <c r="M1132" s="2" t="s">
        <v>3</v>
      </c>
      <c r="N1132" s="5">
        <f>IF(ISBLANK('Raw sheet'!L1132),AVERAGE('Raw sheet'!$L$2:'Raw sheet'!$L$1500),'Raw sheet'!L1132)</f>
        <v>4.7</v>
      </c>
      <c r="O1132" s="5" t="str">
        <f>IF(Table1[[#This Row],[Stress_Index]]&gt;=8,"High",IF(N1132&gt;=5,"Medium","Low"))</f>
        <v>Low</v>
      </c>
      <c r="P1132" s="3">
        <v>1.53</v>
      </c>
      <c r="Q1132" s="2">
        <v>1.44</v>
      </c>
      <c r="R1132" s="3">
        <v>1.46</v>
      </c>
      <c r="S1132" s="3" t="str">
        <f>IF(Table1[[#This Row],[CGPA]]&gt;=3,"High",IF(R1131&gt;=2,"Medium","Low"))</f>
        <v>Medium</v>
      </c>
      <c r="T1132" s="2" t="s">
        <v>10</v>
      </c>
      <c r="U1132" s="2" t="s">
        <v>14</v>
      </c>
      <c r="V1132" s="2" t="s">
        <v>15</v>
      </c>
      <c r="W1132" s="7">
        <v>0</v>
      </c>
      <c r="X1132" t="str">
        <f t="shared" si="35"/>
        <v>Active</v>
      </c>
    </row>
    <row r="1133" spans="1:24" x14ac:dyDescent="0.3">
      <c r="A1133" s="2">
        <v>1132</v>
      </c>
      <c r="B1133" s="7">
        <v>21.9</v>
      </c>
      <c r="C1133" s="2" t="s">
        <v>11</v>
      </c>
      <c r="D1133" s="7">
        <f>IF(ISBLANK('Raw sheet'!D1133),AVERAGE('Raw sheet'!$D$2:'Raw sheet'!$D$1500),'Raw sheet'!D1133)</f>
        <v>29076</v>
      </c>
      <c r="E1133" s="7" t="str">
        <f>IF(Table1[[#This Row],[Family_Income]]&gt;=100000,"Upper",IF(D1133&gt;=50000,"Middle","Lower"))</f>
        <v>Lower</v>
      </c>
      <c r="F1133" s="2" t="s">
        <v>4</v>
      </c>
      <c r="G1133" s="3">
        <f>IF(ISBLANK('Raw sheet'!F1133),AVERAGE('Raw sheet'!$F$2:'Raw sheet'!$F$1500),'Raw sheet'!F1133)</f>
        <v>2.1</v>
      </c>
      <c r="H1133" s="18">
        <v>76.900000000000006</v>
      </c>
      <c r="I1133" s="9" t="str">
        <f t="shared" si="34"/>
        <v>Good</v>
      </c>
      <c r="J1133" s="2">
        <v>0</v>
      </c>
      <c r="K1133" s="2">
        <v>36.200000000000003</v>
      </c>
      <c r="L1133" s="2" t="s">
        <v>4</v>
      </c>
      <c r="M1133" s="2" t="s">
        <v>3</v>
      </c>
      <c r="N1133" s="5">
        <f>IF(ISBLANK('Raw sheet'!L1133),AVERAGE('Raw sheet'!$L$2:'Raw sheet'!$L$1500),'Raw sheet'!L1133)</f>
        <v>1.4</v>
      </c>
      <c r="O1133" s="5" t="str">
        <f>IF(Table1[[#This Row],[Stress_Index]]&gt;=8,"High",IF(N1133&gt;=5,"Medium","Low"))</f>
        <v>Low</v>
      </c>
      <c r="P1133" s="3">
        <v>3.2</v>
      </c>
      <c r="Q1133" s="2">
        <v>3</v>
      </c>
      <c r="R1133" s="3">
        <v>3</v>
      </c>
      <c r="S1133" s="3" t="str">
        <f>IF(Table1[[#This Row],[CGPA]]&gt;=3,"High",IF(R1132&gt;=2,"Medium","Low"))</f>
        <v>High</v>
      </c>
      <c r="T1133" s="2" t="s">
        <v>10</v>
      </c>
      <c r="U1133" s="2" t="s">
        <v>1</v>
      </c>
      <c r="V1133" s="2" t="s">
        <v>15</v>
      </c>
      <c r="W1133" s="7">
        <v>0</v>
      </c>
      <c r="X1133" t="str">
        <f t="shared" si="35"/>
        <v>Active</v>
      </c>
    </row>
    <row r="1134" spans="1:24" x14ac:dyDescent="0.3">
      <c r="A1134" s="2">
        <v>1133</v>
      </c>
      <c r="B1134" s="7">
        <v>24.6</v>
      </c>
      <c r="C1134" s="2" t="s">
        <v>11</v>
      </c>
      <c r="D1134" s="7">
        <f>IF(ISBLANK('Raw sheet'!D1134),AVERAGE('Raw sheet'!$D$2:'Raw sheet'!$D$1500),'Raw sheet'!D1134)</f>
        <v>25000</v>
      </c>
      <c r="E1134" s="7" t="str">
        <f>IF(Table1[[#This Row],[Family_Income]]&gt;=100000,"Upper",IF(D1134&gt;=50000,"Middle","Lower"))</f>
        <v>Lower</v>
      </c>
      <c r="F1134" s="2" t="s">
        <v>4</v>
      </c>
      <c r="G1134" s="3">
        <f>IF(ISBLANK('Raw sheet'!F1134),AVERAGE('Raw sheet'!$F$2:'Raw sheet'!$F$1500),'Raw sheet'!F1134)</f>
        <v>2.0299999999999998</v>
      </c>
      <c r="H1134" s="18">
        <v>83.8</v>
      </c>
      <c r="I1134" s="9" t="str">
        <f t="shared" si="34"/>
        <v>Good</v>
      </c>
      <c r="J1134" s="2">
        <v>2</v>
      </c>
      <c r="K1134" s="2">
        <v>5.3</v>
      </c>
      <c r="L1134" s="2" t="s">
        <v>4</v>
      </c>
      <c r="M1134" s="2" t="s">
        <v>3</v>
      </c>
      <c r="N1134" s="5">
        <f>IF(ISBLANK('Raw sheet'!L1134),AVERAGE('Raw sheet'!$L$2:'Raw sheet'!$L$1500),'Raw sheet'!L1134)</f>
        <v>4.7</v>
      </c>
      <c r="O1134" s="5" t="str">
        <f>IF(Table1[[#This Row],[Stress_Index]]&gt;=8,"High",IF(N1134&gt;=5,"Medium","Low"))</f>
        <v>Low</v>
      </c>
      <c r="P1134" s="3">
        <v>2.84</v>
      </c>
      <c r="Q1134" s="2">
        <v>2.4700000000000002</v>
      </c>
      <c r="R1134" s="3">
        <v>2.42</v>
      </c>
      <c r="S1134" s="3" t="str">
        <f>IF(Table1[[#This Row],[CGPA]]&gt;=3,"High",IF(R1133&gt;=2,"Medium","Low"))</f>
        <v>Medium</v>
      </c>
      <c r="T1134" s="2" t="s">
        <v>7</v>
      </c>
      <c r="U1134" s="2" t="s">
        <v>14</v>
      </c>
      <c r="V1134" s="2" t="s">
        <v>9</v>
      </c>
      <c r="W1134" s="7">
        <v>0</v>
      </c>
      <c r="X1134" t="str">
        <f t="shared" si="35"/>
        <v>Active</v>
      </c>
    </row>
    <row r="1135" spans="1:24" x14ac:dyDescent="0.3">
      <c r="A1135" s="2">
        <v>1134</v>
      </c>
      <c r="B1135" s="7">
        <v>22</v>
      </c>
      <c r="C1135" s="2" t="s">
        <v>5</v>
      </c>
      <c r="D1135" s="7">
        <f>IF(ISBLANK('Raw sheet'!D1135),AVERAGE('Raw sheet'!$D$2:'Raw sheet'!$D$1500),'Raw sheet'!D1135)</f>
        <v>33712</v>
      </c>
      <c r="E1135" s="7" t="str">
        <f>IF(Table1[[#This Row],[Family_Income]]&gt;=100000,"Upper",IF(D1135&gt;=50000,"Middle","Lower"))</f>
        <v>Lower</v>
      </c>
      <c r="F1135" s="2" t="s">
        <v>4</v>
      </c>
      <c r="G1135" s="3">
        <f>IF(ISBLANK('Raw sheet'!F1135),AVERAGE('Raw sheet'!$F$2:'Raw sheet'!$F$1500),'Raw sheet'!F1135)</f>
        <v>4.9000000000000004</v>
      </c>
      <c r="H1135" s="18">
        <v>81.8</v>
      </c>
      <c r="I1135" s="9" t="str">
        <f t="shared" si="34"/>
        <v>Good</v>
      </c>
      <c r="J1135" s="2">
        <v>2</v>
      </c>
      <c r="K1135" s="2">
        <v>13.7</v>
      </c>
      <c r="L1135" s="2" t="s">
        <v>3</v>
      </c>
      <c r="M1135" s="2" t="s">
        <v>4</v>
      </c>
      <c r="N1135" s="5">
        <f>IF(ISBLANK('Raw sheet'!L1135),AVERAGE('Raw sheet'!$L$2:'Raw sheet'!$L$1500),'Raw sheet'!L1135)</f>
        <v>1.9</v>
      </c>
      <c r="O1135" s="5" t="str">
        <f>IF(Table1[[#This Row],[Stress_Index]]&gt;=8,"High",IF(N1135&gt;=5,"Medium","Low"))</f>
        <v>Low</v>
      </c>
      <c r="P1135" s="3">
        <v>3.17</v>
      </c>
      <c r="Q1135" s="2">
        <v>3.61</v>
      </c>
      <c r="R1135" s="3">
        <v>3.68</v>
      </c>
      <c r="S1135" s="3" t="str">
        <f>IF(Table1[[#This Row],[CGPA]]&gt;=3,"High",IF(R1134&gt;=2,"Medium","Low"))</f>
        <v>High</v>
      </c>
      <c r="T1135" s="2" t="s">
        <v>12</v>
      </c>
      <c r="U1135" s="2" t="s">
        <v>8</v>
      </c>
      <c r="V1135" s="2" t="s">
        <v>16</v>
      </c>
      <c r="W1135" s="7">
        <v>0</v>
      </c>
      <c r="X1135" t="str">
        <f t="shared" si="35"/>
        <v>Active</v>
      </c>
    </row>
    <row r="1136" spans="1:24" x14ac:dyDescent="0.3">
      <c r="A1136" s="2">
        <v>1135</v>
      </c>
      <c r="B1136" s="7">
        <v>20.5</v>
      </c>
      <c r="C1136" s="2" t="s">
        <v>11</v>
      </c>
      <c r="D1136" s="7">
        <f>IF(ISBLANK('Raw sheet'!D1136),AVERAGE('Raw sheet'!$D$2:'Raw sheet'!$D$1500),'Raw sheet'!D1136)</f>
        <v>25000</v>
      </c>
      <c r="E1136" s="7" t="str">
        <f>IF(Table1[[#This Row],[Family_Income]]&gt;=100000,"Upper",IF(D1136&gt;=50000,"Middle","Lower"))</f>
        <v>Lower</v>
      </c>
      <c r="F1136" s="2" t="s">
        <v>4</v>
      </c>
      <c r="G1136" s="3">
        <f>IF(ISBLANK('Raw sheet'!F1136),AVERAGE('Raw sheet'!$F$2:'Raw sheet'!$F$1500),'Raw sheet'!F1136)</f>
        <v>4.46</v>
      </c>
      <c r="H1136" s="18">
        <v>91.5</v>
      </c>
      <c r="I1136" s="9" t="str">
        <f t="shared" si="34"/>
        <v>Good</v>
      </c>
      <c r="J1136" s="2">
        <v>3</v>
      </c>
      <c r="K1136" s="2">
        <v>35.700000000000003</v>
      </c>
      <c r="L1136" s="2" t="s">
        <v>4</v>
      </c>
      <c r="M1136" s="2" t="s">
        <v>3</v>
      </c>
      <c r="N1136" s="5">
        <f>IF(ISBLANK('Raw sheet'!L1136),AVERAGE('Raw sheet'!$L$2:'Raw sheet'!$L$1500),'Raw sheet'!L1136)</f>
        <v>5.3</v>
      </c>
      <c r="O1136" s="5" t="str">
        <f>IF(Table1[[#This Row],[Stress_Index]]&gt;=8,"High",IF(N1136&gt;=5,"Medium","Low"))</f>
        <v>Medium</v>
      </c>
      <c r="P1136" s="3">
        <v>2.98</v>
      </c>
      <c r="Q1136" s="2">
        <v>2.95</v>
      </c>
      <c r="R1136" s="3">
        <v>3.01</v>
      </c>
      <c r="S1136" s="3" t="str">
        <f>IF(Table1[[#This Row],[CGPA]]&gt;=3,"High",IF(R1135&gt;=2,"Medium","Low"))</f>
        <v>High</v>
      </c>
      <c r="T1136" s="2" t="s">
        <v>7</v>
      </c>
      <c r="U1136" s="2" t="s">
        <v>6</v>
      </c>
      <c r="V1136" s="2" t="s">
        <v>15</v>
      </c>
      <c r="W1136" s="7">
        <v>0</v>
      </c>
      <c r="X1136" t="str">
        <f t="shared" si="35"/>
        <v>Active</v>
      </c>
    </row>
    <row r="1137" spans="1:24" x14ac:dyDescent="0.3">
      <c r="A1137" s="2">
        <v>1136</v>
      </c>
      <c r="B1137" s="7">
        <v>23.1</v>
      </c>
      <c r="C1137" s="2" t="s">
        <v>5</v>
      </c>
      <c r="D1137" s="7">
        <f>IF(ISBLANK('Raw sheet'!D1137),AVERAGE('Raw sheet'!$D$2:'Raw sheet'!$D$1500),'Raw sheet'!D1137)</f>
        <v>25000</v>
      </c>
      <c r="E1137" s="7" t="str">
        <f>IF(Table1[[#This Row],[Family_Income]]&gt;=100000,"Upper",IF(D1137&gt;=50000,"Middle","Lower"))</f>
        <v>Lower</v>
      </c>
      <c r="F1137" s="2" t="s">
        <v>3</v>
      </c>
      <c r="G1137" s="3">
        <f>IF(ISBLANK('Raw sheet'!F1137),AVERAGE('Raw sheet'!$F$2:'Raw sheet'!$F$1500),'Raw sheet'!F1137)</f>
        <v>4.1900000000000004</v>
      </c>
      <c r="H1137" s="18">
        <v>88.7</v>
      </c>
      <c r="I1137" s="9" t="str">
        <f t="shared" si="34"/>
        <v>Good</v>
      </c>
      <c r="J1137" s="2">
        <v>1</v>
      </c>
      <c r="K1137" s="2">
        <v>18.7</v>
      </c>
      <c r="L1137" s="2" t="s">
        <v>3</v>
      </c>
      <c r="M1137" s="2" t="s">
        <v>3</v>
      </c>
      <c r="N1137" s="5">
        <f>IF(ISBLANK('Raw sheet'!L1137),AVERAGE('Raw sheet'!$L$2:'Raw sheet'!$L$1500),'Raw sheet'!L1137)</f>
        <v>5.9</v>
      </c>
      <c r="O1137" s="5" t="str">
        <f>IF(Table1[[#This Row],[Stress_Index]]&gt;=8,"High",IF(N1137&gt;=5,"Medium","Low"))</f>
        <v>Medium</v>
      </c>
      <c r="P1137" s="3">
        <v>2.4</v>
      </c>
      <c r="Q1137" s="2">
        <v>2.14</v>
      </c>
      <c r="R1137" s="3">
        <v>2.14</v>
      </c>
      <c r="S1137" s="3" t="str">
        <f>IF(Table1[[#This Row],[CGPA]]&gt;=3,"High",IF(R1136&gt;=2,"Medium","Low"))</f>
        <v>Medium</v>
      </c>
      <c r="T1137" s="2" t="s">
        <v>12</v>
      </c>
      <c r="U1137" s="2" t="s">
        <v>6</v>
      </c>
      <c r="V1137" s="2" t="s">
        <v>15</v>
      </c>
      <c r="W1137" s="7">
        <v>0</v>
      </c>
      <c r="X1137" t="str">
        <f t="shared" si="35"/>
        <v>Active</v>
      </c>
    </row>
    <row r="1138" spans="1:24" x14ac:dyDescent="0.3">
      <c r="A1138" s="2">
        <v>1137</v>
      </c>
      <c r="B1138" s="7">
        <v>23.6</v>
      </c>
      <c r="C1138" s="2" t="s">
        <v>11</v>
      </c>
      <c r="D1138" s="7">
        <f>IF(ISBLANK('Raw sheet'!D1138),AVERAGE('Raw sheet'!$D$2:'Raw sheet'!$D$1500),'Raw sheet'!D1138)</f>
        <v>25000</v>
      </c>
      <c r="E1138" s="7" t="str">
        <f>IF(Table1[[#This Row],[Family_Income]]&gt;=100000,"Upper",IF(D1138&gt;=50000,"Middle","Lower"))</f>
        <v>Lower</v>
      </c>
      <c r="F1138" s="2" t="s">
        <v>4</v>
      </c>
      <c r="G1138" s="3">
        <f>IF(ISBLANK('Raw sheet'!F1138),AVERAGE('Raw sheet'!$F$2:'Raw sheet'!$F$1500),'Raw sheet'!F1138)</f>
        <v>3.57</v>
      </c>
      <c r="H1138" s="18">
        <v>67.900000000000006</v>
      </c>
      <c r="I1138" s="9" t="str">
        <f t="shared" si="34"/>
        <v>Low</v>
      </c>
      <c r="J1138" s="2">
        <v>0</v>
      </c>
      <c r="K1138" s="2">
        <v>33.1</v>
      </c>
      <c r="L1138" s="2" t="s">
        <v>4</v>
      </c>
      <c r="M1138" s="2" t="s">
        <v>4</v>
      </c>
      <c r="N1138" s="5">
        <f>IF(ISBLANK('Raw sheet'!L1138),AVERAGE('Raw sheet'!$L$2:'Raw sheet'!$L$1500),'Raw sheet'!L1138)</f>
        <v>5.2</v>
      </c>
      <c r="O1138" s="5" t="str">
        <f>IF(Table1[[#This Row],[Stress_Index]]&gt;=8,"High",IF(N1138&gt;=5,"Medium","Low"))</f>
        <v>Medium</v>
      </c>
      <c r="P1138" s="3">
        <v>1.21</v>
      </c>
      <c r="Q1138" s="2">
        <v>1.29</v>
      </c>
      <c r="R1138" s="3">
        <v>1.32</v>
      </c>
      <c r="S1138" s="3" t="str">
        <f>IF(Table1[[#This Row],[CGPA]]&gt;=3,"High",IF(R1137&gt;=2,"Medium","Low"))</f>
        <v>Medium</v>
      </c>
      <c r="T1138" s="2" t="s">
        <v>12</v>
      </c>
      <c r="U1138" s="2" t="s">
        <v>8</v>
      </c>
      <c r="V1138" s="2" t="s">
        <v>15</v>
      </c>
      <c r="W1138" s="7">
        <v>1</v>
      </c>
      <c r="X1138" t="str">
        <f t="shared" si="35"/>
        <v>Dropped Out</v>
      </c>
    </row>
    <row r="1139" spans="1:24" x14ac:dyDescent="0.3">
      <c r="A1139" s="2">
        <v>1138</v>
      </c>
      <c r="B1139" s="7">
        <v>18.3</v>
      </c>
      <c r="C1139" s="2" t="s">
        <v>5</v>
      </c>
      <c r="D1139" s="7">
        <f>IF(ISBLANK('Raw sheet'!D1139),AVERAGE('Raw sheet'!$D$2:'Raw sheet'!$D$1500),'Raw sheet'!D1139)</f>
        <v>40215</v>
      </c>
      <c r="E1139" s="7" t="str">
        <f>IF(Table1[[#This Row],[Family_Income]]&gt;=100000,"Upper",IF(D1139&gt;=50000,"Middle","Lower"))</f>
        <v>Lower</v>
      </c>
      <c r="F1139" s="2" t="s">
        <v>4</v>
      </c>
      <c r="G1139" s="3">
        <f>IF(ISBLANK('Raw sheet'!F1139),AVERAGE('Raw sheet'!$F$2:'Raw sheet'!$F$1500),'Raw sheet'!F1139)</f>
        <v>3.24</v>
      </c>
      <c r="H1139" s="18">
        <v>75.5</v>
      </c>
      <c r="I1139" s="9" t="str">
        <f t="shared" si="34"/>
        <v>Good</v>
      </c>
      <c r="J1139" s="2">
        <v>1</v>
      </c>
      <c r="K1139" s="2">
        <v>30.4</v>
      </c>
      <c r="L1139" s="2" t="s">
        <v>3</v>
      </c>
      <c r="M1139" s="2" t="s">
        <v>3</v>
      </c>
      <c r="N1139" s="5">
        <f>IF(ISBLANK('Raw sheet'!L1139),AVERAGE('Raw sheet'!$L$2:'Raw sheet'!$L$1500),'Raw sheet'!L1139)</f>
        <v>9.4</v>
      </c>
      <c r="O1139" s="5" t="str">
        <f>IF(Table1[[#This Row],[Stress_Index]]&gt;=8,"High",IF(N1139&gt;=5,"Medium","Low"))</f>
        <v>High</v>
      </c>
      <c r="P1139" s="3">
        <v>1.36</v>
      </c>
      <c r="Q1139" s="2">
        <v>0.27</v>
      </c>
      <c r="R1139" s="3">
        <v>0.24</v>
      </c>
      <c r="S1139" s="3" t="str">
        <f>IF(Table1[[#This Row],[CGPA]]&gt;=3,"High",IF(R1138&gt;=2,"Medium","Low"))</f>
        <v>Low</v>
      </c>
      <c r="T1139" s="2" t="s">
        <v>7</v>
      </c>
      <c r="U1139" s="2" t="s">
        <v>6</v>
      </c>
      <c r="V1139" s="2" t="s">
        <v>9</v>
      </c>
      <c r="W1139" s="7">
        <v>0</v>
      </c>
      <c r="X1139" t="str">
        <f t="shared" si="35"/>
        <v>Active</v>
      </c>
    </row>
    <row r="1140" spans="1:24" x14ac:dyDescent="0.3">
      <c r="A1140" s="2">
        <v>1139</v>
      </c>
      <c r="B1140" s="7">
        <v>22.3</v>
      </c>
      <c r="C1140" s="2" t="s">
        <v>5</v>
      </c>
      <c r="D1140" s="7">
        <f>IF(ISBLANK('Raw sheet'!D1140),AVERAGE('Raw sheet'!$D$2:'Raw sheet'!$D$1500),'Raw sheet'!D1140)</f>
        <v>28056</v>
      </c>
      <c r="E1140" s="7" t="str">
        <f>IF(Table1[[#This Row],[Family_Income]]&gt;=100000,"Upper",IF(D1140&gt;=50000,"Middle","Lower"))</f>
        <v>Lower</v>
      </c>
      <c r="F1140" s="2" t="s">
        <v>4</v>
      </c>
      <c r="G1140" s="3">
        <f>IF(ISBLANK('Raw sheet'!F1140),AVERAGE('Raw sheet'!$F$2:'Raw sheet'!$F$1500),'Raw sheet'!F1140)</f>
        <v>1.38</v>
      </c>
      <c r="H1140" s="18">
        <v>76.900000000000006</v>
      </c>
      <c r="I1140" s="9" t="str">
        <f t="shared" si="34"/>
        <v>Good</v>
      </c>
      <c r="J1140" s="2">
        <v>4</v>
      </c>
      <c r="K1140" s="2">
        <v>10.199999999999999</v>
      </c>
      <c r="L1140" s="2" t="s">
        <v>3</v>
      </c>
      <c r="M1140" s="2" t="s">
        <v>4</v>
      </c>
      <c r="N1140" s="5">
        <f>IF(ISBLANK('Raw sheet'!L1140),AVERAGE('Raw sheet'!$L$2:'Raw sheet'!$L$1500),'Raw sheet'!L1140)</f>
        <v>5.0999999999999996</v>
      </c>
      <c r="O1140" s="5" t="str">
        <f>IF(Table1[[#This Row],[Stress_Index]]&gt;=8,"High",IF(N1140&gt;=5,"Medium","Low"))</f>
        <v>Medium</v>
      </c>
      <c r="P1140" s="3">
        <v>1.5</v>
      </c>
      <c r="Q1140" s="2">
        <v>0.85</v>
      </c>
      <c r="R1140" s="3">
        <v>0.73</v>
      </c>
      <c r="S1140" s="3" t="str">
        <f>IF(Table1[[#This Row],[CGPA]]&gt;=3,"High",IF(R1139&gt;=2,"Medium","Low"))</f>
        <v>Low</v>
      </c>
      <c r="T1140" s="2" t="s">
        <v>7</v>
      </c>
      <c r="U1140" s="2" t="s">
        <v>13</v>
      </c>
      <c r="V1140" s="2" t="s">
        <v>9</v>
      </c>
      <c r="W1140" s="7">
        <v>1</v>
      </c>
      <c r="X1140" t="str">
        <f t="shared" si="35"/>
        <v>Dropped Out</v>
      </c>
    </row>
    <row r="1141" spans="1:24" x14ac:dyDescent="0.3">
      <c r="A1141" s="2">
        <v>1140</v>
      </c>
      <c r="B1141" s="7">
        <v>22.5</v>
      </c>
      <c r="C1141" s="2" t="s">
        <v>5</v>
      </c>
      <c r="D1141" s="7">
        <f>IF(ISBLANK('Raw sheet'!D1141),AVERAGE('Raw sheet'!$D$2:'Raw sheet'!$D$1500),'Raw sheet'!D1141)</f>
        <v>25000</v>
      </c>
      <c r="E1141" s="7" t="str">
        <f>IF(Table1[[#This Row],[Family_Income]]&gt;=100000,"Upper",IF(D1141&gt;=50000,"Middle","Lower"))</f>
        <v>Lower</v>
      </c>
      <c r="F1141" s="2" t="s">
        <v>4</v>
      </c>
      <c r="G1141" s="3">
        <f>IF(ISBLANK('Raw sheet'!F1141),AVERAGE('Raw sheet'!$F$2:'Raw sheet'!$F$1500),'Raw sheet'!F1141)</f>
        <v>4.7699999999999996</v>
      </c>
      <c r="H1141" s="18">
        <v>87.5</v>
      </c>
      <c r="I1141" s="9" t="str">
        <f t="shared" si="34"/>
        <v>Good</v>
      </c>
      <c r="J1141" s="2">
        <v>2</v>
      </c>
      <c r="K1141" s="2">
        <v>37.9</v>
      </c>
      <c r="L1141" s="2" t="s">
        <v>3</v>
      </c>
      <c r="M1141" s="2" t="s">
        <v>3</v>
      </c>
      <c r="N1141" s="5">
        <f>IF(ISBLANK('Raw sheet'!L1141),AVERAGE('Raw sheet'!$L$2:'Raw sheet'!$L$1500),'Raw sheet'!L1141)</f>
        <v>8.6</v>
      </c>
      <c r="O1141" s="5" t="str">
        <f>IF(Table1[[#This Row],[Stress_Index]]&gt;=8,"High",IF(N1141&gt;=5,"Medium","Low"))</f>
        <v>High</v>
      </c>
      <c r="P1141" s="3">
        <v>3.88</v>
      </c>
      <c r="Q1141" s="2">
        <v>3.8</v>
      </c>
      <c r="R1141" s="3">
        <v>3.83</v>
      </c>
      <c r="S1141" s="3" t="str">
        <f>IF(Table1[[#This Row],[CGPA]]&gt;=3,"High",IF(R1140&gt;=2,"Medium","Low"))</f>
        <v>High</v>
      </c>
      <c r="T1141" s="2" t="s">
        <v>12</v>
      </c>
      <c r="U1141" s="2" t="s">
        <v>13</v>
      </c>
      <c r="V1141" s="2" t="s">
        <v>9</v>
      </c>
      <c r="W1141" s="7">
        <v>0</v>
      </c>
      <c r="X1141" t="str">
        <f t="shared" si="35"/>
        <v>Active</v>
      </c>
    </row>
    <row r="1142" spans="1:24" x14ac:dyDescent="0.3">
      <c r="A1142" s="2">
        <v>1141</v>
      </c>
      <c r="B1142" s="7">
        <v>20.3</v>
      </c>
      <c r="C1142" s="2" t="s">
        <v>5</v>
      </c>
      <c r="D1142" s="7">
        <f>IF(ISBLANK('Raw sheet'!D1142),AVERAGE('Raw sheet'!$D$2:'Raw sheet'!$D$1500),'Raw sheet'!D1142)</f>
        <v>34782</v>
      </c>
      <c r="E1142" s="7" t="str">
        <f>IF(Table1[[#This Row],[Family_Income]]&gt;=100000,"Upper",IF(D1142&gt;=50000,"Middle","Lower"))</f>
        <v>Lower</v>
      </c>
      <c r="F1142" s="2" t="s">
        <v>4</v>
      </c>
      <c r="G1142" s="3">
        <f>IF(ISBLANK('Raw sheet'!F1142),AVERAGE('Raw sheet'!$F$2:'Raw sheet'!$F$1500),'Raw sheet'!F1142)</f>
        <v>3.47</v>
      </c>
      <c r="H1142" s="18">
        <v>78</v>
      </c>
      <c r="I1142" s="9" t="str">
        <f t="shared" si="34"/>
        <v>Good</v>
      </c>
      <c r="J1142" s="2">
        <v>0</v>
      </c>
      <c r="K1142" s="2">
        <v>33.6</v>
      </c>
      <c r="L1142" s="2" t="s">
        <v>4</v>
      </c>
      <c r="M1142" s="2" t="s">
        <v>3</v>
      </c>
      <c r="N1142" s="5">
        <f>IF(ISBLANK('Raw sheet'!L1142),AVERAGE('Raw sheet'!$L$2:'Raw sheet'!$L$1500),'Raw sheet'!L1142)</f>
        <v>6</v>
      </c>
      <c r="O1142" s="5" t="str">
        <f>IF(Table1[[#This Row],[Stress_Index]]&gt;=8,"High",IF(N1142&gt;=5,"Medium","Low"))</f>
        <v>Medium</v>
      </c>
      <c r="P1142" s="3">
        <v>0</v>
      </c>
      <c r="Q1142" s="2">
        <v>0</v>
      </c>
      <c r="R1142" s="3">
        <v>0</v>
      </c>
      <c r="S1142" s="3" t="str">
        <f>IF(Table1[[#This Row],[CGPA]]&gt;=3,"High",IF(R1141&gt;=2,"Medium","Low"))</f>
        <v>Medium</v>
      </c>
      <c r="T1142" s="2" t="s">
        <v>12</v>
      </c>
      <c r="U1142" s="2" t="s">
        <v>13</v>
      </c>
      <c r="V1142" s="2" t="s">
        <v>9</v>
      </c>
      <c r="W1142" s="7">
        <v>1</v>
      </c>
      <c r="X1142" t="str">
        <f t="shared" si="35"/>
        <v>Dropped Out</v>
      </c>
    </row>
    <row r="1143" spans="1:24" x14ac:dyDescent="0.3">
      <c r="A1143" s="2">
        <v>1142</v>
      </c>
      <c r="B1143" s="7">
        <v>24</v>
      </c>
      <c r="C1143" s="2" t="s">
        <v>5</v>
      </c>
      <c r="D1143" s="7">
        <f>IF(ISBLANK('Raw sheet'!D1143),AVERAGE('Raw sheet'!$D$2:'Raw sheet'!$D$1500),'Raw sheet'!D1143)</f>
        <v>25000</v>
      </c>
      <c r="E1143" s="7" t="str">
        <f>IF(Table1[[#This Row],[Family_Income]]&gt;=100000,"Upper",IF(D1143&gt;=50000,"Middle","Lower"))</f>
        <v>Lower</v>
      </c>
      <c r="F1143" s="2" t="s">
        <v>3</v>
      </c>
      <c r="G1143" s="3">
        <f>IF(ISBLANK('Raw sheet'!F1143),AVERAGE('Raw sheet'!$F$2:'Raw sheet'!$F$1500),'Raw sheet'!F1143)</f>
        <v>4.8099999999999996</v>
      </c>
      <c r="H1143" s="18">
        <v>73.3</v>
      </c>
      <c r="I1143" s="9" t="str">
        <f t="shared" si="34"/>
        <v>Low</v>
      </c>
      <c r="J1143" s="2">
        <v>1</v>
      </c>
      <c r="K1143" s="2">
        <v>30.5</v>
      </c>
      <c r="L1143" s="2" t="s">
        <v>4</v>
      </c>
      <c r="M1143" s="2" t="s">
        <v>4</v>
      </c>
      <c r="N1143" s="5">
        <f>IF(ISBLANK('Raw sheet'!L1143),AVERAGE('Raw sheet'!$L$2:'Raw sheet'!$L$1500),'Raw sheet'!L1143)</f>
        <v>9.1</v>
      </c>
      <c r="O1143" s="5" t="str">
        <f>IF(Table1[[#This Row],[Stress_Index]]&gt;=8,"High",IF(N1143&gt;=5,"Medium","Low"))</f>
        <v>High</v>
      </c>
      <c r="P1143" s="3">
        <v>0.42</v>
      </c>
      <c r="Q1143" s="2">
        <v>0.46</v>
      </c>
      <c r="R1143" s="3">
        <v>0.46</v>
      </c>
      <c r="S1143" s="3" t="str">
        <f>IF(Table1[[#This Row],[CGPA]]&gt;=3,"High",IF(R1142&gt;=2,"Medium","Low"))</f>
        <v>Low</v>
      </c>
      <c r="T1143" s="2" t="s">
        <v>2</v>
      </c>
      <c r="U1143" s="2" t="s">
        <v>1</v>
      </c>
      <c r="V1143" s="2" t="s">
        <v>0</v>
      </c>
      <c r="W1143" s="7">
        <v>0</v>
      </c>
      <c r="X1143" t="str">
        <f t="shared" si="35"/>
        <v>Active</v>
      </c>
    </row>
    <row r="1144" spans="1:24" x14ac:dyDescent="0.3">
      <c r="A1144" s="2">
        <v>1143</v>
      </c>
      <c r="B1144" s="7">
        <v>20.7</v>
      </c>
      <c r="C1144" s="2" t="s">
        <v>11</v>
      </c>
      <c r="D1144" s="7">
        <f>IF(ISBLANK('Raw sheet'!D1144),AVERAGE('Raw sheet'!$D$2:'Raw sheet'!$D$1500),'Raw sheet'!D1144)</f>
        <v>58449</v>
      </c>
      <c r="E1144" s="7" t="str">
        <f>IF(Table1[[#This Row],[Family_Income]]&gt;=100000,"Upper",IF(D1144&gt;=50000,"Middle","Lower"))</f>
        <v>Middle</v>
      </c>
      <c r="F1144" s="2" t="s">
        <v>4</v>
      </c>
      <c r="G1144" s="3">
        <f>IF(ISBLANK('Raw sheet'!F1144),AVERAGE('Raw sheet'!$F$2:'Raw sheet'!$F$1500),'Raw sheet'!F1144)</f>
        <v>2.78</v>
      </c>
      <c r="H1144" s="18">
        <v>71.099999999999994</v>
      </c>
      <c r="I1144" s="9" t="str">
        <f t="shared" si="34"/>
        <v>Low</v>
      </c>
      <c r="J1144" s="2">
        <v>2</v>
      </c>
      <c r="K1144" s="2">
        <v>22.2</v>
      </c>
      <c r="L1144" s="2" t="s">
        <v>3</v>
      </c>
      <c r="M1144" s="2" t="s">
        <v>4</v>
      </c>
      <c r="N1144" s="5">
        <f>IF(ISBLANK('Raw sheet'!L1144),AVERAGE('Raw sheet'!$L$2:'Raw sheet'!$L$1500),'Raw sheet'!L1144)</f>
        <v>2.2999999999999998</v>
      </c>
      <c r="O1144" s="5" t="str">
        <f>IF(Table1[[#This Row],[Stress_Index]]&gt;=8,"High",IF(N1144&gt;=5,"Medium","Low"))</f>
        <v>Low</v>
      </c>
      <c r="P1144" s="3">
        <v>2.19</v>
      </c>
      <c r="Q1144" s="2">
        <v>1.75</v>
      </c>
      <c r="R1144" s="3">
        <v>1.74</v>
      </c>
      <c r="S1144" s="3" t="str">
        <f>IF(Table1[[#This Row],[CGPA]]&gt;=3,"High",IF(R1143&gt;=2,"Medium","Low"))</f>
        <v>Low</v>
      </c>
      <c r="T1144" s="2" t="s">
        <v>7</v>
      </c>
      <c r="U1144" s="2" t="s">
        <v>6</v>
      </c>
      <c r="V1144" s="2" t="s">
        <v>15</v>
      </c>
      <c r="W1144" s="7">
        <v>0</v>
      </c>
      <c r="X1144" t="str">
        <f t="shared" si="35"/>
        <v>Active</v>
      </c>
    </row>
    <row r="1145" spans="1:24" x14ac:dyDescent="0.3">
      <c r="A1145" s="2">
        <v>1144</v>
      </c>
      <c r="B1145" s="7">
        <v>21.3</v>
      </c>
      <c r="C1145" s="2" t="s">
        <v>5</v>
      </c>
      <c r="D1145" s="7">
        <f>IF(ISBLANK('Raw sheet'!D1145),AVERAGE('Raw sheet'!$D$2:'Raw sheet'!$D$1500),'Raw sheet'!D1145)</f>
        <v>25000</v>
      </c>
      <c r="E1145" s="7" t="str">
        <f>IF(Table1[[#This Row],[Family_Income]]&gt;=100000,"Upper",IF(D1145&gt;=50000,"Middle","Lower"))</f>
        <v>Lower</v>
      </c>
      <c r="F1145" s="2" t="s">
        <v>3</v>
      </c>
      <c r="G1145" s="3">
        <f>IF(ISBLANK('Raw sheet'!F1145),AVERAGE('Raw sheet'!$F$2:'Raw sheet'!$F$1500),'Raw sheet'!F1145)</f>
        <v>6.14</v>
      </c>
      <c r="H1145" s="18">
        <v>87.8</v>
      </c>
      <c r="I1145" s="9" t="str">
        <f t="shared" si="34"/>
        <v>Good</v>
      </c>
      <c r="J1145" s="2">
        <v>1</v>
      </c>
      <c r="K1145" s="2">
        <v>34.700000000000003</v>
      </c>
      <c r="L1145" s="2" t="s">
        <v>4</v>
      </c>
      <c r="M1145" s="2" t="s">
        <v>3</v>
      </c>
      <c r="N1145" s="5">
        <f>IF(ISBLANK('Raw sheet'!L1145),AVERAGE('Raw sheet'!$L$2:'Raw sheet'!$L$1500),'Raw sheet'!L1145)</f>
        <v>3.6</v>
      </c>
      <c r="O1145" s="5" t="str">
        <f>IF(Table1[[#This Row],[Stress_Index]]&gt;=8,"High",IF(N1145&gt;=5,"Medium","Low"))</f>
        <v>Low</v>
      </c>
      <c r="P1145" s="3">
        <v>4</v>
      </c>
      <c r="Q1145" s="2">
        <v>3.74</v>
      </c>
      <c r="R1145" s="3">
        <v>3.73</v>
      </c>
      <c r="S1145" s="3" t="str">
        <f>IF(Table1[[#This Row],[CGPA]]&gt;=3,"High",IF(R1144&gt;=2,"Medium","Low"))</f>
        <v>High</v>
      </c>
      <c r="T1145" s="2" t="s">
        <v>12</v>
      </c>
      <c r="U1145" s="2" t="s">
        <v>1</v>
      </c>
      <c r="V1145" s="2" t="s">
        <v>0</v>
      </c>
      <c r="W1145" s="7">
        <v>0</v>
      </c>
      <c r="X1145" t="str">
        <f t="shared" si="35"/>
        <v>Active</v>
      </c>
    </row>
    <row r="1146" spans="1:24" x14ac:dyDescent="0.3">
      <c r="A1146" s="2">
        <v>1145</v>
      </c>
      <c r="B1146" s="7">
        <v>20.6</v>
      </c>
      <c r="C1146" s="2" t="s">
        <v>5</v>
      </c>
      <c r="D1146" s="7">
        <f>IF(ISBLANK('Raw sheet'!D1146),AVERAGE('Raw sheet'!$D$2:'Raw sheet'!$D$1500),'Raw sheet'!D1146)</f>
        <v>26577</v>
      </c>
      <c r="E1146" s="7" t="str">
        <f>IF(Table1[[#This Row],[Family_Income]]&gt;=100000,"Upper",IF(D1146&gt;=50000,"Middle","Lower"))</f>
        <v>Lower</v>
      </c>
      <c r="F1146" s="2" t="s">
        <v>4</v>
      </c>
      <c r="G1146" s="3">
        <f>IF(ISBLANK('Raw sheet'!F1146),AVERAGE('Raw sheet'!$F$2:'Raw sheet'!$F$1500),'Raw sheet'!F1146)</f>
        <v>4.24</v>
      </c>
      <c r="H1146" s="18">
        <v>65.400000000000006</v>
      </c>
      <c r="I1146" s="9" t="str">
        <f t="shared" si="34"/>
        <v>Low</v>
      </c>
      <c r="J1146" s="2">
        <v>2</v>
      </c>
      <c r="K1146" s="2">
        <v>14.5</v>
      </c>
      <c r="L1146" s="2" t="s">
        <v>4</v>
      </c>
      <c r="M1146" s="2" t="s">
        <v>3</v>
      </c>
      <c r="N1146" s="5">
        <f>IF(ISBLANK('Raw sheet'!L1146),AVERAGE('Raw sheet'!$L$2:'Raw sheet'!$L$1500),'Raw sheet'!L1146)</f>
        <v>5</v>
      </c>
      <c r="O1146" s="5" t="str">
        <f>IF(Table1[[#This Row],[Stress_Index]]&gt;=8,"High",IF(N1146&gt;=5,"Medium","Low"))</f>
        <v>Medium</v>
      </c>
      <c r="P1146" s="3">
        <v>2.72</v>
      </c>
      <c r="Q1146" s="2">
        <v>2.65</v>
      </c>
      <c r="R1146" s="3">
        <v>2.62</v>
      </c>
      <c r="S1146" s="3" t="str">
        <f>IF(Table1[[#This Row],[CGPA]]&gt;=3,"High",IF(R1145&gt;=2,"Medium","Low"))</f>
        <v>Medium</v>
      </c>
      <c r="T1146" s="2" t="s">
        <v>7</v>
      </c>
      <c r="U1146" s="2" t="s">
        <v>6</v>
      </c>
      <c r="V1146" s="2" t="s">
        <v>0</v>
      </c>
      <c r="W1146" s="7">
        <v>1</v>
      </c>
      <c r="X1146" t="str">
        <f t="shared" si="35"/>
        <v>Dropped Out</v>
      </c>
    </row>
    <row r="1147" spans="1:24" x14ac:dyDescent="0.3">
      <c r="A1147" s="2">
        <v>1146</v>
      </c>
      <c r="B1147" s="7">
        <v>21</v>
      </c>
      <c r="C1147" s="2" t="s">
        <v>5</v>
      </c>
      <c r="D1147" s="7">
        <f>IF(ISBLANK('Raw sheet'!D1147),AVERAGE('Raw sheet'!$D$2:'Raw sheet'!$D$1500),'Raw sheet'!D1147)</f>
        <v>25000</v>
      </c>
      <c r="E1147" s="7" t="str">
        <f>IF(Table1[[#This Row],[Family_Income]]&gt;=100000,"Upper",IF(D1147&gt;=50000,"Middle","Lower"))</f>
        <v>Lower</v>
      </c>
      <c r="F1147" s="2" t="s">
        <v>4</v>
      </c>
      <c r="G1147" s="3">
        <f>IF(ISBLANK('Raw sheet'!F1147),AVERAGE('Raw sheet'!$F$2:'Raw sheet'!$F$1500),'Raw sheet'!F1147)</f>
        <v>3.84</v>
      </c>
      <c r="H1147" s="18">
        <v>90.4</v>
      </c>
      <c r="I1147" s="9" t="str">
        <f t="shared" si="34"/>
        <v>Good</v>
      </c>
      <c r="J1147" s="2">
        <v>2</v>
      </c>
      <c r="K1147" s="2">
        <v>17.899999999999999</v>
      </c>
      <c r="L1147" s="2" t="s">
        <v>3</v>
      </c>
      <c r="M1147" s="2" t="s">
        <v>4</v>
      </c>
      <c r="N1147" s="5">
        <f>IF(ISBLANK('Raw sheet'!L1147),AVERAGE('Raw sheet'!$L$2:'Raw sheet'!$L$1500),'Raw sheet'!L1147)</f>
        <v>8.4</v>
      </c>
      <c r="O1147" s="5" t="str">
        <f>IF(Table1[[#This Row],[Stress_Index]]&gt;=8,"High",IF(N1147&gt;=5,"Medium","Low"))</f>
        <v>High</v>
      </c>
      <c r="P1147" s="3">
        <v>0.98</v>
      </c>
      <c r="Q1147" s="2">
        <v>0.5</v>
      </c>
      <c r="R1147" s="3">
        <v>0.5</v>
      </c>
      <c r="S1147" s="3" t="str">
        <f>IF(Table1[[#This Row],[CGPA]]&gt;=3,"High",IF(R1146&gt;=2,"Medium","Low"))</f>
        <v>Medium</v>
      </c>
      <c r="T1147" s="2" t="s">
        <v>2</v>
      </c>
      <c r="U1147" s="2" t="s">
        <v>14</v>
      </c>
      <c r="V1147" s="2" t="s">
        <v>9</v>
      </c>
      <c r="W1147" s="7">
        <v>0</v>
      </c>
      <c r="X1147" t="str">
        <f t="shared" si="35"/>
        <v>Active</v>
      </c>
    </row>
    <row r="1148" spans="1:24" x14ac:dyDescent="0.3">
      <c r="A1148" s="2">
        <v>1147</v>
      </c>
      <c r="B1148" s="7">
        <v>18.600000000000001</v>
      </c>
      <c r="C1148" s="2" t="s">
        <v>11</v>
      </c>
      <c r="D1148" s="7">
        <f>IF(ISBLANK('Raw sheet'!D1148),AVERAGE('Raw sheet'!$D$2:'Raw sheet'!$D$1500),'Raw sheet'!D1148)</f>
        <v>25000</v>
      </c>
      <c r="E1148" s="7" t="str">
        <f>IF(Table1[[#This Row],[Family_Income]]&gt;=100000,"Upper",IF(D1148&gt;=50000,"Middle","Lower"))</f>
        <v>Lower</v>
      </c>
      <c r="F1148" s="2" t="s">
        <v>4</v>
      </c>
      <c r="G1148" s="3">
        <f>IF(ISBLANK('Raw sheet'!F1148),AVERAGE('Raw sheet'!$F$2:'Raw sheet'!$F$1500),'Raw sheet'!F1148)</f>
        <v>2.67</v>
      </c>
      <c r="H1148" s="18">
        <v>71.7</v>
      </c>
      <c r="I1148" s="9" t="str">
        <f t="shared" si="34"/>
        <v>Low</v>
      </c>
      <c r="J1148" s="2">
        <v>2</v>
      </c>
      <c r="K1148" s="2">
        <v>33.9</v>
      </c>
      <c r="L1148" s="2" t="s">
        <v>4</v>
      </c>
      <c r="M1148" s="2" t="s">
        <v>3</v>
      </c>
      <c r="N1148" s="5">
        <f>IF(ISBLANK('Raw sheet'!L1148),AVERAGE('Raw sheet'!$L$2:'Raw sheet'!$L$1500),'Raw sheet'!L1148)</f>
        <v>5.0999999999999996</v>
      </c>
      <c r="O1148" s="5" t="str">
        <f>IF(Table1[[#This Row],[Stress_Index]]&gt;=8,"High",IF(N1148&gt;=5,"Medium","Low"))</f>
        <v>Medium</v>
      </c>
      <c r="P1148" s="3">
        <v>2.94</v>
      </c>
      <c r="Q1148" s="2">
        <v>3.12</v>
      </c>
      <c r="R1148" s="3">
        <v>3.17</v>
      </c>
      <c r="S1148" s="3" t="str">
        <f>IF(Table1[[#This Row],[CGPA]]&gt;=3,"High",IF(R1147&gt;=2,"Medium","Low"))</f>
        <v>High</v>
      </c>
      <c r="T1148" s="2" t="s">
        <v>7</v>
      </c>
      <c r="U1148" s="2" t="s">
        <v>1</v>
      </c>
      <c r="V1148" s="2" t="s">
        <v>15</v>
      </c>
      <c r="W1148" s="7">
        <v>0</v>
      </c>
      <c r="X1148" t="str">
        <f t="shared" si="35"/>
        <v>Active</v>
      </c>
    </row>
    <row r="1149" spans="1:24" x14ac:dyDescent="0.3">
      <c r="A1149" s="2">
        <v>1148</v>
      </c>
      <c r="B1149" s="7">
        <v>17.8</v>
      </c>
      <c r="C1149" s="2" t="s">
        <v>5</v>
      </c>
      <c r="D1149" s="7">
        <f>IF(ISBLANK('Raw sheet'!D1149),AVERAGE('Raw sheet'!$D$2:'Raw sheet'!$D$1500),'Raw sheet'!D1149)</f>
        <v>38587.00282087447</v>
      </c>
      <c r="E1149" s="7" t="str">
        <f>IF(Table1[[#This Row],[Family_Income]]&gt;=100000,"Upper",IF(D1149&gt;=50000,"Middle","Lower"))</f>
        <v>Lower</v>
      </c>
      <c r="F1149" s="2" t="s">
        <v>3</v>
      </c>
      <c r="G1149" s="3">
        <f>IF(ISBLANK('Raw sheet'!F1149),AVERAGE('Raw sheet'!$F$2:'Raw sheet'!$F$1500),'Raw sheet'!F1149)</f>
        <v>4.0178702397743278</v>
      </c>
      <c r="H1149" s="18">
        <v>78.400000000000006</v>
      </c>
      <c r="I1149" s="9" t="str">
        <f t="shared" si="34"/>
        <v>Good</v>
      </c>
      <c r="J1149" s="2">
        <v>0</v>
      </c>
      <c r="K1149" s="2">
        <v>42.4</v>
      </c>
      <c r="L1149" s="2" t="s">
        <v>3</v>
      </c>
      <c r="M1149" s="2" t="s">
        <v>3</v>
      </c>
      <c r="N1149" s="5">
        <f>IF(ISBLANK('Raw sheet'!L1149),AVERAGE('Raw sheet'!$L$2:'Raw sheet'!$L$1500),'Raw sheet'!L1149)</f>
        <v>5.5242595204513369</v>
      </c>
      <c r="O1149" s="5" t="str">
        <f>IF(Table1[[#This Row],[Stress_Index]]&gt;=8,"High",IF(N1149&gt;=5,"Medium","Low"))</f>
        <v>Medium</v>
      </c>
      <c r="P1149" s="3">
        <v>3.76</v>
      </c>
      <c r="Q1149" s="2">
        <v>4</v>
      </c>
      <c r="R1149" s="3">
        <v>3.97</v>
      </c>
      <c r="S1149" s="3" t="str">
        <f>IF(Table1[[#This Row],[CGPA]]&gt;=3,"High",IF(R1148&gt;=2,"Medium","Low"))</f>
        <v>High</v>
      </c>
      <c r="T1149" s="2" t="s">
        <v>12</v>
      </c>
      <c r="U1149" s="2" t="s">
        <v>14</v>
      </c>
      <c r="V1149" s="2" t="s">
        <v>15</v>
      </c>
      <c r="W1149" s="7">
        <v>0</v>
      </c>
      <c r="X1149" t="str">
        <f t="shared" si="35"/>
        <v>Active</v>
      </c>
    </row>
    <row r="1150" spans="1:24" x14ac:dyDescent="0.3">
      <c r="A1150" s="2">
        <v>1149</v>
      </c>
      <c r="B1150" s="7">
        <v>24.5</v>
      </c>
      <c r="C1150" s="2" t="s">
        <v>5</v>
      </c>
      <c r="D1150" s="7">
        <f>IF(ISBLANK('Raw sheet'!D1150),AVERAGE('Raw sheet'!$D$2:'Raw sheet'!$D$1500),'Raw sheet'!D1150)</f>
        <v>46527</v>
      </c>
      <c r="E1150" s="7" t="str">
        <f>IF(Table1[[#This Row],[Family_Income]]&gt;=100000,"Upper",IF(D1150&gt;=50000,"Middle","Lower"))</f>
        <v>Lower</v>
      </c>
      <c r="F1150" s="2" t="s">
        <v>4</v>
      </c>
      <c r="G1150" s="3">
        <f>IF(ISBLANK('Raw sheet'!F1150),AVERAGE('Raw sheet'!$F$2:'Raw sheet'!$F$1500),'Raw sheet'!F1150)</f>
        <v>4.8</v>
      </c>
      <c r="H1150" s="18">
        <v>72.7</v>
      </c>
      <c r="I1150" s="9" t="str">
        <f t="shared" si="34"/>
        <v>Low</v>
      </c>
      <c r="J1150" s="2">
        <v>1</v>
      </c>
      <c r="K1150" s="2">
        <v>24.3</v>
      </c>
      <c r="L1150" s="2" t="s">
        <v>3</v>
      </c>
      <c r="M1150" s="2" t="s">
        <v>4</v>
      </c>
      <c r="N1150" s="5">
        <f>IF(ISBLANK('Raw sheet'!L1150),AVERAGE('Raw sheet'!$L$2:'Raw sheet'!$L$1500),'Raw sheet'!L1150)</f>
        <v>6.6</v>
      </c>
      <c r="O1150" s="5" t="str">
        <f>IF(Table1[[#This Row],[Stress_Index]]&gt;=8,"High",IF(N1150&gt;=5,"Medium","Low"))</f>
        <v>Medium</v>
      </c>
      <c r="P1150" s="3">
        <v>2.09</v>
      </c>
      <c r="Q1150" s="2">
        <v>2.0699999999999998</v>
      </c>
      <c r="R1150" s="3">
        <v>2.0699999999999998</v>
      </c>
      <c r="S1150" s="3" t="str">
        <f>IF(Table1[[#This Row],[CGPA]]&gt;=3,"High",IF(R1149&gt;=2,"Medium","Low"))</f>
        <v>Medium</v>
      </c>
      <c r="T1150" s="2" t="s">
        <v>2</v>
      </c>
      <c r="U1150" s="2" t="s">
        <v>1</v>
      </c>
      <c r="V1150" s="2" t="s">
        <v>9</v>
      </c>
      <c r="W1150" s="7">
        <v>0</v>
      </c>
      <c r="X1150" t="str">
        <f t="shared" si="35"/>
        <v>Active</v>
      </c>
    </row>
    <row r="1151" spans="1:24" x14ac:dyDescent="0.3">
      <c r="A1151" s="2">
        <v>1150</v>
      </c>
      <c r="B1151" s="7">
        <v>19.100000000000001</v>
      </c>
      <c r="C1151" s="2" t="s">
        <v>5</v>
      </c>
      <c r="D1151" s="7">
        <f>IF(ISBLANK('Raw sheet'!D1151),AVERAGE('Raw sheet'!$D$2:'Raw sheet'!$D$1500),'Raw sheet'!D1151)</f>
        <v>47094</v>
      </c>
      <c r="E1151" s="7" t="str">
        <f>IF(Table1[[#This Row],[Family_Income]]&gt;=100000,"Upper",IF(D1151&gt;=50000,"Middle","Lower"))</f>
        <v>Lower</v>
      </c>
      <c r="F1151" s="2" t="s">
        <v>4</v>
      </c>
      <c r="G1151" s="3">
        <f>IF(ISBLANK('Raw sheet'!F1151),AVERAGE('Raw sheet'!$F$2:'Raw sheet'!$F$1500),'Raw sheet'!F1151)</f>
        <v>1.0900000000000001</v>
      </c>
      <c r="H1151" s="18">
        <v>74.599999999999994</v>
      </c>
      <c r="I1151" s="9" t="str">
        <f t="shared" si="34"/>
        <v>Low</v>
      </c>
      <c r="J1151" s="2">
        <v>1</v>
      </c>
      <c r="K1151" s="2">
        <v>35.5</v>
      </c>
      <c r="L1151" s="2" t="s">
        <v>3</v>
      </c>
      <c r="M1151" s="2" t="s">
        <v>3</v>
      </c>
      <c r="N1151" s="5">
        <f>IF(ISBLANK('Raw sheet'!L1151),AVERAGE('Raw sheet'!$L$2:'Raw sheet'!$L$1500),'Raw sheet'!L1151)</f>
        <v>7.1</v>
      </c>
      <c r="O1151" s="5" t="str">
        <f>IF(Table1[[#This Row],[Stress_Index]]&gt;=8,"High",IF(N1151&gt;=5,"Medium","Low"))</f>
        <v>Medium</v>
      </c>
      <c r="P1151" s="3">
        <v>0.76</v>
      </c>
      <c r="Q1151" s="2">
        <v>0.48</v>
      </c>
      <c r="R1151" s="3">
        <v>0.43</v>
      </c>
      <c r="S1151" s="3" t="str">
        <f>IF(Table1[[#This Row],[CGPA]]&gt;=3,"High",IF(R1150&gt;=2,"Medium","Low"))</f>
        <v>Medium</v>
      </c>
      <c r="T1151" s="2" t="s">
        <v>10</v>
      </c>
      <c r="U1151" s="2" t="s">
        <v>13</v>
      </c>
      <c r="V1151" s="2" t="s">
        <v>15</v>
      </c>
      <c r="W1151" s="7">
        <v>0</v>
      </c>
      <c r="X1151" t="str">
        <f t="shared" si="35"/>
        <v>Active</v>
      </c>
    </row>
    <row r="1152" spans="1:24" x14ac:dyDescent="0.3">
      <c r="A1152" s="2">
        <v>1151</v>
      </c>
      <c r="B1152" s="7">
        <v>18.8</v>
      </c>
      <c r="C1152" s="2" t="s">
        <v>11</v>
      </c>
      <c r="D1152" s="7">
        <f>IF(ISBLANK('Raw sheet'!D1152),AVERAGE('Raw sheet'!$D$2:'Raw sheet'!$D$1500),'Raw sheet'!D1152)</f>
        <v>47596</v>
      </c>
      <c r="E1152" s="7" t="str">
        <f>IF(Table1[[#This Row],[Family_Income]]&gt;=100000,"Upper",IF(D1152&gt;=50000,"Middle","Lower"))</f>
        <v>Lower</v>
      </c>
      <c r="F1152" s="2" t="s">
        <v>4</v>
      </c>
      <c r="G1152" s="3">
        <f>IF(ISBLANK('Raw sheet'!F1152),AVERAGE('Raw sheet'!$F$2:'Raw sheet'!$F$1500),'Raw sheet'!F1152)</f>
        <v>3.82</v>
      </c>
      <c r="H1152" s="18">
        <v>80.2</v>
      </c>
      <c r="I1152" s="9" t="str">
        <f t="shared" si="34"/>
        <v>Good</v>
      </c>
      <c r="J1152" s="2">
        <v>2</v>
      </c>
      <c r="K1152" s="2">
        <v>32.5</v>
      </c>
      <c r="L1152" s="2" t="s">
        <v>3</v>
      </c>
      <c r="M1152" s="2" t="s">
        <v>3</v>
      </c>
      <c r="N1152" s="5">
        <f>IF(ISBLANK('Raw sheet'!L1152),AVERAGE('Raw sheet'!$L$2:'Raw sheet'!$L$1500),'Raw sheet'!L1152)</f>
        <v>4.0999999999999996</v>
      </c>
      <c r="O1152" s="5" t="str">
        <f>IF(Table1[[#This Row],[Stress_Index]]&gt;=8,"High",IF(N1152&gt;=5,"Medium","Low"))</f>
        <v>Low</v>
      </c>
      <c r="P1152" s="3">
        <v>3.32</v>
      </c>
      <c r="Q1152" s="2">
        <v>3.72</v>
      </c>
      <c r="R1152" s="3">
        <v>3.7</v>
      </c>
      <c r="S1152" s="3" t="str">
        <f>IF(Table1[[#This Row],[CGPA]]&gt;=3,"High",IF(R1151&gt;=2,"Medium","Low"))</f>
        <v>High</v>
      </c>
      <c r="T1152" s="2" t="s">
        <v>7</v>
      </c>
      <c r="U1152" s="2" t="s">
        <v>13</v>
      </c>
      <c r="V1152" s="2" t="s">
        <v>9</v>
      </c>
      <c r="W1152" s="7">
        <v>0</v>
      </c>
      <c r="X1152" t="str">
        <f t="shared" si="35"/>
        <v>Active</v>
      </c>
    </row>
    <row r="1153" spans="1:24" x14ac:dyDescent="0.3">
      <c r="A1153" s="2">
        <v>1152</v>
      </c>
      <c r="B1153" s="7">
        <v>17</v>
      </c>
      <c r="C1153" s="2" t="s">
        <v>5</v>
      </c>
      <c r="D1153" s="7">
        <f>IF(ISBLANK('Raw sheet'!D1153),AVERAGE('Raw sheet'!$D$2:'Raw sheet'!$D$1500),'Raw sheet'!D1153)</f>
        <v>30252</v>
      </c>
      <c r="E1153" s="7" t="str">
        <f>IF(Table1[[#This Row],[Family_Income]]&gt;=100000,"Upper",IF(D1153&gt;=50000,"Middle","Lower"))</f>
        <v>Lower</v>
      </c>
      <c r="F1153" s="2" t="s">
        <v>4</v>
      </c>
      <c r="G1153" s="3">
        <f>IF(ISBLANK('Raw sheet'!F1153),AVERAGE('Raw sheet'!$F$2:'Raw sheet'!$F$1500),'Raw sheet'!F1153)</f>
        <v>3.85</v>
      </c>
      <c r="H1153" s="18">
        <v>80.900000000000006</v>
      </c>
      <c r="I1153" s="9" t="str">
        <f t="shared" si="34"/>
        <v>Good</v>
      </c>
      <c r="J1153" s="2">
        <v>3</v>
      </c>
      <c r="K1153" s="2">
        <v>35</v>
      </c>
      <c r="L1153" s="2" t="s">
        <v>3</v>
      </c>
      <c r="M1153" s="2" t="s">
        <v>4</v>
      </c>
      <c r="N1153" s="5">
        <f>IF(ISBLANK('Raw sheet'!L1153),AVERAGE('Raw sheet'!$L$2:'Raw sheet'!$L$1500),'Raw sheet'!L1153)</f>
        <v>4.3</v>
      </c>
      <c r="O1153" s="5" t="str">
        <f>IF(Table1[[#This Row],[Stress_Index]]&gt;=8,"High",IF(N1153&gt;=5,"Medium","Low"))</f>
        <v>Low</v>
      </c>
      <c r="P1153" s="3">
        <v>4</v>
      </c>
      <c r="Q1153" s="2">
        <v>4</v>
      </c>
      <c r="R1153" s="3">
        <v>3.98</v>
      </c>
      <c r="S1153" s="3" t="str">
        <f>IF(Table1[[#This Row],[CGPA]]&gt;=3,"High",IF(R1152&gt;=2,"Medium","Low"))</f>
        <v>High</v>
      </c>
      <c r="T1153" s="2" t="s">
        <v>12</v>
      </c>
      <c r="U1153" s="2" t="s">
        <v>13</v>
      </c>
      <c r="V1153" s="2" t="s">
        <v>0</v>
      </c>
      <c r="W1153" s="7">
        <v>0</v>
      </c>
      <c r="X1153" t="str">
        <f t="shared" si="35"/>
        <v>Active</v>
      </c>
    </row>
    <row r="1154" spans="1:24" x14ac:dyDescent="0.3">
      <c r="A1154" s="2">
        <v>1153</v>
      </c>
      <c r="B1154" s="7">
        <v>19.600000000000001</v>
      </c>
      <c r="C1154" s="2" t="s">
        <v>5</v>
      </c>
      <c r="D1154" s="7">
        <f>IF(ISBLANK('Raw sheet'!D1154),AVERAGE('Raw sheet'!$D$2:'Raw sheet'!$D$1500),'Raw sheet'!D1154)</f>
        <v>25000</v>
      </c>
      <c r="E1154" s="7" t="str">
        <f>IF(Table1[[#This Row],[Family_Income]]&gt;=100000,"Upper",IF(D1154&gt;=50000,"Middle","Lower"))</f>
        <v>Lower</v>
      </c>
      <c r="F1154" s="2" t="s">
        <v>4</v>
      </c>
      <c r="G1154" s="3">
        <f>IF(ISBLANK('Raw sheet'!F1154),AVERAGE('Raw sheet'!$F$2:'Raw sheet'!$F$1500),'Raw sheet'!F1154)</f>
        <v>4.59</v>
      </c>
      <c r="H1154" s="18">
        <v>69.599999999999994</v>
      </c>
      <c r="I1154" s="9" t="str">
        <f t="shared" ref="I1154:I1217" si="36">IF(H1154&gt;=75,"Good","Low")</f>
        <v>Low</v>
      </c>
      <c r="J1154" s="2">
        <v>2</v>
      </c>
      <c r="K1154" s="2">
        <v>21.7</v>
      </c>
      <c r="L1154" s="2" t="s">
        <v>4</v>
      </c>
      <c r="M1154" s="2" t="s">
        <v>3</v>
      </c>
      <c r="N1154" s="5">
        <f>IF(ISBLANK('Raw sheet'!L1154),AVERAGE('Raw sheet'!$L$2:'Raw sheet'!$L$1500),'Raw sheet'!L1154)</f>
        <v>8.6</v>
      </c>
      <c r="O1154" s="5" t="str">
        <f>IF(Table1[[#This Row],[Stress_Index]]&gt;=8,"High",IF(N1154&gt;=5,"Medium","Low"))</f>
        <v>High</v>
      </c>
      <c r="P1154" s="3">
        <v>0</v>
      </c>
      <c r="Q1154" s="2">
        <v>0.44</v>
      </c>
      <c r="R1154" s="3">
        <v>0.44</v>
      </c>
      <c r="S1154" s="3" t="str">
        <f>IF(Table1[[#This Row],[CGPA]]&gt;=3,"High",IF(R1153&gt;=2,"Medium","Low"))</f>
        <v>Medium</v>
      </c>
      <c r="T1154" s="2" t="s">
        <v>2</v>
      </c>
      <c r="U1154" s="2" t="s">
        <v>8</v>
      </c>
      <c r="V1154" s="2" t="s">
        <v>15</v>
      </c>
      <c r="W1154" s="7">
        <v>1</v>
      </c>
      <c r="X1154" t="str">
        <f t="shared" ref="X1154:X1217" si="37">IF(W1154=1,"Dropped Out","Active")</f>
        <v>Dropped Out</v>
      </c>
    </row>
    <row r="1155" spans="1:24" x14ac:dyDescent="0.3">
      <c r="A1155" s="2">
        <v>1154</v>
      </c>
      <c r="B1155" s="7">
        <v>18.100000000000001</v>
      </c>
      <c r="C1155" s="2" t="s">
        <v>5</v>
      </c>
      <c r="D1155" s="7">
        <f>IF(ISBLANK('Raw sheet'!D1155),AVERAGE('Raw sheet'!$D$2:'Raw sheet'!$D$1500),'Raw sheet'!D1155)</f>
        <v>25000</v>
      </c>
      <c r="E1155" s="7" t="str">
        <f>IF(Table1[[#This Row],[Family_Income]]&gt;=100000,"Upper",IF(D1155&gt;=50000,"Middle","Lower"))</f>
        <v>Lower</v>
      </c>
      <c r="F1155" s="2" t="s">
        <v>4</v>
      </c>
      <c r="G1155" s="3">
        <f>IF(ISBLANK('Raw sheet'!F1155),AVERAGE('Raw sheet'!$F$2:'Raw sheet'!$F$1500),'Raw sheet'!F1155)</f>
        <v>1.82</v>
      </c>
      <c r="H1155" s="18">
        <v>78.8</v>
      </c>
      <c r="I1155" s="9" t="str">
        <f t="shared" si="36"/>
        <v>Good</v>
      </c>
      <c r="J1155" s="2">
        <v>0</v>
      </c>
      <c r="K1155" s="2">
        <v>28.2</v>
      </c>
      <c r="L1155" s="2" t="s">
        <v>4</v>
      </c>
      <c r="M1155" s="2" t="s">
        <v>4</v>
      </c>
      <c r="N1155" s="5">
        <f>IF(ISBLANK('Raw sheet'!L1155),AVERAGE('Raw sheet'!$L$2:'Raw sheet'!$L$1500),'Raw sheet'!L1155)</f>
        <v>7.7</v>
      </c>
      <c r="O1155" s="5" t="str">
        <f>IF(Table1[[#This Row],[Stress_Index]]&gt;=8,"High",IF(N1155&gt;=5,"Medium","Low"))</f>
        <v>Medium</v>
      </c>
      <c r="P1155" s="3">
        <v>0.48</v>
      </c>
      <c r="Q1155" s="2">
        <v>0.62</v>
      </c>
      <c r="R1155" s="3">
        <v>0.63</v>
      </c>
      <c r="S1155" s="3" t="str">
        <f>IF(Table1[[#This Row],[CGPA]]&gt;=3,"High",IF(R1154&gt;=2,"Medium","Low"))</f>
        <v>Low</v>
      </c>
      <c r="T1155" s="2" t="s">
        <v>12</v>
      </c>
      <c r="U1155" s="2" t="s">
        <v>14</v>
      </c>
      <c r="V1155" s="2" t="s">
        <v>9</v>
      </c>
      <c r="W1155" s="7">
        <v>0</v>
      </c>
      <c r="X1155" t="str">
        <f t="shared" si="37"/>
        <v>Active</v>
      </c>
    </row>
    <row r="1156" spans="1:24" x14ac:dyDescent="0.3">
      <c r="A1156" s="2">
        <v>1155</v>
      </c>
      <c r="B1156" s="7">
        <v>24.6</v>
      </c>
      <c r="C1156" s="2" t="s">
        <v>11</v>
      </c>
      <c r="D1156" s="7">
        <f>IF(ISBLANK('Raw sheet'!D1156),AVERAGE('Raw sheet'!$D$2:'Raw sheet'!$D$1500),'Raw sheet'!D1156)</f>
        <v>74466</v>
      </c>
      <c r="E1156" s="7" t="str">
        <f>IF(Table1[[#This Row],[Family_Income]]&gt;=100000,"Upper",IF(D1156&gt;=50000,"Middle","Lower"))</f>
        <v>Middle</v>
      </c>
      <c r="F1156" s="2" t="s">
        <v>4</v>
      </c>
      <c r="G1156" s="3">
        <f>IF(ISBLANK('Raw sheet'!F1156),AVERAGE('Raw sheet'!$F$2:'Raw sheet'!$F$1500),'Raw sheet'!F1156)</f>
        <v>5.04</v>
      </c>
      <c r="H1156" s="18">
        <v>82.8</v>
      </c>
      <c r="I1156" s="9" t="str">
        <f t="shared" si="36"/>
        <v>Good</v>
      </c>
      <c r="J1156" s="2">
        <v>3</v>
      </c>
      <c r="K1156" s="2">
        <v>29.5</v>
      </c>
      <c r="L1156" s="2" t="s">
        <v>3</v>
      </c>
      <c r="M1156" s="2" t="s">
        <v>3</v>
      </c>
      <c r="N1156" s="5">
        <f>IF(ISBLANK('Raw sheet'!L1156),AVERAGE('Raw sheet'!$L$2:'Raw sheet'!$L$1500),'Raw sheet'!L1156)</f>
        <v>8.1999999999999993</v>
      </c>
      <c r="O1156" s="5" t="str">
        <f>IF(Table1[[#This Row],[Stress_Index]]&gt;=8,"High",IF(N1156&gt;=5,"Medium","Low"))</f>
        <v>High</v>
      </c>
      <c r="P1156" s="3">
        <v>2.1800000000000002</v>
      </c>
      <c r="Q1156" s="2">
        <v>2.21</v>
      </c>
      <c r="R1156" s="3">
        <v>2.25</v>
      </c>
      <c r="S1156" s="3" t="str">
        <f>IF(Table1[[#This Row],[CGPA]]&gt;=3,"High",IF(R1155&gt;=2,"Medium","Low"))</f>
        <v>Low</v>
      </c>
      <c r="T1156" s="2" t="s">
        <v>10</v>
      </c>
      <c r="U1156" s="2" t="s">
        <v>14</v>
      </c>
      <c r="V1156" s="2" t="s">
        <v>15</v>
      </c>
      <c r="W1156" s="7">
        <v>0</v>
      </c>
      <c r="X1156" t="str">
        <f t="shared" si="37"/>
        <v>Active</v>
      </c>
    </row>
    <row r="1157" spans="1:24" x14ac:dyDescent="0.3">
      <c r="A1157" s="2">
        <v>1156</v>
      </c>
      <c r="B1157" s="7">
        <v>23.2</v>
      </c>
      <c r="C1157" s="2" t="s">
        <v>5</v>
      </c>
      <c r="D1157" s="7">
        <f>IF(ISBLANK('Raw sheet'!D1157),AVERAGE('Raw sheet'!$D$2:'Raw sheet'!$D$1500),'Raw sheet'!D1157)</f>
        <v>70362</v>
      </c>
      <c r="E1157" s="7" t="str">
        <f>IF(Table1[[#This Row],[Family_Income]]&gt;=100000,"Upper",IF(D1157&gt;=50000,"Middle","Lower"))</f>
        <v>Middle</v>
      </c>
      <c r="F1157" s="2" t="s">
        <v>4</v>
      </c>
      <c r="G1157" s="3">
        <f>IF(ISBLANK('Raw sheet'!F1157),AVERAGE('Raw sheet'!$F$2:'Raw sheet'!$F$1500),'Raw sheet'!F1157)</f>
        <v>4.96</v>
      </c>
      <c r="H1157" s="18">
        <v>85.7</v>
      </c>
      <c r="I1157" s="9" t="str">
        <f t="shared" si="36"/>
        <v>Good</v>
      </c>
      <c r="J1157" s="2">
        <v>5</v>
      </c>
      <c r="K1157" s="2">
        <v>48</v>
      </c>
      <c r="L1157" s="2" t="s">
        <v>3</v>
      </c>
      <c r="M1157" s="2" t="s">
        <v>4</v>
      </c>
      <c r="N1157" s="5">
        <f>IF(ISBLANK('Raw sheet'!L1157),AVERAGE('Raw sheet'!$L$2:'Raw sheet'!$L$1500),'Raw sheet'!L1157)</f>
        <v>7.2</v>
      </c>
      <c r="O1157" s="5" t="str">
        <f>IF(Table1[[#This Row],[Stress_Index]]&gt;=8,"High",IF(N1157&gt;=5,"Medium","Low"))</f>
        <v>Medium</v>
      </c>
      <c r="P1157" s="3">
        <v>1.47</v>
      </c>
      <c r="Q1157" s="2">
        <v>1.83</v>
      </c>
      <c r="R1157" s="3">
        <v>1.82</v>
      </c>
      <c r="S1157" s="3" t="str">
        <f>IF(Table1[[#This Row],[CGPA]]&gt;=3,"High",IF(R1156&gt;=2,"Medium","Low"))</f>
        <v>Medium</v>
      </c>
      <c r="T1157" s="2" t="s">
        <v>10</v>
      </c>
      <c r="U1157" s="2" t="s">
        <v>13</v>
      </c>
      <c r="V1157" s="2" t="s">
        <v>0</v>
      </c>
      <c r="W1157" s="7">
        <v>0</v>
      </c>
      <c r="X1157" t="str">
        <f t="shared" si="37"/>
        <v>Active</v>
      </c>
    </row>
    <row r="1158" spans="1:24" x14ac:dyDescent="0.3">
      <c r="A1158" s="2">
        <v>1157</v>
      </c>
      <c r="B1158" s="7">
        <v>19.5</v>
      </c>
      <c r="C1158" s="2" t="s">
        <v>11</v>
      </c>
      <c r="D1158" s="7">
        <f>IF(ISBLANK('Raw sheet'!D1158),AVERAGE('Raw sheet'!$D$2:'Raw sheet'!$D$1500),'Raw sheet'!D1158)</f>
        <v>32001</v>
      </c>
      <c r="E1158" s="7" t="str">
        <f>IF(Table1[[#This Row],[Family_Income]]&gt;=100000,"Upper",IF(D1158&gt;=50000,"Middle","Lower"))</f>
        <v>Lower</v>
      </c>
      <c r="F1158" s="2" t="s">
        <v>4</v>
      </c>
      <c r="G1158" s="3">
        <f>IF(ISBLANK('Raw sheet'!F1158),AVERAGE('Raw sheet'!$F$2:'Raw sheet'!$F$1500),'Raw sheet'!F1158)</f>
        <v>5.01</v>
      </c>
      <c r="H1158" s="18">
        <v>65.7</v>
      </c>
      <c r="I1158" s="9" t="str">
        <f t="shared" si="36"/>
        <v>Low</v>
      </c>
      <c r="J1158" s="2">
        <v>2</v>
      </c>
      <c r="K1158" s="2">
        <v>16.7</v>
      </c>
      <c r="L1158" s="2" t="s">
        <v>4</v>
      </c>
      <c r="M1158" s="2" t="s">
        <v>3</v>
      </c>
      <c r="N1158" s="5">
        <f>IF(ISBLANK('Raw sheet'!L1158),AVERAGE('Raw sheet'!$L$2:'Raw sheet'!$L$1500),'Raw sheet'!L1158)</f>
        <v>4</v>
      </c>
      <c r="O1158" s="5" t="str">
        <f>IF(Table1[[#This Row],[Stress_Index]]&gt;=8,"High",IF(N1158&gt;=5,"Medium","Low"))</f>
        <v>Low</v>
      </c>
      <c r="P1158" s="3">
        <v>1.64</v>
      </c>
      <c r="Q1158" s="2">
        <v>1.79</v>
      </c>
      <c r="R1158" s="3">
        <v>1.82</v>
      </c>
      <c r="S1158" s="3" t="str">
        <f>IF(Table1[[#This Row],[CGPA]]&gt;=3,"High",IF(R1157&gt;=2,"Medium","Low"))</f>
        <v>Low</v>
      </c>
      <c r="T1158" s="2" t="s">
        <v>7</v>
      </c>
      <c r="U1158" s="2" t="s">
        <v>8</v>
      </c>
      <c r="V1158" s="2" t="s">
        <v>15</v>
      </c>
      <c r="W1158" s="7">
        <v>0</v>
      </c>
      <c r="X1158" t="str">
        <f t="shared" si="37"/>
        <v>Active</v>
      </c>
    </row>
    <row r="1159" spans="1:24" x14ac:dyDescent="0.3">
      <c r="A1159" s="2">
        <v>1158</v>
      </c>
      <c r="B1159" s="7">
        <v>26</v>
      </c>
      <c r="C1159" s="2" t="s">
        <v>5</v>
      </c>
      <c r="D1159" s="7">
        <f>IF(ISBLANK('Raw sheet'!D1159),AVERAGE('Raw sheet'!$D$2:'Raw sheet'!$D$1500),'Raw sheet'!D1159)</f>
        <v>25000</v>
      </c>
      <c r="E1159" s="7" t="str">
        <f>IF(Table1[[#This Row],[Family_Income]]&gt;=100000,"Upper",IF(D1159&gt;=50000,"Middle","Lower"))</f>
        <v>Lower</v>
      </c>
      <c r="F1159" s="2" t="s">
        <v>4</v>
      </c>
      <c r="G1159" s="3">
        <f>IF(ISBLANK('Raw sheet'!F1159),AVERAGE('Raw sheet'!$F$2:'Raw sheet'!$F$1500),'Raw sheet'!F1159)</f>
        <v>3.14</v>
      </c>
      <c r="H1159" s="18">
        <v>78.2</v>
      </c>
      <c r="I1159" s="9" t="str">
        <f t="shared" si="36"/>
        <v>Good</v>
      </c>
      <c r="J1159" s="2">
        <v>0</v>
      </c>
      <c r="K1159" s="2">
        <v>13.2</v>
      </c>
      <c r="L1159" s="2" t="s">
        <v>4</v>
      </c>
      <c r="M1159" s="2" t="s">
        <v>4</v>
      </c>
      <c r="N1159" s="5">
        <f>IF(ISBLANK('Raw sheet'!L1159),AVERAGE('Raw sheet'!$L$2:'Raw sheet'!$L$1500),'Raw sheet'!L1159)</f>
        <v>5.4</v>
      </c>
      <c r="O1159" s="5" t="str">
        <f>IF(Table1[[#This Row],[Stress_Index]]&gt;=8,"High",IF(N1159&gt;=5,"Medium","Low"))</f>
        <v>Medium</v>
      </c>
      <c r="P1159" s="3">
        <v>0.23</v>
      </c>
      <c r="Q1159" s="2">
        <v>0.19</v>
      </c>
      <c r="R1159" s="3">
        <v>0.08</v>
      </c>
      <c r="S1159" s="3" t="str">
        <f>IF(Table1[[#This Row],[CGPA]]&gt;=3,"High",IF(R1158&gt;=2,"Medium","Low"))</f>
        <v>Low</v>
      </c>
      <c r="T1159" s="2" t="s">
        <v>12</v>
      </c>
      <c r="U1159" s="2" t="s">
        <v>1</v>
      </c>
      <c r="V1159" s="2" t="s">
        <v>9</v>
      </c>
      <c r="W1159" s="7">
        <v>1</v>
      </c>
      <c r="X1159" t="str">
        <f t="shared" si="37"/>
        <v>Dropped Out</v>
      </c>
    </row>
    <row r="1160" spans="1:24" x14ac:dyDescent="0.3">
      <c r="A1160" s="2">
        <v>1159</v>
      </c>
      <c r="B1160" s="7">
        <v>23.2</v>
      </c>
      <c r="C1160" s="2" t="s">
        <v>5</v>
      </c>
      <c r="D1160" s="7">
        <f>IF(ISBLANK('Raw sheet'!D1160),AVERAGE('Raw sheet'!$D$2:'Raw sheet'!$D$1500),'Raw sheet'!D1160)</f>
        <v>67587</v>
      </c>
      <c r="E1160" s="7" t="str">
        <f>IF(Table1[[#This Row],[Family_Income]]&gt;=100000,"Upper",IF(D1160&gt;=50000,"Middle","Lower"))</f>
        <v>Middle</v>
      </c>
      <c r="F1160" s="2" t="s">
        <v>4</v>
      </c>
      <c r="G1160" s="3">
        <f>IF(ISBLANK('Raw sheet'!F1160),AVERAGE('Raw sheet'!$F$2:'Raw sheet'!$F$1500),'Raw sheet'!F1160)</f>
        <v>5.46</v>
      </c>
      <c r="H1160" s="18">
        <v>65.599999999999994</v>
      </c>
      <c r="I1160" s="9" t="str">
        <f t="shared" si="36"/>
        <v>Low</v>
      </c>
      <c r="J1160" s="2">
        <v>1</v>
      </c>
      <c r="K1160" s="2">
        <v>66</v>
      </c>
      <c r="L1160" s="2" t="s">
        <v>3</v>
      </c>
      <c r="M1160" s="2" t="s">
        <v>4</v>
      </c>
      <c r="N1160" s="5">
        <f>IF(ISBLANK('Raw sheet'!L1160),AVERAGE('Raw sheet'!$L$2:'Raw sheet'!$L$1500),'Raw sheet'!L1160)</f>
        <v>3.6</v>
      </c>
      <c r="O1160" s="5" t="str">
        <f>IF(Table1[[#This Row],[Stress_Index]]&gt;=8,"High",IF(N1160&gt;=5,"Medium","Low"))</f>
        <v>Low</v>
      </c>
      <c r="P1160" s="3">
        <v>3.28</v>
      </c>
      <c r="Q1160" s="2">
        <v>3.08</v>
      </c>
      <c r="R1160" s="3">
        <v>3.08</v>
      </c>
      <c r="S1160" s="3" t="str">
        <f>IF(Table1[[#This Row],[CGPA]]&gt;=3,"High",IF(R1159&gt;=2,"Medium","Low"))</f>
        <v>High</v>
      </c>
      <c r="T1160" s="2" t="s">
        <v>2</v>
      </c>
      <c r="U1160" s="2" t="s">
        <v>1</v>
      </c>
      <c r="V1160" s="2" t="s">
        <v>9</v>
      </c>
      <c r="W1160" s="7">
        <v>0</v>
      </c>
      <c r="X1160" t="str">
        <f t="shared" si="37"/>
        <v>Active</v>
      </c>
    </row>
    <row r="1161" spans="1:24" x14ac:dyDescent="0.3">
      <c r="A1161" s="2">
        <v>1160</v>
      </c>
      <c r="B1161" s="7">
        <v>20.3</v>
      </c>
      <c r="C1161" s="2" t="s">
        <v>5</v>
      </c>
      <c r="D1161" s="7">
        <f>IF(ISBLANK('Raw sheet'!D1161),AVERAGE('Raw sheet'!$D$2:'Raw sheet'!$D$1500),'Raw sheet'!D1161)</f>
        <v>25000</v>
      </c>
      <c r="E1161" s="7" t="str">
        <f>IF(Table1[[#This Row],[Family_Income]]&gt;=100000,"Upper",IF(D1161&gt;=50000,"Middle","Lower"))</f>
        <v>Lower</v>
      </c>
      <c r="F1161" s="2" t="s">
        <v>4</v>
      </c>
      <c r="G1161" s="3">
        <f>IF(ISBLANK('Raw sheet'!F1161),AVERAGE('Raw sheet'!$F$2:'Raw sheet'!$F$1500),'Raw sheet'!F1161)</f>
        <v>2.94</v>
      </c>
      <c r="H1161" s="18">
        <v>77.900000000000006</v>
      </c>
      <c r="I1161" s="9" t="str">
        <f t="shared" si="36"/>
        <v>Good</v>
      </c>
      <c r="J1161" s="2">
        <v>1</v>
      </c>
      <c r="K1161" s="2">
        <v>33.700000000000003</v>
      </c>
      <c r="L1161" s="2" t="s">
        <v>3</v>
      </c>
      <c r="M1161" s="2" t="s">
        <v>4</v>
      </c>
      <c r="N1161" s="5">
        <f>IF(ISBLANK('Raw sheet'!L1161),AVERAGE('Raw sheet'!$L$2:'Raw sheet'!$L$1500),'Raw sheet'!L1161)</f>
        <v>7.3</v>
      </c>
      <c r="O1161" s="5" t="str">
        <f>IF(Table1[[#This Row],[Stress_Index]]&gt;=8,"High",IF(N1161&gt;=5,"Medium","Low"))</f>
        <v>Medium</v>
      </c>
      <c r="P1161" s="3">
        <v>1.74</v>
      </c>
      <c r="Q1161" s="2">
        <v>1.29</v>
      </c>
      <c r="R1161" s="3">
        <v>1.21</v>
      </c>
      <c r="S1161" s="3" t="str">
        <f>IF(Table1[[#This Row],[CGPA]]&gt;=3,"High",IF(R1160&gt;=2,"Medium","Low"))</f>
        <v>Medium</v>
      </c>
      <c r="T1161" s="2" t="s">
        <v>7</v>
      </c>
      <c r="U1161" s="2" t="s">
        <v>13</v>
      </c>
      <c r="V1161" s="2" t="s">
        <v>9</v>
      </c>
      <c r="W1161" s="7">
        <v>0</v>
      </c>
      <c r="X1161" t="str">
        <f t="shared" si="37"/>
        <v>Active</v>
      </c>
    </row>
    <row r="1162" spans="1:24" x14ac:dyDescent="0.3">
      <c r="A1162" s="2">
        <v>1161</v>
      </c>
      <c r="B1162" s="7">
        <v>17</v>
      </c>
      <c r="C1162" s="2" t="s">
        <v>5</v>
      </c>
      <c r="D1162" s="7">
        <f>IF(ISBLANK('Raw sheet'!D1162),AVERAGE('Raw sheet'!$D$2:'Raw sheet'!$D$1500),'Raw sheet'!D1162)</f>
        <v>34109</v>
      </c>
      <c r="E1162" s="7" t="str">
        <f>IF(Table1[[#This Row],[Family_Income]]&gt;=100000,"Upper",IF(D1162&gt;=50000,"Middle","Lower"))</f>
        <v>Lower</v>
      </c>
      <c r="F1162" s="2" t="s">
        <v>4</v>
      </c>
      <c r="G1162" s="3">
        <f>IF(ISBLANK('Raw sheet'!F1162),AVERAGE('Raw sheet'!$F$2:'Raw sheet'!$F$1500),'Raw sheet'!F1162)</f>
        <v>1.25</v>
      </c>
      <c r="H1162" s="18">
        <v>78.599999999999994</v>
      </c>
      <c r="I1162" s="9" t="str">
        <f t="shared" si="36"/>
        <v>Good</v>
      </c>
      <c r="J1162" s="2">
        <v>3</v>
      </c>
      <c r="K1162" s="2">
        <v>36.6</v>
      </c>
      <c r="L1162" s="2" t="s">
        <v>4</v>
      </c>
      <c r="M1162" s="2" t="s">
        <v>4</v>
      </c>
      <c r="N1162" s="5">
        <f>IF(ISBLANK('Raw sheet'!L1162),AVERAGE('Raw sheet'!$L$2:'Raw sheet'!$L$1500),'Raw sheet'!L1162)</f>
        <v>4.5</v>
      </c>
      <c r="O1162" s="5" t="str">
        <f>IF(Table1[[#This Row],[Stress_Index]]&gt;=8,"High",IF(N1162&gt;=5,"Medium","Low"))</f>
        <v>Low</v>
      </c>
      <c r="P1162" s="3">
        <v>1.24</v>
      </c>
      <c r="Q1162" s="2">
        <v>0.67</v>
      </c>
      <c r="R1162" s="3">
        <v>0.67</v>
      </c>
      <c r="S1162" s="3" t="str">
        <f>IF(Table1[[#This Row],[CGPA]]&gt;=3,"High",IF(R1161&gt;=2,"Medium","Low"))</f>
        <v>Low</v>
      </c>
      <c r="T1162" s="2" t="s">
        <v>7</v>
      </c>
      <c r="U1162" s="2" t="s">
        <v>14</v>
      </c>
      <c r="V1162" s="2" t="s">
        <v>15</v>
      </c>
      <c r="W1162" s="7">
        <v>1</v>
      </c>
      <c r="X1162" t="str">
        <f t="shared" si="37"/>
        <v>Dropped Out</v>
      </c>
    </row>
    <row r="1163" spans="1:24" x14ac:dyDescent="0.3">
      <c r="A1163" s="2">
        <v>1162</v>
      </c>
      <c r="B1163" s="7">
        <v>26</v>
      </c>
      <c r="C1163" s="2" t="s">
        <v>5</v>
      </c>
      <c r="D1163" s="7">
        <f>IF(ISBLANK('Raw sheet'!D1163),AVERAGE('Raw sheet'!$D$2:'Raw sheet'!$D$1500),'Raw sheet'!D1163)</f>
        <v>66915</v>
      </c>
      <c r="E1163" s="7" t="str">
        <f>IF(Table1[[#This Row],[Family_Income]]&gt;=100000,"Upper",IF(D1163&gt;=50000,"Middle","Lower"))</f>
        <v>Middle</v>
      </c>
      <c r="F1163" s="2" t="s">
        <v>4</v>
      </c>
      <c r="G1163" s="3">
        <f>IF(ISBLANK('Raw sheet'!F1163),AVERAGE('Raw sheet'!$F$2:'Raw sheet'!$F$1500),'Raw sheet'!F1163)</f>
        <v>4.4000000000000004</v>
      </c>
      <c r="H1163" s="18">
        <v>87</v>
      </c>
      <c r="I1163" s="9" t="str">
        <f t="shared" si="36"/>
        <v>Good</v>
      </c>
      <c r="J1163" s="2">
        <v>6</v>
      </c>
      <c r="K1163" s="2">
        <v>37.700000000000003</v>
      </c>
      <c r="L1163" s="2" t="s">
        <v>3</v>
      </c>
      <c r="M1163" s="2" t="s">
        <v>3</v>
      </c>
      <c r="N1163" s="5">
        <f>IF(ISBLANK('Raw sheet'!L1163),AVERAGE('Raw sheet'!$L$2:'Raw sheet'!$L$1500),'Raw sheet'!L1163)</f>
        <v>2.4</v>
      </c>
      <c r="O1163" s="5" t="str">
        <f>IF(Table1[[#This Row],[Stress_Index]]&gt;=8,"High",IF(N1163&gt;=5,"Medium","Low"))</f>
        <v>Low</v>
      </c>
      <c r="P1163" s="3">
        <v>2.6</v>
      </c>
      <c r="Q1163" s="2">
        <v>2.0299999999999998</v>
      </c>
      <c r="R1163" s="3">
        <v>2.0299999999999998</v>
      </c>
      <c r="S1163" s="3" t="str">
        <f>IF(Table1[[#This Row],[CGPA]]&gt;=3,"High",IF(R1162&gt;=2,"Medium","Low"))</f>
        <v>Low</v>
      </c>
      <c r="T1163" s="2" t="s">
        <v>12</v>
      </c>
      <c r="U1163" s="2" t="s">
        <v>6</v>
      </c>
      <c r="V1163" s="2" t="s">
        <v>15</v>
      </c>
      <c r="W1163" s="7">
        <v>0</v>
      </c>
      <c r="X1163" t="str">
        <f t="shared" si="37"/>
        <v>Active</v>
      </c>
    </row>
    <row r="1164" spans="1:24" x14ac:dyDescent="0.3">
      <c r="A1164" s="2">
        <v>1163</v>
      </c>
      <c r="B1164" s="7">
        <v>17.899999999999999</v>
      </c>
      <c r="C1164" s="2" t="s">
        <v>5</v>
      </c>
      <c r="D1164" s="7">
        <f>IF(ISBLANK('Raw sheet'!D1164),AVERAGE('Raw sheet'!$D$2:'Raw sheet'!$D$1500),'Raw sheet'!D1164)</f>
        <v>25000</v>
      </c>
      <c r="E1164" s="7" t="str">
        <f>IF(Table1[[#This Row],[Family_Income]]&gt;=100000,"Upper",IF(D1164&gt;=50000,"Middle","Lower"))</f>
        <v>Lower</v>
      </c>
      <c r="F1164" s="2" t="s">
        <v>4</v>
      </c>
      <c r="G1164" s="3">
        <f>IF(ISBLANK('Raw sheet'!F1164),AVERAGE('Raw sheet'!$F$2:'Raw sheet'!$F$1500),'Raw sheet'!F1164)</f>
        <v>3.92</v>
      </c>
      <c r="H1164" s="18">
        <v>89.8</v>
      </c>
      <c r="I1164" s="9" t="str">
        <f t="shared" si="36"/>
        <v>Good</v>
      </c>
      <c r="J1164" s="2">
        <v>1</v>
      </c>
      <c r="K1164" s="2">
        <v>39.299999999999997</v>
      </c>
      <c r="L1164" s="2" t="s">
        <v>3</v>
      </c>
      <c r="M1164" s="2" t="s">
        <v>3</v>
      </c>
      <c r="N1164" s="5">
        <f>IF(ISBLANK('Raw sheet'!L1164),AVERAGE('Raw sheet'!$L$2:'Raw sheet'!$L$1500),'Raw sheet'!L1164)</f>
        <v>5.7</v>
      </c>
      <c r="O1164" s="5" t="str">
        <f>IF(Table1[[#This Row],[Stress_Index]]&gt;=8,"High",IF(N1164&gt;=5,"Medium","Low"))</f>
        <v>Medium</v>
      </c>
      <c r="P1164" s="3">
        <v>0.46</v>
      </c>
      <c r="Q1164" s="2">
        <v>0.61</v>
      </c>
      <c r="R1164" s="3">
        <v>0.61</v>
      </c>
      <c r="S1164" s="3" t="str">
        <f>IF(Table1[[#This Row],[CGPA]]&gt;=3,"High",IF(R1163&gt;=2,"Medium","Low"))</f>
        <v>Medium</v>
      </c>
      <c r="T1164" s="2" t="s">
        <v>12</v>
      </c>
      <c r="U1164" s="2" t="s">
        <v>13</v>
      </c>
      <c r="V1164" s="2" t="s">
        <v>15</v>
      </c>
      <c r="W1164" s="7">
        <v>1</v>
      </c>
      <c r="X1164" t="str">
        <f t="shared" si="37"/>
        <v>Dropped Out</v>
      </c>
    </row>
    <row r="1165" spans="1:24" x14ac:dyDescent="0.3">
      <c r="A1165" s="2">
        <v>1164</v>
      </c>
      <c r="B1165" s="7">
        <v>17.399999999999999</v>
      </c>
      <c r="C1165" s="2" t="s">
        <v>5</v>
      </c>
      <c r="D1165" s="7">
        <f>IF(ISBLANK('Raw sheet'!D1165),AVERAGE('Raw sheet'!$D$2:'Raw sheet'!$D$1500),'Raw sheet'!D1165)</f>
        <v>48900</v>
      </c>
      <c r="E1165" s="7" t="str">
        <f>IF(Table1[[#This Row],[Family_Income]]&gt;=100000,"Upper",IF(D1165&gt;=50000,"Middle","Lower"))</f>
        <v>Lower</v>
      </c>
      <c r="F1165" s="2" t="s">
        <v>4</v>
      </c>
      <c r="G1165" s="3">
        <f>IF(ISBLANK('Raw sheet'!F1165),AVERAGE('Raw sheet'!$F$2:'Raw sheet'!$F$1500),'Raw sheet'!F1165)</f>
        <v>5.59</v>
      </c>
      <c r="H1165" s="18">
        <v>73.8</v>
      </c>
      <c r="I1165" s="9" t="str">
        <f t="shared" si="36"/>
        <v>Low</v>
      </c>
      <c r="J1165" s="2">
        <v>3</v>
      </c>
      <c r="K1165" s="2">
        <v>40.799999999999997</v>
      </c>
      <c r="L1165" s="2" t="s">
        <v>3</v>
      </c>
      <c r="M1165" s="2" t="s">
        <v>3</v>
      </c>
      <c r="N1165" s="5">
        <f>IF(ISBLANK('Raw sheet'!L1165),AVERAGE('Raw sheet'!$L$2:'Raw sheet'!$L$1500),'Raw sheet'!L1165)</f>
        <v>7.5</v>
      </c>
      <c r="O1165" s="5" t="str">
        <f>IF(Table1[[#This Row],[Stress_Index]]&gt;=8,"High",IF(N1165&gt;=5,"Medium","Low"))</f>
        <v>Medium</v>
      </c>
      <c r="P1165" s="3">
        <v>0.77</v>
      </c>
      <c r="Q1165" s="2">
        <v>1.1399999999999999</v>
      </c>
      <c r="R1165" s="3">
        <v>1.1399999999999999</v>
      </c>
      <c r="S1165" s="3" t="str">
        <f>IF(Table1[[#This Row],[CGPA]]&gt;=3,"High",IF(R1164&gt;=2,"Medium","Low"))</f>
        <v>Low</v>
      </c>
      <c r="T1165" s="2" t="s">
        <v>2</v>
      </c>
      <c r="U1165" s="2" t="s">
        <v>8</v>
      </c>
      <c r="V1165" s="2" t="s">
        <v>9</v>
      </c>
      <c r="W1165" s="7">
        <v>1</v>
      </c>
      <c r="X1165" t="str">
        <f t="shared" si="37"/>
        <v>Dropped Out</v>
      </c>
    </row>
    <row r="1166" spans="1:24" x14ac:dyDescent="0.3">
      <c r="A1166" s="2">
        <v>1165</v>
      </c>
      <c r="B1166" s="7">
        <v>23.2</v>
      </c>
      <c r="C1166" s="2" t="s">
        <v>11</v>
      </c>
      <c r="D1166" s="7">
        <f>IF(ISBLANK('Raw sheet'!D1166),AVERAGE('Raw sheet'!$D$2:'Raw sheet'!$D$1500),'Raw sheet'!D1166)</f>
        <v>40633</v>
      </c>
      <c r="E1166" s="7" t="str">
        <f>IF(Table1[[#This Row],[Family_Income]]&gt;=100000,"Upper",IF(D1166&gt;=50000,"Middle","Lower"))</f>
        <v>Lower</v>
      </c>
      <c r="F1166" s="2" t="s">
        <v>4</v>
      </c>
      <c r="G1166" s="3">
        <f>IF(ISBLANK('Raw sheet'!F1166),AVERAGE('Raw sheet'!$F$2:'Raw sheet'!$F$1500),'Raw sheet'!F1166)</f>
        <v>2.66</v>
      </c>
      <c r="H1166" s="18">
        <v>84.4</v>
      </c>
      <c r="I1166" s="9" t="str">
        <f t="shared" si="36"/>
        <v>Good</v>
      </c>
      <c r="J1166" s="2">
        <v>1</v>
      </c>
      <c r="K1166" s="2">
        <v>39.299999999999997</v>
      </c>
      <c r="L1166" s="2" t="s">
        <v>4</v>
      </c>
      <c r="M1166" s="2" t="s">
        <v>3</v>
      </c>
      <c r="N1166" s="5">
        <f>IF(ISBLANK('Raw sheet'!L1166),AVERAGE('Raw sheet'!$L$2:'Raw sheet'!$L$1500),'Raw sheet'!L1166)</f>
        <v>3</v>
      </c>
      <c r="O1166" s="5" t="str">
        <f>IF(Table1[[#This Row],[Stress_Index]]&gt;=8,"High",IF(N1166&gt;=5,"Medium","Low"))</f>
        <v>Low</v>
      </c>
      <c r="P1166" s="3">
        <v>3.21</v>
      </c>
      <c r="Q1166" s="2">
        <v>3.07</v>
      </c>
      <c r="R1166" s="3">
        <v>3.08</v>
      </c>
      <c r="S1166" s="3" t="str">
        <f>IF(Table1[[#This Row],[CGPA]]&gt;=3,"High",IF(R1165&gt;=2,"Medium","Low"))</f>
        <v>High</v>
      </c>
      <c r="T1166" s="2" t="s">
        <v>7</v>
      </c>
      <c r="U1166" s="2" t="s">
        <v>8</v>
      </c>
      <c r="V1166" s="2" t="s">
        <v>9</v>
      </c>
      <c r="W1166" s="7">
        <v>0</v>
      </c>
      <c r="X1166" t="str">
        <f t="shared" si="37"/>
        <v>Active</v>
      </c>
    </row>
    <row r="1167" spans="1:24" x14ac:dyDescent="0.3">
      <c r="A1167" s="2">
        <v>1166</v>
      </c>
      <c r="B1167" s="7">
        <v>26.4</v>
      </c>
      <c r="C1167" s="2" t="s">
        <v>11</v>
      </c>
      <c r="D1167" s="7">
        <f>IF(ISBLANK('Raw sheet'!D1167),AVERAGE('Raw sheet'!$D$2:'Raw sheet'!$D$1500),'Raw sheet'!D1167)</f>
        <v>29036</v>
      </c>
      <c r="E1167" s="7" t="str">
        <f>IF(Table1[[#This Row],[Family_Income]]&gt;=100000,"Upper",IF(D1167&gt;=50000,"Middle","Lower"))</f>
        <v>Lower</v>
      </c>
      <c r="F1167" s="2" t="s">
        <v>4</v>
      </c>
      <c r="G1167" s="3">
        <f>IF(ISBLANK('Raw sheet'!F1167),AVERAGE('Raw sheet'!$F$2:'Raw sheet'!$F$1500),'Raw sheet'!F1167)</f>
        <v>3.55</v>
      </c>
      <c r="H1167" s="18">
        <v>87.2</v>
      </c>
      <c r="I1167" s="9" t="str">
        <f t="shared" si="36"/>
        <v>Good</v>
      </c>
      <c r="J1167" s="2">
        <v>2</v>
      </c>
      <c r="K1167" s="2">
        <v>43.5</v>
      </c>
      <c r="L1167" s="2" t="s">
        <v>4</v>
      </c>
      <c r="M1167" s="2" t="s">
        <v>4</v>
      </c>
      <c r="N1167" s="5">
        <f>IF(ISBLANK('Raw sheet'!L1167),AVERAGE('Raw sheet'!$L$2:'Raw sheet'!$L$1500),'Raw sheet'!L1167)</f>
        <v>5.3</v>
      </c>
      <c r="O1167" s="5" t="str">
        <f>IF(Table1[[#This Row],[Stress_Index]]&gt;=8,"High",IF(N1167&gt;=5,"Medium","Low"))</f>
        <v>Medium</v>
      </c>
      <c r="P1167" s="3">
        <v>2.06</v>
      </c>
      <c r="Q1167" s="2">
        <v>1.78</v>
      </c>
      <c r="R1167" s="3">
        <v>1.87</v>
      </c>
      <c r="S1167" s="3" t="str">
        <f>IF(Table1[[#This Row],[CGPA]]&gt;=3,"High",IF(R1166&gt;=2,"Medium","Low"))</f>
        <v>Medium</v>
      </c>
      <c r="T1167" s="2" t="s">
        <v>10</v>
      </c>
      <c r="U1167" s="2" t="s">
        <v>1</v>
      </c>
      <c r="V1167" s="2" t="s">
        <v>15</v>
      </c>
      <c r="W1167" s="7">
        <v>0</v>
      </c>
      <c r="X1167" t="str">
        <f t="shared" si="37"/>
        <v>Active</v>
      </c>
    </row>
    <row r="1168" spans="1:24" x14ac:dyDescent="0.3">
      <c r="A1168" s="2">
        <v>1167</v>
      </c>
      <c r="B1168" s="7">
        <v>24</v>
      </c>
      <c r="C1168" s="2" t="s">
        <v>5</v>
      </c>
      <c r="D1168" s="7">
        <f>IF(ISBLANK('Raw sheet'!D1168),AVERAGE('Raw sheet'!$D$2:'Raw sheet'!$D$1500),'Raw sheet'!D1168)</f>
        <v>25000</v>
      </c>
      <c r="E1168" s="7" t="str">
        <f>IF(Table1[[#This Row],[Family_Income]]&gt;=100000,"Upper",IF(D1168&gt;=50000,"Middle","Lower"))</f>
        <v>Lower</v>
      </c>
      <c r="F1168" s="2" t="s">
        <v>4</v>
      </c>
      <c r="G1168" s="3">
        <f>IF(ISBLANK('Raw sheet'!F1168),AVERAGE('Raw sheet'!$F$2:'Raw sheet'!$F$1500),'Raw sheet'!F1168)</f>
        <v>3.43</v>
      </c>
      <c r="H1168" s="18">
        <v>76</v>
      </c>
      <c r="I1168" s="9" t="str">
        <f t="shared" si="36"/>
        <v>Good</v>
      </c>
      <c r="J1168" s="2">
        <v>3</v>
      </c>
      <c r="K1168" s="2">
        <v>32</v>
      </c>
      <c r="L1168" s="2" t="s">
        <v>3</v>
      </c>
      <c r="M1168" s="2" t="s">
        <v>4</v>
      </c>
      <c r="N1168" s="5">
        <f>IF(ISBLANK('Raw sheet'!L1168),AVERAGE('Raw sheet'!$L$2:'Raw sheet'!$L$1500),'Raw sheet'!L1168)</f>
        <v>4.5</v>
      </c>
      <c r="O1168" s="5" t="str">
        <f>IF(Table1[[#This Row],[Stress_Index]]&gt;=8,"High",IF(N1168&gt;=5,"Medium","Low"))</f>
        <v>Low</v>
      </c>
      <c r="P1168" s="3">
        <v>3.24</v>
      </c>
      <c r="Q1168" s="2">
        <v>2.87</v>
      </c>
      <c r="R1168" s="3">
        <v>2.7</v>
      </c>
      <c r="S1168" s="3" t="str">
        <f>IF(Table1[[#This Row],[CGPA]]&gt;=3,"High",IF(R1167&gt;=2,"Medium","Low"))</f>
        <v>Low</v>
      </c>
      <c r="T1168" s="2" t="s">
        <v>7</v>
      </c>
      <c r="U1168" s="2" t="s">
        <v>1</v>
      </c>
      <c r="V1168" s="2" t="s">
        <v>9</v>
      </c>
      <c r="W1168" s="7">
        <v>0</v>
      </c>
      <c r="X1168" t="str">
        <f t="shared" si="37"/>
        <v>Active</v>
      </c>
    </row>
    <row r="1169" spans="1:24" x14ac:dyDescent="0.3">
      <c r="A1169" s="2">
        <v>1168</v>
      </c>
      <c r="B1169" s="7">
        <v>22.2</v>
      </c>
      <c r="C1169" s="2" t="s">
        <v>11</v>
      </c>
      <c r="D1169" s="7">
        <f>IF(ISBLANK('Raw sheet'!D1169),AVERAGE('Raw sheet'!$D$2:'Raw sheet'!$D$1500),'Raw sheet'!D1169)</f>
        <v>25000</v>
      </c>
      <c r="E1169" s="7" t="str">
        <f>IF(Table1[[#This Row],[Family_Income]]&gt;=100000,"Upper",IF(D1169&gt;=50000,"Middle","Lower"))</f>
        <v>Lower</v>
      </c>
      <c r="F1169" s="2" t="s">
        <v>4</v>
      </c>
      <c r="G1169" s="3">
        <f>IF(ISBLANK('Raw sheet'!F1169),AVERAGE('Raw sheet'!$F$2:'Raw sheet'!$F$1500),'Raw sheet'!F1169)</f>
        <v>5.04</v>
      </c>
      <c r="H1169" s="18">
        <v>88.2</v>
      </c>
      <c r="I1169" s="9" t="str">
        <f t="shared" si="36"/>
        <v>Good</v>
      </c>
      <c r="J1169" s="2">
        <v>4</v>
      </c>
      <c r="K1169" s="2">
        <v>42.9</v>
      </c>
      <c r="L1169" s="2" t="s">
        <v>3</v>
      </c>
      <c r="M1169" s="2" t="s">
        <v>4</v>
      </c>
      <c r="N1169" s="5">
        <f>IF(ISBLANK('Raw sheet'!L1169),AVERAGE('Raw sheet'!$L$2:'Raw sheet'!$L$1500),'Raw sheet'!L1169)</f>
        <v>7.3</v>
      </c>
      <c r="O1169" s="5" t="str">
        <f>IF(Table1[[#This Row],[Stress_Index]]&gt;=8,"High",IF(N1169&gt;=5,"Medium","Low"))</f>
        <v>Medium</v>
      </c>
      <c r="P1169" s="3">
        <v>1.2</v>
      </c>
      <c r="Q1169" s="2">
        <v>1.48</v>
      </c>
      <c r="R1169" s="3">
        <v>1.48</v>
      </c>
      <c r="S1169" s="3" t="str">
        <f>IF(Table1[[#This Row],[CGPA]]&gt;=3,"High",IF(R1168&gt;=2,"Medium","Low"))</f>
        <v>Medium</v>
      </c>
      <c r="T1169" s="2" t="s">
        <v>2</v>
      </c>
      <c r="U1169" s="2" t="s">
        <v>13</v>
      </c>
      <c r="V1169" s="2" t="s">
        <v>9</v>
      </c>
      <c r="W1169" s="7">
        <v>0</v>
      </c>
      <c r="X1169" t="str">
        <f t="shared" si="37"/>
        <v>Active</v>
      </c>
    </row>
    <row r="1170" spans="1:24" x14ac:dyDescent="0.3">
      <c r="A1170" s="2">
        <v>1169</v>
      </c>
      <c r="B1170" s="7">
        <v>22.3</v>
      </c>
      <c r="C1170" s="2" t="s">
        <v>11</v>
      </c>
      <c r="D1170" s="7">
        <f>IF(ISBLANK('Raw sheet'!D1170),AVERAGE('Raw sheet'!$D$2:'Raw sheet'!$D$1500),'Raw sheet'!D1170)</f>
        <v>35372</v>
      </c>
      <c r="E1170" s="7" t="str">
        <f>IF(Table1[[#This Row],[Family_Income]]&gt;=100000,"Upper",IF(D1170&gt;=50000,"Middle","Lower"))</f>
        <v>Lower</v>
      </c>
      <c r="F1170" s="2" t="s">
        <v>4</v>
      </c>
      <c r="G1170" s="3">
        <f>IF(ISBLANK('Raw sheet'!F1170),AVERAGE('Raw sheet'!$F$2:'Raw sheet'!$F$1500),'Raw sheet'!F1170)</f>
        <v>2.59</v>
      </c>
      <c r="H1170" s="18">
        <v>83.1</v>
      </c>
      <c r="I1170" s="9" t="str">
        <f t="shared" si="36"/>
        <v>Good</v>
      </c>
      <c r="J1170" s="2">
        <v>3</v>
      </c>
      <c r="K1170" s="2">
        <v>52.7</v>
      </c>
      <c r="L1170" s="2" t="s">
        <v>3</v>
      </c>
      <c r="M1170" s="2" t="s">
        <v>3</v>
      </c>
      <c r="N1170" s="5">
        <f>IF(ISBLANK('Raw sheet'!L1170),AVERAGE('Raw sheet'!$L$2:'Raw sheet'!$L$1500),'Raw sheet'!L1170)</f>
        <v>1.8</v>
      </c>
      <c r="O1170" s="5" t="str">
        <f>IF(Table1[[#This Row],[Stress_Index]]&gt;=8,"High",IF(N1170&gt;=5,"Medium","Low"))</f>
        <v>Low</v>
      </c>
      <c r="P1170" s="3">
        <v>2.89</v>
      </c>
      <c r="Q1170" s="2">
        <v>2.68</v>
      </c>
      <c r="R1170" s="3">
        <v>2.68</v>
      </c>
      <c r="S1170" s="3" t="str">
        <f>IF(Table1[[#This Row],[CGPA]]&gt;=3,"High",IF(R1169&gt;=2,"Medium","Low"))</f>
        <v>Low</v>
      </c>
      <c r="T1170" s="2" t="s">
        <v>2</v>
      </c>
      <c r="U1170" s="2" t="s">
        <v>1</v>
      </c>
      <c r="V1170" s="2" t="s">
        <v>9</v>
      </c>
      <c r="W1170" s="7">
        <v>1</v>
      </c>
      <c r="X1170" t="str">
        <f t="shared" si="37"/>
        <v>Dropped Out</v>
      </c>
    </row>
    <row r="1171" spans="1:24" x14ac:dyDescent="0.3">
      <c r="A1171" s="2">
        <v>1170</v>
      </c>
      <c r="B1171" s="7">
        <v>22.9</v>
      </c>
      <c r="C1171" s="2" t="s">
        <v>11</v>
      </c>
      <c r="D1171" s="7">
        <f>IF(ISBLANK('Raw sheet'!D1171),AVERAGE('Raw sheet'!$D$2:'Raw sheet'!$D$1500),'Raw sheet'!D1171)</f>
        <v>25000</v>
      </c>
      <c r="E1171" s="7" t="str">
        <f>IF(Table1[[#This Row],[Family_Income]]&gt;=100000,"Upper",IF(D1171&gt;=50000,"Middle","Lower"))</f>
        <v>Lower</v>
      </c>
      <c r="F1171" s="2" t="s">
        <v>4</v>
      </c>
      <c r="G1171" s="3">
        <f>IF(ISBLANK('Raw sheet'!F1171),AVERAGE('Raw sheet'!$F$2:'Raw sheet'!$F$1500),'Raw sheet'!F1171)</f>
        <v>5.66</v>
      </c>
      <c r="H1171" s="18">
        <v>79.8</v>
      </c>
      <c r="I1171" s="9" t="str">
        <f t="shared" si="36"/>
        <v>Good</v>
      </c>
      <c r="J1171" s="2">
        <v>0</v>
      </c>
      <c r="K1171" s="2">
        <v>32.4</v>
      </c>
      <c r="L1171" s="2" t="s">
        <v>3</v>
      </c>
      <c r="M1171" s="2" t="s">
        <v>4</v>
      </c>
      <c r="N1171" s="5">
        <f>IF(ISBLANK('Raw sheet'!L1171),AVERAGE('Raw sheet'!$L$2:'Raw sheet'!$L$1500),'Raw sheet'!L1171)</f>
        <v>7.5</v>
      </c>
      <c r="O1171" s="5" t="str">
        <f>IF(Table1[[#This Row],[Stress_Index]]&gt;=8,"High",IF(N1171&gt;=5,"Medium","Low"))</f>
        <v>Medium</v>
      </c>
      <c r="P1171" s="3">
        <v>3.86</v>
      </c>
      <c r="Q1171" s="2">
        <v>3.94</v>
      </c>
      <c r="R1171" s="3">
        <v>3.91</v>
      </c>
      <c r="S1171" s="3" t="str">
        <f>IF(Table1[[#This Row],[CGPA]]&gt;=3,"High",IF(R1170&gt;=2,"Medium","Low"))</f>
        <v>High</v>
      </c>
      <c r="T1171" s="2" t="s">
        <v>10</v>
      </c>
      <c r="U1171" s="2" t="s">
        <v>6</v>
      </c>
      <c r="V1171" s="2" t="s">
        <v>15</v>
      </c>
      <c r="W1171" s="7">
        <v>0</v>
      </c>
      <c r="X1171" t="str">
        <f t="shared" si="37"/>
        <v>Active</v>
      </c>
    </row>
    <row r="1172" spans="1:24" x14ac:dyDescent="0.3">
      <c r="A1172" s="2">
        <v>1171</v>
      </c>
      <c r="B1172" s="7">
        <v>22.7</v>
      </c>
      <c r="C1172" s="2" t="s">
        <v>5</v>
      </c>
      <c r="D1172" s="7">
        <f>IF(ISBLANK('Raw sheet'!D1172),AVERAGE('Raw sheet'!$D$2:'Raw sheet'!$D$1500),'Raw sheet'!D1172)</f>
        <v>32159</v>
      </c>
      <c r="E1172" s="7" t="str">
        <f>IF(Table1[[#This Row],[Family_Income]]&gt;=100000,"Upper",IF(D1172&gt;=50000,"Middle","Lower"))</f>
        <v>Lower</v>
      </c>
      <c r="F1172" s="2" t="s">
        <v>4</v>
      </c>
      <c r="G1172" s="3">
        <f>IF(ISBLANK('Raw sheet'!F1172),AVERAGE('Raw sheet'!$F$2:'Raw sheet'!$F$1500),'Raw sheet'!F1172)</f>
        <v>3.04</v>
      </c>
      <c r="H1172" s="18">
        <v>83.1</v>
      </c>
      <c r="I1172" s="9" t="str">
        <f t="shared" si="36"/>
        <v>Good</v>
      </c>
      <c r="J1172" s="2">
        <v>4</v>
      </c>
      <c r="K1172" s="2">
        <v>35.799999999999997</v>
      </c>
      <c r="L1172" s="2" t="s">
        <v>4</v>
      </c>
      <c r="M1172" s="2" t="s">
        <v>3</v>
      </c>
      <c r="N1172" s="5">
        <f>IF(ISBLANK('Raw sheet'!L1172),AVERAGE('Raw sheet'!$L$2:'Raw sheet'!$L$1500),'Raw sheet'!L1172)</f>
        <v>4.2</v>
      </c>
      <c r="O1172" s="5" t="str">
        <f>IF(Table1[[#This Row],[Stress_Index]]&gt;=8,"High",IF(N1172&gt;=5,"Medium","Low"))</f>
        <v>Low</v>
      </c>
      <c r="P1172" s="3">
        <v>1.68</v>
      </c>
      <c r="Q1172" s="2">
        <v>1.85</v>
      </c>
      <c r="R1172" s="3">
        <v>1.85</v>
      </c>
      <c r="S1172" s="3" t="str">
        <f>IF(Table1[[#This Row],[CGPA]]&gt;=3,"High",IF(R1171&gt;=2,"Medium","Low"))</f>
        <v>Medium</v>
      </c>
      <c r="T1172" s="2" t="s">
        <v>7</v>
      </c>
      <c r="U1172" s="2" t="s">
        <v>13</v>
      </c>
      <c r="V1172" s="2" t="s">
        <v>0</v>
      </c>
      <c r="W1172" s="7">
        <v>0</v>
      </c>
      <c r="X1172" t="str">
        <f t="shared" si="37"/>
        <v>Active</v>
      </c>
    </row>
    <row r="1173" spans="1:24" x14ac:dyDescent="0.3">
      <c r="A1173" s="2">
        <v>1172</v>
      </c>
      <c r="B1173" s="7">
        <v>21.6</v>
      </c>
      <c r="C1173" s="2" t="s">
        <v>11</v>
      </c>
      <c r="D1173" s="7">
        <f>IF(ISBLANK('Raw sheet'!D1173),AVERAGE('Raw sheet'!$D$2:'Raw sheet'!$D$1500),'Raw sheet'!D1173)</f>
        <v>41136</v>
      </c>
      <c r="E1173" s="7" t="str">
        <f>IF(Table1[[#This Row],[Family_Income]]&gt;=100000,"Upper",IF(D1173&gt;=50000,"Middle","Lower"))</f>
        <v>Lower</v>
      </c>
      <c r="F1173" s="2" t="s">
        <v>4</v>
      </c>
      <c r="G1173" s="3">
        <f>IF(ISBLANK('Raw sheet'!F1173),AVERAGE('Raw sheet'!$F$2:'Raw sheet'!$F$1500),'Raw sheet'!F1173)</f>
        <v>3.42</v>
      </c>
      <c r="H1173" s="18">
        <v>69.400000000000006</v>
      </c>
      <c r="I1173" s="9" t="str">
        <f t="shared" si="36"/>
        <v>Low</v>
      </c>
      <c r="J1173" s="2">
        <v>1</v>
      </c>
      <c r="K1173" s="2">
        <v>23</v>
      </c>
      <c r="L1173" s="2" t="s">
        <v>3</v>
      </c>
      <c r="M1173" s="2" t="s">
        <v>3</v>
      </c>
      <c r="N1173" s="5">
        <f>IF(ISBLANK('Raw sheet'!L1173),AVERAGE('Raw sheet'!$L$2:'Raw sheet'!$L$1500),'Raw sheet'!L1173)</f>
        <v>5.2</v>
      </c>
      <c r="O1173" s="5" t="str">
        <f>IF(Table1[[#This Row],[Stress_Index]]&gt;=8,"High",IF(N1173&gt;=5,"Medium","Low"))</f>
        <v>Medium</v>
      </c>
      <c r="P1173" s="3">
        <v>1.1599999999999999</v>
      </c>
      <c r="Q1173" s="2">
        <v>0.8</v>
      </c>
      <c r="R1173" s="3">
        <v>0.75</v>
      </c>
      <c r="S1173" s="3" t="str">
        <f>IF(Table1[[#This Row],[CGPA]]&gt;=3,"High",IF(R1172&gt;=2,"Medium","Low"))</f>
        <v>Low</v>
      </c>
      <c r="T1173" s="2" t="s">
        <v>12</v>
      </c>
      <c r="U1173" s="2" t="s">
        <v>1</v>
      </c>
      <c r="V1173" s="2" t="s">
        <v>9</v>
      </c>
      <c r="W1173" s="7">
        <v>0</v>
      </c>
      <c r="X1173" t="str">
        <f t="shared" si="37"/>
        <v>Active</v>
      </c>
    </row>
    <row r="1174" spans="1:24" x14ac:dyDescent="0.3">
      <c r="A1174" s="2">
        <v>1173</v>
      </c>
      <c r="B1174" s="7">
        <v>21.2</v>
      </c>
      <c r="C1174" s="2" t="s">
        <v>5</v>
      </c>
      <c r="D1174" s="7">
        <f>IF(ISBLANK('Raw sheet'!D1174),AVERAGE('Raw sheet'!$D$2:'Raw sheet'!$D$1500),'Raw sheet'!D1174)</f>
        <v>53698</v>
      </c>
      <c r="E1174" s="7" t="str">
        <f>IF(Table1[[#This Row],[Family_Income]]&gt;=100000,"Upper",IF(D1174&gt;=50000,"Middle","Lower"))</f>
        <v>Middle</v>
      </c>
      <c r="F1174" s="2" t="s">
        <v>4</v>
      </c>
      <c r="G1174" s="3">
        <f>IF(ISBLANK('Raw sheet'!F1174),AVERAGE('Raw sheet'!$F$2:'Raw sheet'!$F$1500),'Raw sheet'!F1174)</f>
        <v>4.05</v>
      </c>
      <c r="H1174" s="18">
        <v>83.1</v>
      </c>
      <c r="I1174" s="9" t="str">
        <f t="shared" si="36"/>
        <v>Good</v>
      </c>
      <c r="J1174" s="2">
        <v>1</v>
      </c>
      <c r="K1174" s="2">
        <v>28</v>
      </c>
      <c r="L1174" s="2" t="s">
        <v>3</v>
      </c>
      <c r="M1174" s="2" t="s">
        <v>3</v>
      </c>
      <c r="N1174" s="5">
        <f>IF(ISBLANK('Raw sheet'!L1174),AVERAGE('Raw sheet'!$L$2:'Raw sheet'!$L$1500),'Raw sheet'!L1174)</f>
        <v>7</v>
      </c>
      <c r="O1174" s="5" t="str">
        <f>IF(Table1[[#This Row],[Stress_Index]]&gt;=8,"High",IF(N1174&gt;=5,"Medium","Low"))</f>
        <v>Medium</v>
      </c>
      <c r="P1174" s="3">
        <v>0.82</v>
      </c>
      <c r="Q1174" s="2">
        <v>0.94</v>
      </c>
      <c r="R1174" s="3">
        <v>0.92</v>
      </c>
      <c r="S1174" s="3" t="str">
        <f>IF(Table1[[#This Row],[CGPA]]&gt;=3,"High",IF(R1173&gt;=2,"Medium","Low"))</f>
        <v>Low</v>
      </c>
      <c r="T1174" s="2" t="s">
        <v>10</v>
      </c>
      <c r="U1174" s="2" t="s">
        <v>13</v>
      </c>
      <c r="V1174" s="2" t="s">
        <v>9</v>
      </c>
      <c r="W1174" s="7">
        <v>0</v>
      </c>
      <c r="X1174" t="str">
        <f t="shared" si="37"/>
        <v>Active</v>
      </c>
    </row>
    <row r="1175" spans="1:24" x14ac:dyDescent="0.3">
      <c r="A1175" s="2">
        <v>1174</v>
      </c>
      <c r="B1175" s="7">
        <v>20.9</v>
      </c>
      <c r="C1175" s="2" t="s">
        <v>11</v>
      </c>
      <c r="D1175" s="7">
        <f>IF(ISBLANK('Raw sheet'!D1175),AVERAGE('Raw sheet'!$D$2:'Raw sheet'!$D$1500),'Raw sheet'!D1175)</f>
        <v>25000</v>
      </c>
      <c r="E1175" s="7" t="str">
        <f>IF(Table1[[#This Row],[Family_Income]]&gt;=100000,"Upper",IF(D1175&gt;=50000,"Middle","Lower"))</f>
        <v>Lower</v>
      </c>
      <c r="F1175" s="2" t="s">
        <v>4</v>
      </c>
      <c r="G1175" s="3">
        <f>IF(ISBLANK('Raw sheet'!F1175),AVERAGE('Raw sheet'!$F$2:'Raw sheet'!$F$1500),'Raw sheet'!F1175)</f>
        <v>2.68</v>
      </c>
      <c r="H1175" s="18">
        <v>75.2</v>
      </c>
      <c r="I1175" s="9" t="str">
        <f t="shared" si="36"/>
        <v>Good</v>
      </c>
      <c r="J1175" s="2">
        <v>2</v>
      </c>
      <c r="K1175" s="2">
        <v>34.200000000000003</v>
      </c>
      <c r="L1175" s="2" t="s">
        <v>3</v>
      </c>
      <c r="M1175" s="2" t="s">
        <v>3</v>
      </c>
      <c r="N1175" s="5">
        <f>IF(ISBLANK('Raw sheet'!L1175),AVERAGE('Raw sheet'!$L$2:'Raw sheet'!$L$1500),'Raw sheet'!L1175)</f>
        <v>8.1999999999999993</v>
      </c>
      <c r="O1175" s="5" t="str">
        <f>IF(Table1[[#This Row],[Stress_Index]]&gt;=8,"High",IF(N1175&gt;=5,"Medium","Low"))</f>
        <v>High</v>
      </c>
      <c r="P1175" s="3">
        <v>1.61</v>
      </c>
      <c r="Q1175" s="2">
        <v>2</v>
      </c>
      <c r="R1175" s="3">
        <v>1.95</v>
      </c>
      <c r="S1175" s="3" t="str">
        <f>IF(Table1[[#This Row],[CGPA]]&gt;=3,"High",IF(R1174&gt;=2,"Medium","Low"))</f>
        <v>Low</v>
      </c>
      <c r="T1175" s="2" t="s">
        <v>12</v>
      </c>
      <c r="U1175" s="2" t="s">
        <v>1</v>
      </c>
      <c r="V1175" s="2" t="s">
        <v>0</v>
      </c>
      <c r="W1175" s="7">
        <v>0</v>
      </c>
      <c r="X1175" t="str">
        <f t="shared" si="37"/>
        <v>Active</v>
      </c>
    </row>
    <row r="1176" spans="1:24" x14ac:dyDescent="0.3">
      <c r="A1176" s="2">
        <v>1175</v>
      </c>
      <c r="B1176" s="7">
        <v>19.3</v>
      </c>
      <c r="C1176" s="2" t="s">
        <v>5</v>
      </c>
      <c r="D1176" s="7">
        <f>IF(ISBLANK('Raw sheet'!D1176),AVERAGE('Raw sheet'!$D$2:'Raw sheet'!$D$1500),'Raw sheet'!D1176)</f>
        <v>65496</v>
      </c>
      <c r="E1176" s="7" t="str">
        <f>IF(Table1[[#This Row],[Family_Income]]&gt;=100000,"Upper",IF(D1176&gt;=50000,"Middle","Lower"))</f>
        <v>Middle</v>
      </c>
      <c r="F1176" s="2" t="s">
        <v>4</v>
      </c>
      <c r="G1176" s="3">
        <f>IF(ISBLANK('Raw sheet'!F1176),AVERAGE('Raw sheet'!$F$2:'Raw sheet'!$F$1500),'Raw sheet'!F1176)</f>
        <v>4.51</v>
      </c>
      <c r="H1176" s="18">
        <v>82.2</v>
      </c>
      <c r="I1176" s="9" t="str">
        <f t="shared" si="36"/>
        <v>Good</v>
      </c>
      <c r="J1176" s="2">
        <v>4</v>
      </c>
      <c r="K1176" s="2">
        <v>25.3</v>
      </c>
      <c r="L1176" s="2" t="s">
        <v>3</v>
      </c>
      <c r="M1176" s="2" t="s">
        <v>3</v>
      </c>
      <c r="N1176" s="5">
        <f>IF(ISBLANK('Raw sheet'!L1176),AVERAGE('Raw sheet'!$L$2:'Raw sheet'!$L$1500),'Raw sheet'!L1176)</f>
        <v>5.6</v>
      </c>
      <c r="O1176" s="5" t="str">
        <f>IF(Table1[[#This Row],[Stress_Index]]&gt;=8,"High",IF(N1176&gt;=5,"Medium","Low"))</f>
        <v>Medium</v>
      </c>
      <c r="P1176" s="3">
        <v>1.39</v>
      </c>
      <c r="Q1176" s="2">
        <v>1.64</v>
      </c>
      <c r="R1176" s="3">
        <v>1.56</v>
      </c>
      <c r="S1176" s="3" t="str">
        <f>IF(Table1[[#This Row],[CGPA]]&gt;=3,"High",IF(R1175&gt;=2,"Medium","Low"))</f>
        <v>Low</v>
      </c>
      <c r="T1176" s="2" t="s">
        <v>12</v>
      </c>
      <c r="U1176" s="2" t="s">
        <v>1</v>
      </c>
      <c r="V1176" s="2" t="s">
        <v>16</v>
      </c>
      <c r="W1176" s="7">
        <v>0</v>
      </c>
      <c r="X1176" t="str">
        <f t="shared" si="37"/>
        <v>Active</v>
      </c>
    </row>
    <row r="1177" spans="1:24" x14ac:dyDescent="0.3">
      <c r="A1177" s="2">
        <v>1176</v>
      </c>
      <c r="B1177" s="7">
        <v>20.399999999999999</v>
      </c>
      <c r="C1177" s="2" t="s">
        <v>5</v>
      </c>
      <c r="D1177" s="7">
        <f>IF(ISBLANK('Raw sheet'!D1177),AVERAGE('Raw sheet'!$D$2:'Raw sheet'!$D$1500),'Raw sheet'!D1177)</f>
        <v>82225</v>
      </c>
      <c r="E1177" s="7" t="str">
        <f>IF(Table1[[#This Row],[Family_Income]]&gt;=100000,"Upper",IF(D1177&gt;=50000,"Middle","Lower"))</f>
        <v>Middle</v>
      </c>
      <c r="F1177" s="2" t="s">
        <v>4</v>
      </c>
      <c r="G1177" s="3">
        <f>IF(ISBLANK('Raw sheet'!F1177),AVERAGE('Raw sheet'!$F$2:'Raw sheet'!$F$1500),'Raw sheet'!F1177)</f>
        <v>4.34</v>
      </c>
      <c r="H1177" s="18">
        <v>78.8</v>
      </c>
      <c r="I1177" s="9" t="str">
        <f t="shared" si="36"/>
        <v>Good</v>
      </c>
      <c r="J1177" s="2">
        <v>4</v>
      </c>
      <c r="K1177" s="2">
        <v>31.1</v>
      </c>
      <c r="L1177" s="2" t="s">
        <v>3</v>
      </c>
      <c r="M1177" s="2" t="s">
        <v>4</v>
      </c>
      <c r="N1177" s="5">
        <f>IF(ISBLANK('Raw sheet'!L1177),AVERAGE('Raw sheet'!$L$2:'Raw sheet'!$L$1500),'Raw sheet'!L1177)</f>
        <v>4.2</v>
      </c>
      <c r="O1177" s="5" t="str">
        <f>IF(Table1[[#This Row],[Stress_Index]]&gt;=8,"High",IF(N1177&gt;=5,"Medium","Low"))</f>
        <v>Low</v>
      </c>
      <c r="P1177" s="3">
        <v>1.55</v>
      </c>
      <c r="Q1177" s="2">
        <v>1.19</v>
      </c>
      <c r="R1177" s="3">
        <v>1.19</v>
      </c>
      <c r="S1177" s="3" t="str">
        <f>IF(Table1[[#This Row],[CGPA]]&gt;=3,"High",IF(R1176&gt;=2,"Medium","Low"))</f>
        <v>Low</v>
      </c>
      <c r="T1177" s="2" t="s">
        <v>2</v>
      </c>
      <c r="U1177" s="2" t="s">
        <v>13</v>
      </c>
      <c r="V1177" s="2" t="s">
        <v>9</v>
      </c>
      <c r="W1177" s="7">
        <v>0</v>
      </c>
      <c r="X1177" t="str">
        <f t="shared" si="37"/>
        <v>Active</v>
      </c>
    </row>
    <row r="1178" spans="1:24" x14ac:dyDescent="0.3">
      <c r="A1178" s="2">
        <v>1177</v>
      </c>
      <c r="B1178" s="7">
        <v>17.3</v>
      </c>
      <c r="C1178" s="2" t="s">
        <v>5</v>
      </c>
      <c r="D1178" s="7">
        <f>IF(ISBLANK('Raw sheet'!D1178),AVERAGE('Raw sheet'!$D$2:'Raw sheet'!$D$1500),'Raw sheet'!D1178)</f>
        <v>38028</v>
      </c>
      <c r="E1178" s="7" t="str">
        <f>IF(Table1[[#This Row],[Family_Income]]&gt;=100000,"Upper",IF(D1178&gt;=50000,"Middle","Lower"))</f>
        <v>Lower</v>
      </c>
      <c r="F1178" s="2" t="s">
        <v>4</v>
      </c>
      <c r="G1178" s="3">
        <f>IF(ISBLANK('Raw sheet'!F1178),AVERAGE('Raw sheet'!$F$2:'Raw sheet'!$F$1500),'Raw sheet'!F1178)</f>
        <v>3.19</v>
      </c>
      <c r="H1178" s="18">
        <v>84.3</v>
      </c>
      <c r="I1178" s="9" t="str">
        <f t="shared" si="36"/>
        <v>Good</v>
      </c>
      <c r="J1178" s="2">
        <v>1</v>
      </c>
      <c r="K1178" s="2">
        <v>34.1</v>
      </c>
      <c r="L1178" s="2" t="s">
        <v>3</v>
      </c>
      <c r="M1178" s="2" t="s">
        <v>3</v>
      </c>
      <c r="N1178" s="5">
        <f>IF(ISBLANK('Raw sheet'!L1178),AVERAGE('Raw sheet'!$L$2:'Raw sheet'!$L$1500),'Raw sheet'!L1178)</f>
        <v>4.5</v>
      </c>
      <c r="O1178" s="5" t="str">
        <f>IF(Table1[[#This Row],[Stress_Index]]&gt;=8,"High",IF(N1178&gt;=5,"Medium","Low"))</f>
        <v>Low</v>
      </c>
      <c r="P1178" s="3">
        <v>0.39</v>
      </c>
      <c r="Q1178" s="2">
        <v>1.04</v>
      </c>
      <c r="R1178" s="3">
        <v>1.03</v>
      </c>
      <c r="S1178" s="3" t="str">
        <f>IF(Table1[[#This Row],[CGPA]]&gt;=3,"High",IF(R1177&gt;=2,"Medium","Low"))</f>
        <v>Low</v>
      </c>
      <c r="T1178" s="2" t="s">
        <v>12</v>
      </c>
      <c r="U1178" s="2" t="s">
        <v>14</v>
      </c>
      <c r="V1178" s="2" t="s">
        <v>15</v>
      </c>
      <c r="W1178" s="7">
        <v>0</v>
      </c>
      <c r="X1178" t="str">
        <f t="shared" si="37"/>
        <v>Active</v>
      </c>
    </row>
    <row r="1179" spans="1:24" x14ac:dyDescent="0.3">
      <c r="A1179" s="2">
        <v>1178</v>
      </c>
      <c r="B1179" s="7">
        <v>20.8</v>
      </c>
      <c r="C1179" s="2" t="s">
        <v>5</v>
      </c>
      <c r="D1179" s="7">
        <f>IF(ISBLANK('Raw sheet'!D1179),AVERAGE('Raw sheet'!$D$2:'Raw sheet'!$D$1500),'Raw sheet'!D1179)</f>
        <v>25000</v>
      </c>
      <c r="E1179" s="7" t="str">
        <f>IF(Table1[[#This Row],[Family_Income]]&gt;=100000,"Upper",IF(D1179&gt;=50000,"Middle","Lower"))</f>
        <v>Lower</v>
      </c>
      <c r="F1179" s="2" t="s">
        <v>4</v>
      </c>
      <c r="G1179" s="3">
        <f>IF(ISBLANK('Raw sheet'!F1179),AVERAGE('Raw sheet'!$F$2:'Raw sheet'!$F$1500),'Raw sheet'!F1179)</f>
        <v>4.37</v>
      </c>
      <c r="H1179" s="18">
        <v>91.5</v>
      </c>
      <c r="I1179" s="9" t="str">
        <f t="shared" si="36"/>
        <v>Good</v>
      </c>
      <c r="J1179" s="2">
        <v>1</v>
      </c>
      <c r="K1179" s="2">
        <v>48.2</v>
      </c>
      <c r="L1179" s="2" t="s">
        <v>3</v>
      </c>
      <c r="M1179" s="2" t="s">
        <v>3</v>
      </c>
      <c r="N1179" s="5">
        <f>IF(ISBLANK('Raw sheet'!L1179),AVERAGE('Raw sheet'!$L$2:'Raw sheet'!$L$1500),'Raw sheet'!L1179)</f>
        <v>7.6</v>
      </c>
      <c r="O1179" s="5" t="str">
        <f>IF(Table1[[#This Row],[Stress_Index]]&gt;=8,"High",IF(N1179&gt;=5,"Medium","Low"))</f>
        <v>Medium</v>
      </c>
      <c r="P1179" s="3">
        <v>2.3199999999999998</v>
      </c>
      <c r="Q1179" s="2">
        <v>2.4300000000000002</v>
      </c>
      <c r="R1179" s="3">
        <v>2.4900000000000002</v>
      </c>
      <c r="S1179" s="3" t="str">
        <f>IF(Table1[[#This Row],[CGPA]]&gt;=3,"High",IF(R1178&gt;=2,"Medium","Low"))</f>
        <v>Low</v>
      </c>
      <c r="T1179" s="2" t="s">
        <v>10</v>
      </c>
      <c r="U1179" s="2" t="s">
        <v>14</v>
      </c>
      <c r="V1179" s="2" t="s">
        <v>9</v>
      </c>
      <c r="W1179" s="7">
        <v>0</v>
      </c>
      <c r="X1179" t="str">
        <f t="shared" si="37"/>
        <v>Active</v>
      </c>
    </row>
    <row r="1180" spans="1:24" x14ac:dyDescent="0.3">
      <c r="A1180" s="2">
        <v>1179</v>
      </c>
      <c r="B1180" s="7">
        <v>18.8</v>
      </c>
      <c r="C1180" s="2" t="s">
        <v>11</v>
      </c>
      <c r="D1180" s="7">
        <f>IF(ISBLANK('Raw sheet'!D1180),AVERAGE('Raw sheet'!$D$2:'Raw sheet'!$D$1500),'Raw sheet'!D1180)</f>
        <v>25000</v>
      </c>
      <c r="E1180" s="7" t="str">
        <f>IF(Table1[[#This Row],[Family_Income]]&gt;=100000,"Upper",IF(D1180&gt;=50000,"Middle","Lower"))</f>
        <v>Lower</v>
      </c>
      <c r="F1180" s="2" t="s">
        <v>4</v>
      </c>
      <c r="G1180" s="3">
        <f>IF(ISBLANK('Raw sheet'!F1180),AVERAGE('Raw sheet'!$F$2:'Raw sheet'!$F$1500),'Raw sheet'!F1180)</f>
        <v>4.41</v>
      </c>
      <c r="H1180" s="18">
        <v>83</v>
      </c>
      <c r="I1180" s="9" t="str">
        <f t="shared" si="36"/>
        <v>Good</v>
      </c>
      <c r="J1180" s="2">
        <v>2</v>
      </c>
      <c r="K1180" s="2">
        <v>19.600000000000001</v>
      </c>
      <c r="L1180" s="2" t="s">
        <v>3</v>
      </c>
      <c r="M1180" s="2" t="s">
        <v>4</v>
      </c>
      <c r="N1180" s="5">
        <f>IF(ISBLANK('Raw sheet'!L1180),AVERAGE('Raw sheet'!$L$2:'Raw sheet'!$L$1500),'Raw sheet'!L1180)</f>
        <v>3.9</v>
      </c>
      <c r="O1180" s="5" t="str">
        <f>IF(Table1[[#This Row],[Stress_Index]]&gt;=8,"High",IF(N1180&gt;=5,"Medium","Low"))</f>
        <v>Low</v>
      </c>
      <c r="P1180" s="3">
        <v>3.91</v>
      </c>
      <c r="Q1180" s="2">
        <v>3.68</v>
      </c>
      <c r="R1180" s="3">
        <v>3.68</v>
      </c>
      <c r="S1180" s="3" t="str">
        <f>IF(Table1[[#This Row],[CGPA]]&gt;=3,"High",IF(R1179&gt;=2,"Medium","Low"))</f>
        <v>High</v>
      </c>
      <c r="T1180" s="2" t="s">
        <v>2</v>
      </c>
      <c r="U1180" s="2" t="s">
        <v>13</v>
      </c>
      <c r="V1180" s="2" t="s">
        <v>16</v>
      </c>
      <c r="W1180" s="7">
        <v>1</v>
      </c>
      <c r="X1180" t="str">
        <f t="shared" si="37"/>
        <v>Dropped Out</v>
      </c>
    </row>
    <row r="1181" spans="1:24" x14ac:dyDescent="0.3">
      <c r="A1181" s="2">
        <v>1180</v>
      </c>
      <c r="B1181" s="7">
        <v>18.600000000000001</v>
      </c>
      <c r="C1181" s="2" t="s">
        <v>5</v>
      </c>
      <c r="D1181" s="7">
        <f>IF(ISBLANK('Raw sheet'!D1181),AVERAGE('Raw sheet'!$D$2:'Raw sheet'!$D$1500),'Raw sheet'!D1181)</f>
        <v>28896</v>
      </c>
      <c r="E1181" s="7" t="str">
        <f>IF(Table1[[#This Row],[Family_Income]]&gt;=100000,"Upper",IF(D1181&gt;=50000,"Middle","Lower"))</f>
        <v>Lower</v>
      </c>
      <c r="F1181" s="2" t="s">
        <v>3</v>
      </c>
      <c r="G1181" s="3">
        <f>IF(ISBLANK('Raw sheet'!F1181),AVERAGE('Raw sheet'!$F$2:'Raw sheet'!$F$1500),'Raw sheet'!F1181)</f>
        <v>4.74</v>
      </c>
      <c r="H1181" s="18">
        <v>90</v>
      </c>
      <c r="I1181" s="9" t="str">
        <f t="shared" si="36"/>
        <v>Good</v>
      </c>
      <c r="J1181" s="2">
        <v>1</v>
      </c>
      <c r="K1181" s="2">
        <v>35</v>
      </c>
      <c r="L1181" s="2" t="s">
        <v>4</v>
      </c>
      <c r="M1181" s="2" t="s">
        <v>4</v>
      </c>
      <c r="N1181" s="5">
        <f>IF(ISBLANK('Raw sheet'!L1181),AVERAGE('Raw sheet'!$L$2:'Raw sheet'!$L$1500),'Raw sheet'!L1181)</f>
        <v>6.1</v>
      </c>
      <c r="O1181" s="5" t="str">
        <f>IF(Table1[[#This Row],[Stress_Index]]&gt;=8,"High",IF(N1181&gt;=5,"Medium","Low"))</f>
        <v>Medium</v>
      </c>
      <c r="P1181" s="3">
        <v>3.31</v>
      </c>
      <c r="Q1181" s="2">
        <v>3.35</v>
      </c>
      <c r="R1181" s="3">
        <v>3.39</v>
      </c>
      <c r="S1181" s="3" t="str">
        <f>IF(Table1[[#This Row],[CGPA]]&gt;=3,"High",IF(R1180&gt;=2,"Medium","Low"))</f>
        <v>High</v>
      </c>
      <c r="T1181" s="2" t="s">
        <v>12</v>
      </c>
      <c r="U1181" s="2" t="s">
        <v>14</v>
      </c>
      <c r="V1181" s="2" t="s">
        <v>9</v>
      </c>
      <c r="W1181" s="7">
        <v>0</v>
      </c>
      <c r="X1181" t="str">
        <f t="shared" si="37"/>
        <v>Active</v>
      </c>
    </row>
    <row r="1182" spans="1:24" x14ac:dyDescent="0.3">
      <c r="A1182" s="2">
        <v>1181</v>
      </c>
      <c r="B1182" s="7">
        <v>21.4</v>
      </c>
      <c r="C1182" s="2" t="s">
        <v>11</v>
      </c>
      <c r="D1182" s="7">
        <f>IF(ISBLANK('Raw sheet'!D1182),AVERAGE('Raw sheet'!$D$2:'Raw sheet'!$D$1500),'Raw sheet'!D1182)</f>
        <v>34971</v>
      </c>
      <c r="E1182" s="7" t="str">
        <f>IF(Table1[[#This Row],[Family_Income]]&gt;=100000,"Upper",IF(D1182&gt;=50000,"Middle","Lower"))</f>
        <v>Lower</v>
      </c>
      <c r="F1182" s="2" t="s">
        <v>4</v>
      </c>
      <c r="G1182" s="3">
        <f>IF(ISBLANK('Raw sheet'!F1182),AVERAGE('Raw sheet'!$F$2:'Raw sheet'!$F$1500),'Raw sheet'!F1182)</f>
        <v>5.43</v>
      </c>
      <c r="H1182" s="18">
        <v>73.8</v>
      </c>
      <c r="I1182" s="9" t="str">
        <f t="shared" si="36"/>
        <v>Low</v>
      </c>
      <c r="J1182" s="2">
        <v>0</v>
      </c>
      <c r="K1182" s="2">
        <v>22.8</v>
      </c>
      <c r="L1182" s="2" t="s">
        <v>3</v>
      </c>
      <c r="M1182" s="2" t="s">
        <v>4</v>
      </c>
      <c r="N1182" s="5">
        <f>IF(ISBLANK('Raw sheet'!L1182),AVERAGE('Raw sheet'!$L$2:'Raw sheet'!$L$1500),'Raw sheet'!L1182)</f>
        <v>5.5</v>
      </c>
      <c r="O1182" s="5" t="str">
        <f>IF(Table1[[#This Row],[Stress_Index]]&gt;=8,"High",IF(N1182&gt;=5,"Medium","Low"))</f>
        <v>Medium</v>
      </c>
      <c r="P1182" s="3">
        <v>0.97</v>
      </c>
      <c r="Q1182" s="2">
        <v>0.85</v>
      </c>
      <c r="R1182" s="3">
        <v>0.86</v>
      </c>
      <c r="S1182" s="3" t="str">
        <f>IF(Table1[[#This Row],[CGPA]]&gt;=3,"High",IF(R1181&gt;=2,"Medium","Low"))</f>
        <v>Medium</v>
      </c>
      <c r="T1182" s="2" t="s">
        <v>7</v>
      </c>
      <c r="U1182" s="2" t="s">
        <v>13</v>
      </c>
      <c r="V1182" s="2" t="s">
        <v>15</v>
      </c>
      <c r="W1182" s="7">
        <v>0</v>
      </c>
      <c r="X1182" t="str">
        <f t="shared" si="37"/>
        <v>Active</v>
      </c>
    </row>
    <row r="1183" spans="1:24" x14ac:dyDescent="0.3">
      <c r="A1183" s="2">
        <v>1182</v>
      </c>
      <c r="B1183" s="7">
        <v>24.1</v>
      </c>
      <c r="C1183" s="2" t="s">
        <v>5</v>
      </c>
      <c r="D1183" s="7">
        <f>IF(ISBLANK('Raw sheet'!D1183),AVERAGE('Raw sheet'!$D$2:'Raw sheet'!$D$1500),'Raw sheet'!D1183)</f>
        <v>30127</v>
      </c>
      <c r="E1183" s="7" t="str">
        <f>IF(Table1[[#This Row],[Family_Income]]&gt;=100000,"Upper",IF(D1183&gt;=50000,"Middle","Lower"))</f>
        <v>Lower</v>
      </c>
      <c r="F1183" s="2" t="s">
        <v>4</v>
      </c>
      <c r="G1183" s="3">
        <f>IF(ISBLANK('Raw sheet'!F1183),AVERAGE('Raw sheet'!$F$2:'Raw sheet'!$F$1500),'Raw sheet'!F1183)</f>
        <v>4.54</v>
      </c>
      <c r="H1183" s="18">
        <v>93.5</v>
      </c>
      <c r="I1183" s="9" t="str">
        <f t="shared" si="36"/>
        <v>Good</v>
      </c>
      <c r="J1183" s="2">
        <v>0</v>
      </c>
      <c r="K1183" s="2">
        <v>39.200000000000003</v>
      </c>
      <c r="L1183" s="2" t="s">
        <v>3</v>
      </c>
      <c r="M1183" s="2" t="s">
        <v>3</v>
      </c>
      <c r="N1183" s="5">
        <f>IF(ISBLANK('Raw sheet'!L1183),AVERAGE('Raw sheet'!$L$2:'Raw sheet'!$L$1500),'Raw sheet'!L1183)</f>
        <v>6.9</v>
      </c>
      <c r="O1183" s="5" t="str">
        <f>IF(Table1[[#This Row],[Stress_Index]]&gt;=8,"High",IF(N1183&gt;=5,"Medium","Low"))</f>
        <v>Medium</v>
      </c>
      <c r="P1183" s="3">
        <v>1.67</v>
      </c>
      <c r="Q1183" s="2">
        <v>1.87</v>
      </c>
      <c r="R1183" s="3">
        <v>1.92</v>
      </c>
      <c r="S1183" s="3" t="str">
        <f>IF(Table1[[#This Row],[CGPA]]&gt;=3,"High",IF(R1182&gt;=2,"Medium","Low"))</f>
        <v>Low</v>
      </c>
      <c r="T1183" s="2" t="s">
        <v>10</v>
      </c>
      <c r="U1183" s="2" t="s">
        <v>1</v>
      </c>
      <c r="V1183" s="2" t="s">
        <v>17</v>
      </c>
      <c r="W1183" s="7">
        <v>0</v>
      </c>
      <c r="X1183" t="str">
        <f t="shared" si="37"/>
        <v>Active</v>
      </c>
    </row>
    <row r="1184" spans="1:24" x14ac:dyDescent="0.3">
      <c r="A1184" s="2">
        <v>1183</v>
      </c>
      <c r="B1184" s="7">
        <v>23</v>
      </c>
      <c r="C1184" s="2" t="s">
        <v>5</v>
      </c>
      <c r="D1184" s="7">
        <f>IF(ISBLANK('Raw sheet'!D1184),AVERAGE('Raw sheet'!$D$2:'Raw sheet'!$D$1500),'Raw sheet'!D1184)</f>
        <v>35196</v>
      </c>
      <c r="E1184" s="7" t="str">
        <f>IF(Table1[[#This Row],[Family_Income]]&gt;=100000,"Upper",IF(D1184&gt;=50000,"Middle","Lower"))</f>
        <v>Lower</v>
      </c>
      <c r="F1184" s="2" t="s">
        <v>4</v>
      </c>
      <c r="G1184" s="3">
        <f>IF(ISBLANK('Raw sheet'!F1184),AVERAGE('Raw sheet'!$F$2:'Raw sheet'!$F$1500),'Raw sheet'!F1184)</f>
        <v>4.63</v>
      </c>
      <c r="H1184" s="18">
        <v>73.900000000000006</v>
      </c>
      <c r="I1184" s="9" t="str">
        <f t="shared" si="36"/>
        <v>Low</v>
      </c>
      <c r="J1184" s="2">
        <v>1</v>
      </c>
      <c r="K1184" s="2">
        <v>40.1</v>
      </c>
      <c r="L1184" s="2" t="s">
        <v>3</v>
      </c>
      <c r="M1184" s="2" t="s">
        <v>4</v>
      </c>
      <c r="N1184" s="5">
        <f>IF(ISBLANK('Raw sheet'!L1184),AVERAGE('Raw sheet'!$L$2:'Raw sheet'!$L$1500),'Raw sheet'!L1184)</f>
        <v>5.6</v>
      </c>
      <c r="O1184" s="5" t="str">
        <f>IF(Table1[[#This Row],[Stress_Index]]&gt;=8,"High",IF(N1184&gt;=5,"Medium","Low"))</f>
        <v>Medium</v>
      </c>
      <c r="P1184" s="3">
        <v>2.95</v>
      </c>
      <c r="Q1184" s="2">
        <v>2.69</v>
      </c>
      <c r="R1184" s="3">
        <v>2.65</v>
      </c>
      <c r="S1184" s="3" t="str">
        <f>IF(Table1[[#This Row],[CGPA]]&gt;=3,"High",IF(R1183&gt;=2,"Medium","Low"))</f>
        <v>Low</v>
      </c>
      <c r="T1184" s="2" t="s">
        <v>7</v>
      </c>
      <c r="U1184" s="2" t="s">
        <v>1</v>
      </c>
      <c r="V1184" s="2" t="s">
        <v>15</v>
      </c>
      <c r="W1184" s="7">
        <v>0</v>
      </c>
      <c r="X1184" t="str">
        <f t="shared" si="37"/>
        <v>Active</v>
      </c>
    </row>
    <row r="1185" spans="1:24" x14ac:dyDescent="0.3">
      <c r="A1185" s="2">
        <v>1184</v>
      </c>
      <c r="B1185" s="7">
        <v>17.5</v>
      </c>
      <c r="C1185" s="2" t="s">
        <v>11</v>
      </c>
      <c r="D1185" s="7">
        <f>IF(ISBLANK('Raw sheet'!D1185),AVERAGE('Raw sheet'!$D$2:'Raw sheet'!$D$1500),'Raw sheet'!D1185)</f>
        <v>28157</v>
      </c>
      <c r="E1185" s="7" t="str">
        <f>IF(Table1[[#This Row],[Family_Income]]&gt;=100000,"Upper",IF(D1185&gt;=50000,"Middle","Lower"))</f>
        <v>Lower</v>
      </c>
      <c r="F1185" s="2" t="s">
        <v>4</v>
      </c>
      <c r="G1185" s="3">
        <f>IF(ISBLANK('Raw sheet'!F1185),AVERAGE('Raw sheet'!$F$2:'Raw sheet'!$F$1500),'Raw sheet'!F1185)</f>
        <v>2.57</v>
      </c>
      <c r="H1185" s="18">
        <v>72</v>
      </c>
      <c r="I1185" s="9" t="str">
        <f t="shared" si="36"/>
        <v>Low</v>
      </c>
      <c r="J1185" s="2">
        <v>2</v>
      </c>
      <c r="K1185" s="2">
        <v>50.1</v>
      </c>
      <c r="L1185" s="2" t="s">
        <v>3</v>
      </c>
      <c r="M1185" s="2" t="s">
        <v>3</v>
      </c>
      <c r="N1185" s="5">
        <f>IF(ISBLANK('Raw sheet'!L1185),AVERAGE('Raw sheet'!$L$2:'Raw sheet'!$L$1500),'Raw sheet'!L1185)</f>
        <v>4.7</v>
      </c>
      <c r="O1185" s="5" t="str">
        <f>IF(Table1[[#This Row],[Stress_Index]]&gt;=8,"High",IF(N1185&gt;=5,"Medium","Low"))</f>
        <v>Low</v>
      </c>
      <c r="P1185" s="3">
        <v>2.4500000000000002</v>
      </c>
      <c r="Q1185" s="2">
        <v>2.15</v>
      </c>
      <c r="R1185" s="3">
        <v>2.17</v>
      </c>
      <c r="S1185" s="3" t="str">
        <f>IF(Table1[[#This Row],[CGPA]]&gt;=3,"High",IF(R1184&gt;=2,"Medium","Low"))</f>
        <v>Medium</v>
      </c>
      <c r="T1185" s="2" t="s">
        <v>12</v>
      </c>
      <c r="U1185" s="2" t="s">
        <v>1</v>
      </c>
      <c r="V1185" s="2" t="s">
        <v>0</v>
      </c>
      <c r="W1185" s="7">
        <v>1</v>
      </c>
      <c r="X1185" t="str">
        <f t="shared" si="37"/>
        <v>Dropped Out</v>
      </c>
    </row>
    <row r="1186" spans="1:24" x14ac:dyDescent="0.3">
      <c r="A1186" s="2">
        <v>1185</v>
      </c>
      <c r="B1186" s="7">
        <v>18.8</v>
      </c>
      <c r="C1186" s="2" t="s">
        <v>11</v>
      </c>
      <c r="D1186" s="7">
        <f>IF(ISBLANK('Raw sheet'!D1186),AVERAGE('Raw sheet'!$D$2:'Raw sheet'!$D$1500),'Raw sheet'!D1186)</f>
        <v>34859</v>
      </c>
      <c r="E1186" s="7" t="str">
        <f>IF(Table1[[#This Row],[Family_Income]]&gt;=100000,"Upper",IF(D1186&gt;=50000,"Middle","Lower"))</f>
        <v>Lower</v>
      </c>
      <c r="F1186" s="2" t="s">
        <v>4</v>
      </c>
      <c r="G1186" s="3">
        <f>IF(ISBLANK('Raw sheet'!F1186),AVERAGE('Raw sheet'!$F$2:'Raw sheet'!$F$1500),'Raw sheet'!F1186)</f>
        <v>2.0099999999999998</v>
      </c>
      <c r="H1186" s="18">
        <v>79.8</v>
      </c>
      <c r="I1186" s="9" t="str">
        <f t="shared" si="36"/>
        <v>Good</v>
      </c>
      <c r="J1186" s="2">
        <v>2</v>
      </c>
      <c r="K1186" s="2">
        <v>24.9</v>
      </c>
      <c r="L1186" s="2" t="s">
        <v>3</v>
      </c>
      <c r="M1186" s="2" t="s">
        <v>4</v>
      </c>
      <c r="N1186" s="5">
        <f>IF(ISBLANK('Raw sheet'!L1186),AVERAGE('Raw sheet'!$L$2:'Raw sheet'!$L$1500),'Raw sheet'!L1186)</f>
        <v>4.5999999999999996</v>
      </c>
      <c r="O1186" s="5" t="str">
        <f>IF(Table1[[#This Row],[Stress_Index]]&gt;=8,"High",IF(N1186&gt;=5,"Medium","Low"))</f>
        <v>Low</v>
      </c>
      <c r="P1186" s="3">
        <v>2.82</v>
      </c>
      <c r="Q1186" s="2">
        <v>2.5299999999999998</v>
      </c>
      <c r="R1186" s="3">
        <v>2.5</v>
      </c>
      <c r="S1186" s="3" t="str">
        <f>IF(Table1[[#This Row],[CGPA]]&gt;=3,"High",IF(R1185&gt;=2,"Medium","Low"))</f>
        <v>Medium</v>
      </c>
      <c r="T1186" s="2" t="s">
        <v>10</v>
      </c>
      <c r="U1186" s="2" t="s">
        <v>13</v>
      </c>
      <c r="V1186" s="2" t="s">
        <v>9</v>
      </c>
      <c r="W1186" s="7">
        <v>0</v>
      </c>
      <c r="X1186" t="str">
        <f t="shared" si="37"/>
        <v>Active</v>
      </c>
    </row>
    <row r="1187" spans="1:24" x14ac:dyDescent="0.3">
      <c r="A1187" s="2">
        <v>1186</v>
      </c>
      <c r="B1187" s="7">
        <v>23.1</v>
      </c>
      <c r="C1187" s="2" t="s">
        <v>5</v>
      </c>
      <c r="D1187" s="7">
        <f>IF(ISBLANK('Raw sheet'!D1187),AVERAGE('Raw sheet'!$D$2:'Raw sheet'!$D$1500),'Raw sheet'!D1187)</f>
        <v>25000</v>
      </c>
      <c r="E1187" s="7" t="str">
        <f>IF(Table1[[#This Row],[Family_Income]]&gt;=100000,"Upper",IF(D1187&gt;=50000,"Middle","Lower"))</f>
        <v>Lower</v>
      </c>
      <c r="F1187" s="2" t="s">
        <v>4</v>
      </c>
      <c r="G1187" s="3">
        <f>IF(ISBLANK('Raw sheet'!F1187),AVERAGE('Raw sheet'!$F$2:'Raw sheet'!$F$1500),'Raw sheet'!F1187)</f>
        <v>3.28</v>
      </c>
      <c r="H1187" s="18">
        <v>78.400000000000006</v>
      </c>
      <c r="I1187" s="9" t="str">
        <f t="shared" si="36"/>
        <v>Good</v>
      </c>
      <c r="J1187" s="2">
        <v>2</v>
      </c>
      <c r="K1187" s="2">
        <v>31.7</v>
      </c>
      <c r="L1187" s="2" t="s">
        <v>3</v>
      </c>
      <c r="M1187" s="2" t="s">
        <v>3</v>
      </c>
      <c r="N1187" s="5">
        <f>IF(ISBLANK('Raw sheet'!L1187),AVERAGE('Raw sheet'!$L$2:'Raw sheet'!$L$1500),'Raw sheet'!L1187)</f>
        <v>4.5999999999999996</v>
      </c>
      <c r="O1187" s="5" t="str">
        <f>IF(Table1[[#This Row],[Stress_Index]]&gt;=8,"High",IF(N1187&gt;=5,"Medium","Low"))</f>
        <v>Low</v>
      </c>
      <c r="P1187" s="3">
        <v>1.61</v>
      </c>
      <c r="Q1187" s="2">
        <v>1.5</v>
      </c>
      <c r="R1187" s="3">
        <v>1.49</v>
      </c>
      <c r="S1187" s="3" t="str">
        <f>IF(Table1[[#This Row],[CGPA]]&gt;=3,"High",IF(R1186&gt;=2,"Medium","Low"))</f>
        <v>Medium</v>
      </c>
      <c r="T1187" s="2" t="s">
        <v>10</v>
      </c>
      <c r="U1187" s="2" t="s">
        <v>14</v>
      </c>
      <c r="V1187" s="2" t="s">
        <v>9</v>
      </c>
      <c r="W1187" s="7">
        <v>1</v>
      </c>
      <c r="X1187" t="str">
        <f t="shared" si="37"/>
        <v>Dropped Out</v>
      </c>
    </row>
    <row r="1188" spans="1:24" x14ac:dyDescent="0.3">
      <c r="A1188" s="2">
        <v>1187</v>
      </c>
      <c r="B1188" s="7">
        <v>18.8</v>
      </c>
      <c r="C1188" s="2" t="s">
        <v>5</v>
      </c>
      <c r="D1188" s="7">
        <f>IF(ISBLANK('Raw sheet'!D1188),AVERAGE('Raw sheet'!$D$2:'Raw sheet'!$D$1500),'Raw sheet'!D1188)</f>
        <v>25000</v>
      </c>
      <c r="E1188" s="7" t="str">
        <f>IF(Table1[[#This Row],[Family_Income]]&gt;=100000,"Upper",IF(D1188&gt;=50000,"Middle","Lower"))</f>
        <v>Lower</v>
      </c>
      <c r="F1188" s="2" t="s">
        <v>3</v>
      </c>
      <c r="G1188" s="3">
        <f>IF(ISBLANK('Raw sheet'!F1188),AVERAGE('Raw sheet'!$F$2:'Raw sheet'!$F$1500),'Raw sheet'!F1188)</f>
        <v>4.43</v>
      </c>
      <c r="H1188" s="18">
        <v>69.3</v>
      </c>
      <c r="I1188" s="9" t="str">
        <f t="shared" si="36"/>
        <v>Low</v>
      </c>
      <c r="J1188" s="2">
        <v>2</v>
      </c>
      <c r="K1188" s="2">
        <v>39.6</v>
      </c>
      <c r="L1188" s="2" t="s">
        <v>4</v>
      </c>
      <c r="M1188" s="2" t="s">
        <v>3</v>
      </c>
      <c r="N1188" s="5">
        <f>IF(ISBLANK('Raw sheet'!L1188),AVERAGE('Raw sheet'!$L$2:'Raw sheet'!$L$1500),'Raw sheet'!L1188)</f>
        <v>3</v>
      </c>
      <c r="O1188" s="5" t="str">
        <f>IF(Table1[[#This Row],[Stress_Index]]&gt;=8,"High",IF(N1188&gt;=5,"Medium","Low"))</f>
        <v>Low</v>
      </c>
      <c r="P1188" s="3">
        <v>3.24</v>
      </c>
      <c r="Q1188" s="2">
        <v>3.01</v>
      </c>
      <c r="R1188" s="3">
        <v>3.01</v>
      </c>
      <c r="S1188" s="3" t="str">
        <f>IF(Table1[[#This Row],[CGPA]]&gt;=3,"High",IF(R1187&gt;=2,"Medium","Low"))</f>
        <v>High</v>
      </c>
      <c r="T1188" s="2" t="s">
        <v>7</v>
      </c>
      <c r="U1188" s="2" t="s">
        <v>1</v>
      </c>
      <c r="V1188" s="2" t="s">
        <v>9</v>
      </c>
      <c r="W1188" s="7">
        <v>0</v>
      </c>
      <c r="X1188" t="str">
        <f t="shared" si="37"/>
        <v>Active</v>
      </c>
    </row>
    <row r="1189" spans="1:24" x14ac:dyDescent="0.3">
      <c r="A1189" s="2">
        <v>1188</v>
      </c>
      <c r="B1189" s="7">
        <v>20.5</v>
      </c>
      <c r="C1189" s="2" t="s">
        <v>11</v>
      </c>
      <c r="D1189" s="7">
        <f>IF(ISBLANK('Raw sheet'!D1189),AVERAGE('Raw sheet'!$D$2:'Raw sheet'!$D$1500),'Raw sheet'!D1189)</f>
        <v>25000</v>
      </c>
      <c r="E1189" s="7" t="str">
        <f>IF(Table1[[#This Row],[Family_Income]]&gt;=100000,"Upper",IF(D1189&gt;=50000,"Middle","Lower"))</f>
        <v>Lower</v>
      </c>
      <c r="F1189" s="2" t="s">
        <v>4</v>
      </c>
      <c r="G1189" s="3">
        <f>IF(ISBLANK('Raw sheet'!F1189),AVERAGE('Raw sheet'!$F$2:'Raw sheet'!$F$1500),'Raw sheet'!F1189)</f>
        <v>4.54</v>
      </c>
      <c r="H1189" s="18">
        <v>73</v>
      </c>
      <c r="I1189" s="9" t="str">
        <f t="shared" si="36"/>
        <v>Low</v>
      </c>
      <c r="J1189" s="2">
        <v>4</v>
      </c>
      <c r="K1189" s="2">
        <v>37.9</v>
      </c>
      <c r="L1189" s="2" t="s">
        <v>3</v>
      </c>
      <c r="M1189" s="2" t="s">
        <v>4</v>
      </c>
      <c r="N1189" s="5">
        <f>IF(ISBLANK('Raw sheet'!L1189),AVERAGE('Raw sheet'!$L$2:'Raw sheet'!$L$1500),'Raw sheet'!L1189)</f>
        <v>6.4</v>
      </c>
      <c r="O1189" s="5" t="str">
        <f>IF(Table1[[#This Row],[Stress_Index]]&gt;=8,"High",IF(N1189&gt;=5,"Medium","Low"))</f>
        <v>Medium</v>
      </c>
      <c r="P1189" s="3">
        <v>2.92</v>
      </c>
      <c r="Q1189" s="2">
        <v>2.5499999999999998</v>
      </c>
      <c r="R1189" s="3">
        <v>2.5499999999999998</v>
      </c>
      <c r="S1189" s="3" t="str">
        <f>IF(Table1[[#This Row],[CGPA]]&gt;=3,"High",IF(R1188&gt;=2,"Medium","Low"))</f>
        <v>Medium</v>
      </c>
      <c r="T1189" s="2" t="s">
        <v>2</v>
      </c>
      <c r="U1189" s="2" t="s">
        <v>1</v>
      </c>
      <c r="V1189" s="2" t="s">
        <v>0</v>
      </c>
      <c r="W1189" s="7">
        <v>0</v>
      </c>
      <c r="X1189" t="str">
        <f t="shared" si="37"/>
        <v>Active</v>
      </c>
    </row>
    <row r="1190" spans="1:24" x14ac:dyDescent="0.3">
      <c r="A1190" s="2">
        <v>1189</v>
      </c>
      <c r="B1190" s="7">
        <v>22.2</v>
      </c>
      <c r="C1190" s="2" t="s">
        <v>5</v>
      </c>
      <c r="D1190" s="7">
        <f>IF(ISBLANK('Raw sheet'!D1190),AVERAGE('Raw sheet'!$D$2:'Raw sheet'!$D$1500),'Raw sheet'!D1190)</f>
        <v>38587.00282087447</v>
      </c>
      <c r="E1190" s="7" t="str">
        <f>IF(Table1[[#This Row],[Family_Income]]&gt;=100000,"Upper",IF(D1190&gt;=50000,"Middle","Lower"))</f>
        <v>Lower</v>
      </c>
      <c r="F1190" s="2" t="s">
        <v>4</v>
      </c>
      <c r="G1190" s="3">
        <f>IF(ISBLANK('Raw sheet'!F1190),AVERAGE('Raw sheet'!$F$2:'Raw sheet'!$F$1500),'Raw sheet'!F1190)</f>
        <v>4.0178702397743278</v>
      </c>
      <c r="H1190" s="18">
        <v>38.200000000000003</v>
      </c>
      <c r="I1190" s="9" t="str">
        <f t="shared" si="36"/>
        <v>Low</v>
      </c>
      <c r="J1190" s="2">
        <v>3</v>
      </c>
      <c r="K1190" s="2">
        <v>5</v>
      </c>
      <c r="L1190" s="2" t="s">
        <v>3</v>
      </c>
      <c r="M1190" s="2" t="s">
        <v>3</v>
      </c>
      <c r="N1190" s="5">
        <f>IF(ISBLANK('Raw sheet'!L1190),AVERAGE('Raw sheet'!$L$2:'Raw sheet'!$L$1500),'Raw sheet'!L1190)</f>
        <v>5.5242595204513369</v>
      </c>
      <c r="O1190" s="5" t="str">
        <f>IF(Table1[[#This Row],[Stress_Index]]&gt;=8,"High",IF(N1190&gt;=5,"Medium","Low"))</f>
        <v>Medium</v>
      </c>
      <c r="P1190" s="3">
        <v>0</v>
      </c>
      <c r="Q1190" s="2">
        <v>0.05</v>
      </c>
      <c r="R1190" s="3">
        <v>0.08</v>
      </c>
      <c r="S1190" s="3" t="str">
        <f>IF(Table1[[#This Row],[CGPA]]&gt;=3,"High",IF(R1189&gt;=2,"Medium","Low"))</f>
        <v>Medium</v>
      </c>
      <c r="T1190" s="2" t="s">
        <v>10</v>
      </c>
      <c r="U1190" s="2" t="s">
        <v>13</v>
      </c>
      <c r="V1190" s="2" t="s">
        <v>9</v>
      </c>
      <c r="W1190" s="7">
        <v>1</v>
      </c>
      <c r="X1190" t="str">
        <f t="shared" si="37"/>
        <v>Dropped Out</v>
      </c>
    </row>
    <row r="1191" spans="1:24" x14ac:dyDescent="0.3">
      <c r="A1191" s="2">
        <v>1190</v>
      </c>
      <c r="B1191" s="7">
        <v>18.899999999999999</v>
      </c>
      <c r="C1191" s="2" t="s">
        <v>11</v>
      </c>
      <c r="D1191" s="7">
        <f>IF(ISBLANK('Raw sheet'!D1191),AVERAGE('Raw sheet'!$D$2:'Raw sheet'!$D$1500),'Raw sheet'!D1191)</f>
        <v>71564</v>
      </c>
      <c r="E1191" s="7" t="str">
        <f>IF(Table1[[#This Row],[Family_Income]]&gt;=100000,"Upper",IF(D1191&gt;=50000,"Middle","Lower"))</f>
        <v>Middle</v>
      </c>
      <c r="F1191" s="2" t="s">
        <v>4</v>
      </c>
      <c r="G1191" s="3">
        <f>IF(ISBLANK('Raw sheet'!F1191),AVERAGE('Raw sheet'!$F$2:'Raw sheet'!$F$1500),'Raw sheet'!F1191)</f>
        <v>4.17</v>
      </c>
      <c r="H1191" s="18">
        <v>71.2</v>
      </c>
      <c r="I1191" s="9" t="str">
        <f t="shared" si="36"/>
        <v>Low</v>
      </c>
      <c r="J1191" s="2">
        <v>2</v>
      </c>
      <c r="K1191" s="2">
        <v>21.8</v>
      </c>
      <c r="L1191" s="2" t="s">
        <v>3</v>
      </c>
      <c r="M1191" s="2" t="s">
        <v>3</v>
      </c>
      <c r="N1191" s="5">
        <f>IF(ISBLANK('Raw sheet'!L1191),AVERAGE('Raw sheet'!$L$2:'Raw sheet'!$L$1500),'Raw sheet'!L1191)</f>
        <v>2.9</v>
      </c>
      <c r="O1191" s="5" t="str">
        <f>IF(Table1[[#This Row],[Stress_Index]]&gt;=8,"High",IF(N1191&gt;=5,"Medium","Low"))</f>
        <v>Low</v>
      </c>
      <c r="P1191" s="3">
        <v>1.72</v>
      </c>
      <c r="Q1191" s="2">
        <v>1.39</v>
      </c>
      <c r="R1191" s="3">
        <v>1.41</v>
      </c>
      <c r="S1191" s="3" t="str">
        <f>IF(Table1[[#This Row],[CGPA]]&gt;=3,"High",IF(R1190&gt;=2,"Medium","Low"))</f>
        <v>Low</v>
      </c>
      <c r="T1191" s="2" t="s">
        <v>12</v>
      </c>
      <c r="U1191" s="2" t="s">
        <v>13</v>
      </c>
      <c r="V1191" s="2" t="s">
        <v>15</v>
      </c>
      <c r="W1191" s="7">
        <v>0</v>
      </c>
      <c r="X1191" t="str">
        <f t="shared" si="37"/>
        <v>Active</v>
      </c>
    </row>
    <row r="1192" spans="1:24" x14ac:dyDescent="0.3">
      <c r="A1192" s="2">
        <v>1191</v>
      </c>
      <c r="B1192" s="7">
        <v>21.2</v>
      </c>
      <c r="C1192" s="2" t="s">
        <v>11</v>
      </c>
      <c r="D1192" s="7">
        <f>IF(ISBLANK('Raw sheet'!D1192),AVERAGE('Raw sheet'!$D$2:'Raw sheet'!$D$1500),'Raw sheet'!D1192)</f>
        <v>41489</v>
      </c>
      <c r="E1192" s="7" t="str">
        <f>IF(Table1[[#This Row],[Family_Income]]&gt;=100000,"Upper",IF(D1192&gt;=50000,"Middle","Lower"))</f>
        <v>Lower</v>
      </c>
      <c r="F1192" s="2" t="s">
        <v>4</v>
      </c>
      <c r="G1192" s="3">
        <f>IF(ISBLANK('Raw sheet'!F1192),AVERAGE('Raw sheet'!$F$2:'Raw sheet'!$F$1500),'Raw sheet'!F1192)</f>
        <v>5.46</v>
      </c>
      <c r="H1192" s="18">
        <v>76.7</v>
      </c>
      <c r="I1192" s="9" t="str">
        <f t="shared" si="36"/>
        <v>Good</v>
      </c>
      <c r="J1192" s="2">
        <v>1</v>
      </c>
      <c r="K1192" s="2">
        <v>36.799999999999997</v>
      </c>
      <c r="L1192" s="2" t="s">
        <v>3</v>
      </c>
      <c r="M1192" s="2" t="s">
        <v>3</v>
      </c>
      <c r="N1192" s="5">
        <f>IF(ISBLANK('Raw sheet'!L1192),AVERAGE('Raw sheet'!$L$2:'Raw sheet'!$L$1500),'Raw sheet'!L1192)</f>
        <v>4.8</v>
      </c>
      <c r="O1192" s="5" t="str">
        <f>IF(Table1[[#This Row],[Stress_Index]]&gt;=8,"High",IF(N1192&gt;=5,"Medium","Low"))</f>
        <v>Low</v>
      </c>
      <c r="P1192" s="3">
        <v>2.19</v>
      </c>
      <c r="Q1192" s="2">
        <v>2.33</v>
      </c>
      <c r="R1192" s="3">
        <v>2.33</v>
      </c>
      <c r="S1192" s="3" t="str">
        <f>IF(Table1[[#This Row],[CGPA]]&gt;=3,"High",IF(R1191&gt;=2,"Medium","Low"))</f>
        <v>Low</v>
      </c>
      <c r="T1192" s="2" t="s">
        <v>7</v>
      </c>
      <c r="U1192" s="2" t="s">
        <v>8</v>
      </c>
      <c r="V1192" s="2" t="s">
        <v>16</v>
      </c>
      <c r="W1192" s="7">
        <v>0</v>
      </c>
      <c r="X1192" t="str">
        <f t="shared" si="37"/>
        <v>Active</v>
      </c>
    </row>
    <row r="1193" spans="1:24" x14ac:dyDescent="0.3">
      <c r="A1193" s="2">
        <v>1192</v>
      </c>
      <c r="B1193" s="7">
        <v>18.100000000000001</v>
      </c>
      <c r="C1193" s="2" t="s">
        <v>5</v>
      </c>
      <c r="D1193" s="7">
        <f>IF(ISBLANK('Raw sheet'!D1193),AVERAGE('Raw sheet'!$D$2:'Raw sheet'!$D$1500),'Raw sheet'!D1193)</f>
        <v>65853</v>
      </c>
      <c r="E1193" s="7" t="str">
        <f>IF(Table1[[#This Row],[Family_Income]]&gt;=100000,"Upper",IF(D1193&gt;=50000,"Middle","Lower"))</f>
        <v>Middle</v>
      </c>
      <c r="F1193" s="2" t="s">
        <v>4</v>
      </c>
      <c r="G1193" s="3">
        <f>IF(ISBLANK('Raw sheet'!F1193),AVERAGE('Raw sheet'!$F$2:'Raw sheet'!$F$1500),'Raw sheet'!F1193)</f>
        <v>6.94</v>
      </c>
      <c r="H1193" s="18">
        <v>93.9</v>
      </c>
      <c r="I1193" s="9" t="str">
        <f t="shared" si="36"/>
        <v>Good</v>
      </c>
      <c r="J1193" s="2">
        <v>1</v>
      </c>
      <c r="K1193" s="2">
        <v>27.5</v>
      </c>
      <c r="L1193" s="2" t="s">
        <v>3</v>
      </c>
      <c r="M1193" s="2" t="s">
        <v>3</v>
      </c>
      <c r="N1193" s="5">
        <f>IF(ISBLANK('Raw sheet'!L1193),AVERAGE('Raw sheet'!$L$2:'Raw sheet'!$L$1500),'Raw sheet'!L1193)</f>
        <v>5</v>
      </c>
      <c r="O1193" s="5" t="str">
        <f>IF(Table1[[#This Row],[Stress_Index]]&gt;=8,"High",IF(N1193&gt;=5,"Medium","Low"))</f>
        <v>Medium</v>
      </c>
      <c r="P1193" s="3">
        <v>2.3199999999999998</v>
      </c>
      <c r="Q1193" s="2">
        <v>2.37</v>
      </c>
      <c r="R1193" s="3">
        <v>2.37</v>
      </c>
      <c r="S1193" s="3" t="str">
        <f>IF(Table1[[#This Row],[CGPA]]&gt;=3,"High",IF(R1192&gt;=2,"Medium","Low"))</f>
        <v>Medium</v>
      </c>
      <c r="T1193" s="2" t="s">
        <v>7</v>
      </c>
      <c r="U1193" s="2" t="s">
        <v>1</v>
      </c>
      <c r="V1193" s="2" t="s">
        <v>9</v>
      </c>
      <c r="W1193" s="7">
        <v>1</v>
      </c>
      <c r="X1193" t="str">
        <f t="shared" si="37"/>
        <v>Dropped Out</v>
      </c>
    </row>
    <row r="1194" spans="1:24" x14ac:dyDescent="0.3">
      <c r="A1194" s="2">
        <v>1193</v>
      </c>
      <c r="B1194" s="7">
        <v>19.7</v>
      </c>
      <c r="C1194" s="2" t="s">
        <v>5</v>
      </c>
      <c r="D1194" s="7">
        <f>IF(ISBLANK('Raw sheet'!D1194),AVERAGE('Raw sheet'!$D$2:'Raw sheet'!$D$1500),'Raw sheet'!D1194)</f>
        <v>48006</v>
      </c>
      <c r="E1194" s="7" t="str">
        <f>IF(Table1[[#This Row],[Family_Income]]&gt;=100000,"Upper",IF(D1194&gt;=50000,"Middle","Lower"))</f>
        <v>Lower</v>
      </c>
      <c r="F1194" s="2" t="s">
        <v>4</v>
      </c>
      <c r="G1194" s="3">
        <f>IF(ISBLANK('Raw sheet'!F1194),AVERAGE('Raw sheet'!$F$2:'Raw sheet'!$F$1500),'Raw sheet'!F1194)</f>
        <v>5.87</v>
      </c>
      <c r="H1194" s="18">
        <v>87.7</v>
      </c>
      <c r="I1194" s="9" t="str">
        <f t="shared" si="36"/>
        <v>Good</v>
      </c>
      <c r="J1194" s="2">
        <v>3</v>
      </c>
      <c r="K1194" s="2">
        <v>39.700000000000003</v>
      </c>
      <c r="L1194" s="2" t="s">
        <v>3</v>
      </c>
      <c r="M1194" s="2" t="s">
        <v>4</v>
      </c>
      <c r="N1194" s="5">
        <f>IF(ISBLANK('Raw sheet'!L1194),AVERAGE('Raw sheet'!$L$2:'Raw sheet'!$L$1500),'Raw sheet'!L1194)</f>
        <v>4.4000000000000004</v>
      </c>
      <c r="O1194" s="5" t="str">
        <f>IF(Table1[[#This Row],[Stress_Index]]&gt;=8,"High",IF(N1194&gt;=5,"Medium","Low"))</f>
        <v>Low</v>
      </c>
      <c r="P1194" s="3">
        <v>2.71</v>
      </c>
      <c r="Q1194" s="2">
        <v>2.1</v>
      </c>
      <c r="R1194" s="3">
        <v>2.04</v>
      </c>
      <c r="S1194" s="3" t="str">
        <f>IF(Table1[[#This Row],[CGPA]]&gt;=3,"High",IF(R1193&gt;=2,"Medium","Low"))</f>
        <v>Medium</v>
      </c>
      <c r="T1194" s="2" t="s">
        <v>7</v>
      </c>
      <c r="U1194" s="2" t="s">
        <v>8</v>
      </c>
      <c r="V1194" s="2" t="s">
        <v>9</v>
      </c>
      <c r="W1194" s="7">
        <v>0</v>
      </c>
      <c r="X1194" t="str">
        <f t="shared" si="37"/>
        <v>Active</v>
      </c>
    </row>
    <row r="1195" spans="1:24" x14ac:dyDescent="0.3">
      <c r="A1195" s="2">
        <v>1194</v>
      </c>
      <c r="B1195" s="7">
        <v>21.7</v>
      </c>
      <c r="C1195" s="2" t="s">
        <v>5</v>
      </c>
      <c r="D1195" s="7">
        <f>IF(ISBLANK('Raw sheet'!D1195),AVERAGE('Raw sheet'!$D$2:'Raw sheet'!$D$1500),'Raw sheet'!D1195)</f>
        <v>33149</v>
      </c>
      <c r="E1195" s="7" t="str">
        <f>IF(Table1[[#This Row],[Family_Income]]&gt;=100000,"Upper",IF(D1195&gt;=50000,"Middle","Lower"))</f>
        <v>Lower</v>
      </c>
      <c r="F1195" s="2" t="s">
        <v>4</v>
      </c>
      <c r="G1195" s="3">
        <f>IF(ISBLANK('Raw sheet'!F1195),AVERAGE('Raw sheet'!$F$2:'Raw sheet'!$F$1500),'Raw sheet'!F1195)</f>
        <v>3.32</v>
      </c>
      <c r="H1195" s="18">
        <v>84.6</v>
      </c>
      <c r="I1195" s="9" t="str">
        <f t="shared" si="36"/>
        <v>Good</v>
      </c>
      <c r="J1195" s="2">
        <v>4</v>
      </c>
      <c r="K1195" s="2">
        <v>42.5</v>
      </c>
      <c r="L1195" s="2" t="s">
        <v>4</v>
      </c>
      <c r="M1195" s="2" t="s">
        <v>3</v>
      </c>
      <c r="N1195" s="5">
        <f>IF(ISBLANK('Raw sheet'!L1195),AVERAGE('Raw sheet'!$L$2:'Raw sheet'!$L$1500),'Raw sheet'!L1195)</f>
        <v>5.3</v>
      </c>
      <c r="O1195" s="5" t="str">
        <f>IF(Table1[[#This Row],[Stress_Index]]&gt;=8,"High",IF(N1195&gt;=5,"Medium","Low"))</f>
        <v>Medium</v>
      </c>
      <c r="P1195" s="3">
        <v>2.2400000000000002</v>
      </c>
      <c r="Q1195" s="2">
        <v>2.06</v>
      </c>
      <c r="R1195" s="3">
        <v>2.06</v>
      </c>
      <c r="S1195" s="3" t="str">
        <f>IF(Table1[[#This Row],[CGPA]]&gt;=3,"High",IF(R1194&gt;=2,"Medium","Low"))</f>
        <v>Medium</v>
      </c>
      <c r="T1195" s="2" t="s">
        <v>2</v>
      </c>
      <c r="U1195" s="2" t="s">
        <v>1</v>
      </c>
      <c r="V1195" s="2" t="s">
        <v>15</v>
      </c>
      <c r="W1195" s="7">
        <v>0</v>
      </c>
      <c r="X1195" t="str">
        <f t="shared" si="37"/>
        <v>Active</v>
      </c>
    </row>
    <row r="1196" spans="1:24" x14ac:dyDescent="0.3">
      <c r="A1196" s="2">
        <v>1195</v>
      </c>
      <c r="B1196" s="7">
        <v>17.5</v>
      </c>
      <c r="C1196" s="2" t="s">
        <v>5</v>
      </c>
      <c r="D1196" s="7">
        <f>IF(ISBLANK('Raw sheet'!D1196),AVERAGE('Raw sheet'!$D$2:'Raw sheet'!$D$1500),'Raw sheet'!D1196)</f>
        <v>25000</v>
      </c>
      <c r="E1196" s="7" t="str">
        <f>IF(Table1[[#This Row],[Family_Income]]&gt;=100000,"Upper",IF(D1196&gt;=50000,"Middle","Lower"))</f>
        <v>Lower</v>
      </c>
      <c r="F1196" s="2" t="s">
        <v>4</v>
      </c>
      <c r="G1196" s="3">
        <f>IF(ISBLANK('Raw sheet'!F1196),AVERAGE('Raw sheet'!$F$2:'Raw sheet'!$F$1500),'Raw sheet'!F1196)</f>
        <v>3.25</v>
      </c>
      <c r="H1196" s="18">
        <v>99.3</v>
      </c>
      <c r="I1196" s="9" t="str">
        <f t="shared" si="36"/>
        <v>Good</v>
      </c>
      <c r="J1196" s="2">
        <v>1</v>
      </c>
      <c r="K1196" s="2">
        <v>27.4</v>
      </c>
      <c r="L1196" s="2" t="s">
        <v>3</v>
      </c>
      <c r="M1196" s="2" t="s">
        <v>4</v>
      </c>
      <c r="N1196" s="5">
        <f>IF(ISBLANK('Raw sheet'!L1196),AVERAGE('Raw sheet'!$L$2:'Raw sheet'!$L$1500),'Raw sheet'!L1196)</f>
        <v>5.3</v>
      </c>
      <c r="O1196" s="5" t="str">
        <f>IF(Table1[[#This Row],[Stress_Index]]&gt;=8,"High",IF(N1196&gt;=5,"Medium","Low"))</f>
        <v>Medium</v>
      </c>
      <c r="P1196" s="3">
        <v>4</v>
      </c>
      <c r="Q1196" s="2">
        <v>4</v>
      </c>
      <c r="R1196" s="3">
        <v>3.98</v>
      </c>
      <c r="S1196" s="3" t="str">
        <f>IF(Table1[[#This Row],[CGPA]]&gt;=3,"High",IF(R1195&gt;=2,"Medium","Low"))</f>
        <v>High</v>
      </c>
      <c r="T1196" s="2" t="s">
        <v>10</v>
      </c>
      <c r="U1196" s="2" t="s">
        <v>6</v>
      </c>
      <c r="V1196" s="2" t="s">
        <v>9</v>
      </c>
      <c r="W1196" s="7">
        <v>0</v>
      </c>
      <c r="X1196" t="str">
        <f t="shared" si="37"/>
        <v>Active</v>
      </c>
    </row>
    <row r="1197" spans="1:24" x14ac:dyDescent="0.3">
      <c r="A1197" s="2">
        <v>1196</v>
      </c>
      <c r="B1197" s="7">
        <v>22</v>
      </c>
      <c r="C1197" s="2" t="s">
        <v>11</v>
      </c>
      <c r="D1197" s="7">
        <f>IF(ISBLANK('Raw sheet'!D1197),AVERAGE('Raw sheet'!$D$2:'Raw sheet'!$D$1500),'Raw sheet'!D1197)</f>
        <v>25405</v>
      </c>
      <c r="E1197" s="7" t="str">
        <f>IF(Table1[[#This Row],[Family_Income]]&gt;=100000,"Upper",IF(D1197&gt;=50000,"Middle","Lower"))</f>
        <v>Lower</v>
      </c>
      <c r="F1197" s="2" t="s">
        <v>4</v>
      </c>
      <c r="G1197" s="3">
        <f>IF(ISBLANK('Raw sheet'!F1197),AVERAGE('Raw sheet'!$F$2:'Raw sheet'!$F$1500),'Raw sheet'!F1197)</f>
        <v>4.6399999999999997</v>
      </c>
      <c r="H1197" s="18">
        <v>67.7</v>
      </c>
      <c r="I1197" s="9" t="str">
        <f t="shared" si="36"/>
        <v>Low</v>
      </c>
      <c r="J1197" s="2">
        <v>2</v>
      </c>
      <c r="K1197" s="2">
        <v>37.200000000000003</v>
      </c>
      <c r="L1197" s="2" t="s">
        <v>4</v>
      </c>
      <c r="M1197" s="2" t="s">
        <v>4</v>
      </c>
      <c r="N1197" s="5">
        <f>IF(ISBLANK('Raw sheet'!L1197),AVERAGE('Raw sheet'!$L$2:'Raw sheet'!$L$1500),'Raw sheet'!L1197)</f>
        <v>7.1</v>
      </c>
      <c r="O1197" s="5" t="str">
        <f>IF(Table1[[#This Row],[Stress_Index]]&gt;=8,"High",IF(N1197&gt;=5,"Medium","Low"))</f>
        <v>Medium</v>
      </c>
      <c r="P1197" s="3">
        <v>1.53</v>
      </c>
      <c r="Q1197" s="2">
        <v>2.0299999999999998</v>
      </c>
      <c r="R1197" s="3">
        <v>2.02</v>
      </c>
      <c r="S1197" s="3" t="str">
        <f>IF(Table1[[#This Row],[CGPA]]&gt;=3,"High",IF(R1196&gt;=2,"Medium","Low"))</f>
        <v>Medium</v>
      </c>
      <c r="T1197" s="2" t="s">
        <v>7</v>
      </c>
      <c r="U1197" s="2" t="s">
        <v>6</v>
      </c>
      <c r="V1197" s="2" t="s">
        <v>17</v>
      </c>
      <c r="W1197" s="7">
        <v>1</v>
      </c>
      <c r="X1197" t="str">
        <f t="shared" si="37"/>
        <v>Dropped Out</v>
      </c>
    </row>
    <row r="1198" spans="1:24" x14ac:dyDescent="0.3">
      <c r="A1198" s="2">
        <v>1197</v>
      </c>
      <c r="B1198" s="7">
        <v>21</v>
      </c>
      <c r="C1198" s="2" t="s">
        <v>11</v>
      </c>
      <c r="D1198" s="7">
        <f>IF(ISBLANK('Raw sheet'!D1198),AVERAGE('Raw sheet'!$D$2:'Raw sheet'!$D$1500),'Raw sheet'!D1198)</f>
        <v>25000</v>
      </c>
      <c r="E1198" s="7" t="str">
        <f>IF(Table1[[#This Row],[Family_Income]]&gt;=100000,"Upper",IF(D1198&gt;=50000,"Middle","Lower"))</f>
        <v>Lower</v>
      </c>
      <c r="F1198" s="2" t="s">
        <v>4</v>
      </c>
      <c r="G1198" s="3">
        <f>IF(ISBLANK('Raw sheet'!F1198),AVERAGE('Raw sheet'!$F$2:'Raw sheet'!$F$1500),'Raw sheet'!F1198)</f>
        <v>5.05</v>
      </c>
      <c r="H1198" s="18">
        <v>81.5</v>
      </c>
      <c r="I1198" s="9" t="str">
        <f t="shared" si="36"/>
        <v>Good</v>
      </c>
      <c r="J1198" s="2">
        <v>1</v>
      </c>
      <c r="K1198" s="2">
        <v>47.5</v>
      </c>
      <c r="L1198" s="2" t="s">
        <v>4</v>
      </c>
      <c r="M1198" s="2" t="s">
        <v>4</v>
      </c>
      <c r="N1198" s="5">
        <f>IF(ISBLANK('Raw sheet'!L1198),AVERAGE('Raw sheet'!$L$2:'Raw sheet'!$L$1500),'Raw sheet'!L1198)</f>
        <v>5.5</v>
      </c>
      <c r="O1198" s="5" t="str">
        <f>IF(Table1[[#This Row],[Stress_Index]]&gt;=8,"High",IF(N1198&gt;=5,"Medium","Low"))</f>
        <v>Medium</v>
      </c>
      <c r="P1198" s="3">
        <v>0.85</v>
      </c>
      <c r="Q1198" s="2">
        <v>1.69</v>
      </c>
      <c r="R1198" s="3">
        <v>1.59</v>
      </c>
      <c r="S1198" s="3" t="str">
        <f>IF(Table1[[#This Row],[CGPA]]&gt;=3,"High",IF(R1197&gt;=2,"Medium","Low"))</f>
        <v>Medium</v>
      </c>
      <c r="T1198" s="2" t="s">
        <v>7</v>
      </c>
      <c r="U1198" s="2" t="s">
        <v>6</v>
      </c>
      <c r="V1198" s="2" t="s">
        <v>15</v>
      </c>
      <c r="W1198" s="7">
        <v>1</v>
      </c>
      <c r="X1198" t="str">
        <f t="shared" si="37"/>
        <v>Dropped Out</v>
      </c>
    </row>
    <row r="1199" spans="1:24" x14ac:dyDescent="0.3">
      <c r="A1199" s="2">
        <v>1198</v>
      </c>
      <c r="B1199" s="7">
        <v>22.2</v>
      </c>
      <c r="C1199" s="2" t="s">
        <v>11</v>
      </c>
      <c r="D1199" s="7">
        <f>IF(ISBLANK('Raw sheet'!D1199),AVERAGE('Raw sheet'!$D$2:'Raw sheet'!$D$1500),'Raw sheet'!D1199)</f>
        <v>25000</v>
      </c>
      <c r="E1199" s="7" t="str">
        <f>IF(Table1[[#This Row],[Family_Income]]&gt;=100000,"Upper",IF(D1199&gt;=50000,"Middle","Lower"))</f>
        <v>Lower</v>
      </c>
      <c r="F1199" s="2" t="s">
        <v>4</v>
      </c>
      <c r="G1199" s="3">
        <f>IF(ISBLANK('Raw sheet'!F1199),AVERAGE('Raw sheet'!$F$2:'Raw sheet'!$F$1500),'Raw sheet'!F1199)</f>
        <v>5.46</v>
      </c>
      <c r="H1199" s="18">
        <v>98.3</v>
      </c>
      <c r="I1199" s="9" t="str">
        <f t="shared" si="36"/>
        <v>Good</v>
      </c>
      <c r="J1199" s="2">
        <v>4</v>
      </c>
      <c r="K1199" s="2">
        <v>42.2</v>
      </c>
      <c r="L1199" s="2" t="s">
        <v>3</v>
      </c>
      <c r="M1199" s="2" t="s">
        <v>4</v>
      </c>
      <c r="N1199" s="5">
        <f>IF(ISBLANK('Raw sheet'!L1199),AVERAGE('Raw sheet'!$L$2:'Raw sheet'!$L$1500),'Raw sheet'!L1199)</f>
        <v>6.6</v>
      </c>
      <c r="O1199" s="5" t="str">
        <f>IF(Table1[[#This Row],[Stress_Index]]&gt;=8,"High",IF(N1199&gt;=5,"Medium","Low"))</f>
        <v>Medium</v>
      </c>
      <c r="P1199" s="3">
        <v>3.77</v>
      </c>
      <c r="Q1199" s="2">
        <v>3.55</v>
      </c>
      <c r="R1199" s="3">
        <v>3.57</v>
      </c>
      <c r="S1199" s="3" t="str">
        <f>IF(Table1[[#This Row],[CGPA]]&gt;=3,"High",IF(R1198&gt;=2,"Medium","Low"))</f>
        <v>High</v>
      </c>
      <c r="T1199" s="2" t="s">
        <v>12</v>
      </c>
      <c r="U1199" s="2" t="s">
        <v>14</v>
      </c>
      <c r="V1199" s="2" t="s">
        <v>9</v>
      </c>
      <c r="W1199" s="7">
        <v>0</v>
      </c>
      <c r="X1199" t="str">
        <f t="shared" si="37"/>
        <v>Active</v>
      </c>
    </row>
    <row r="1200" spans="1:24" x14ac:dyDescent="0.3">
      <c r="A1200" s="2">
        <v>1199</v>
      </c>
      <c r="B1200" s="7">
        <v>21.5</v>
      </c>
      <c r="C1200" s="2" t="s">
        <v>11</v>
      </c>
      <c r="D1200" s="7">
        <f>IF(ISBLANK('Raw sheet'!D1200),AVERAGE('Raw sheet'!$D$2:'Raw sheet'!$D$1500),'Raw sheet'!D1200)</f>
        <v>25000</v>
      </c>
      <c r="E1200" s="7" t="str">
        <f>IF(Table1[[#This Row],[Family_Income]]&gt;=100000,"Upper",IF(D1200&gt;=50000,"Middle","Lower"))</f>
        <v>Lower</v>
      </c>
      <c r="F1200" s="2" t="s">
        <v>4</v>
      </c>
      <c r="G1200" s="3">
        <f>IF(ISBLANK('Raw sheet'!F1200),AVERAGE('Raw sheet'!$F$2:'Raw sheet'!$F$1500),'Raw sheet'!F1200)</f>
        <v>4.78</v>
      </c>
      <c r="H1200" s="18">
        <v>77.900000000000006</v>
      </c>
      <c r="I1200" s="9" t="str">
        <f t="shared" si="36"/>
        <v>Good</v>
      </c>
      <c r="J1200" s="2">
        <v>1</v>
      </c>
      <c r="K1200" s="2">
        <v>20.8</v>
      </c>
      <c r="L1200" s="2" t="s">
        <v>3</v>
      </c>
      <c r="M1200" s="2" t="s">
        <v>3</v>
      </c>
      <c r="N1200" s="5">
        <f>IF(ISBLANK('Raw sheet'!L1200),AVERAGE('Raw sheet'!$L$2:'Raw sheet'!$L$1500),'Raw sheet'!L1200)</f>
        <v>3</v>
      </c>
      <c r="O1200" s="5" t="str">
        <f>IF(Table1[[#This Row],[Stress_Index]]&gt;=8,"High",IF(N1200&gt;=5,"Medium","Low"))</f>
        <v>Low</v>
      </c>
      <c r="P1200" s="3">
        <v>1.49</v>
      </c>
      <c r="Q1200" s="2">
        <v>1.46</v>
      </c>
      <c r="R1200" s="3">
        <v>1.46</v>
      </c>
      <c r="S1200" s="3" t="str">
        <f>IF(Table1[[#This Row],[CGPA]]&gt;=3,"High",IF(R1199&gt;=2,"Medium","Low"))</f>
        <v>Medium</v>
      </c>
      <c r="T1200" s="2" t="s">
        <v>2</v>
      </c>
      <c r="U1200" s="2" t="s">
        <v>14</v>
      </c>
      <c r="V1200" s="2" t="s">
        <v>15</v>
      </c>
      <c r="W1200" s="7">
        <v>0</v>
      </c>
      <c r="X1200" t="str">
        <f t="shared" si="37"/>
        <v>Active</v>
      </c>
    </row>
    <row r="1201" spans="1:24" x14ac:dyDescent="0.3">
      <c r="A1201" s="2">
        <v>1200</v>
      </c>
      <c r="B1201" s="7">
        <v>24</v>
      </c>
      <c r="C1201" s="2" t="s">
        <v>5</v>
      </c>
      <c r="D1201" s="7">
        <f>IF(ISBLANK('Raw sheet'!D1201),AVERAGE('Raw sheet'!$D$2:'Raw sheet'!$D$1500),'Raw sheet'!D1201)</f>
        <v>39960</v>
      </c>
      <c r="E1201" s="7" t="str">
        <f>IF(Table1[[#This Row],[Family_Income]]&gt;=100000,"Upper",IF(D1201&gt;=50000,"Middle","Lower"))</f>
        <v>Lower</v>
      </c>
      <c r="F1201" s="2" t="s">
        <v>4</v>
      </c>
      <c r="G1201" s="3">
        <f>IF(ISBLANK('Raw sheet'!F1201),AVERAGE('Raw sheet'!$F$2:'Raw sheet'!$F$1500),'Raw sheet'!F1201)</f>
        <v>2.41</v>
      </c>
      <c r="H1201" s="18">
        <v>75.400000000000006</v>
      </c>
      <c r="I1201" s="9" t="str">
        <f t="shared" si="36"/>
        <v>Good</v>
      </c>
      <c r="J1201" s="2">
        <v>4</v>
      </c>
      <c r="K1201" s="2">
        <v>27.8</v>
      </c>
      <c r="L1201" s="2" t="s">
        <v>3</v>
      </c>
      <c r="M1201" s="2" t="s">
        <v>3</v>
      </c>
      <c r="N1201" s="5">
        <f>IF(ISBLANK('Raw sheet'!L1201),AVERAGE('Raw sheet'!$L$2:'Raw sheet'!$L$1500),'Raw sheet'!L1201)</f>
        <v>3.6</v>
      </c>
      <c r="O1201" s="5" t="str">
        <f>IF(Table1[[#This Row],[Stress_Index]]&gt;=8,"High",IF(N1201&gt;=5,"Medium","Low"))</f>
        <v>Low</v>
      </c>
      <c r="P1201" s="3">
        <v>0.87</v>
      </c>
      <c r="Q1201" s="2">
        <v>1</v>
      </c>
      <c r="R1201" s="3">
        <v>1</v>
      </c>
      <c r="S1201" s="3" t="str">
        <f>IF(Table1[[#This Row],[CGPA]]&gt;=3,"High",IF(R1200&gt;=2,"Medium","Low"))</f>
        <v>Low</v>
      </c>
      <c r="T1201" s="2" t="s">
        <v>2</v>
      </c>
      <c r="U1201" s="2" t="s">
        <v>13</v>
      </c>
      <c r="V1201" s="2" t="s">
        <v>15</v>
      </c>
      <c r="W1201" s="7">
        <v>0</v>
      </c>
      <c r="X1201" t="str">
        <f t="shared" si="37"/>
        <v>Active</v>
      </c>
    </row>
    <row r="1202" spans="1:24" x14ac:dyDescent="0.3">
      <c r="A1202" s="2">
        <v>1201</v>
      </c>
      <c r="B1202" s="7">
        <v>21.3</v>
      </c>
      <c r="C1202" s="2" t="s">
        <v>11</v>
      </c>
      <c r="D1202" s="7">
        <f>IF(ISBLANK('Raw sheet'!D1202),AVERAGE('Raw sheet'!$D$2:'Raw sheet'!$D$1500),'Raw sheet'!D1202)</f>
        <v>36124</v>
      </c>
      <c r="E1202" s="7" t="str">
        <f>IF(Table1[[#This Row],[Family_Income]]&gt;=100000,"Upper",IF(D1202&gt;=50000,"Middle","Lower"))</f>
        <v>Lower</v>
      </c>
      <c r="F1202" s="2" t="s">
        <v>4</v>
      </c>
      <c r="G1202" s="3">
        <f>IF(ISBLANK('Raw sheet'!F1202),AVERAGE('Raw sheet'!$F$2:'Raw sheet'!$F$1500),'Raw sheet'!F1202)</f>
        <v>2.19</v>
      </c>
      <c r="H1202" s="18">
        <v>88.5</v>
      </c>
      <c r="I1202" s="9" t="str">
        <f t="shared" si="36"/>
        <v>Good</v>
      </c>
      <c r="J1202" s="2">
        <v>1</v>
      </c>
      <c r="K1202" s="2">
        <v>30.3</v>
      </c>
      <c r="L1202" s="2" t="s">
        <v>4</v>
      </c>
      <c r="M1202" s="2" t="s">
        <v>3</v>
      </c>
      <c r="N1202" s="5">
        <f>IF(ISBLANK('Raw sheet'!L1202),AVERAGE('Raw sheet'!$L$2:'Raw sheet'!$L$1500),'Raw sheet'!L1202)</f>
        <v>3</v>
      </c>
      <c r="O1202" s="5" t="str">
        <f>IF(Table1[[#This Row],[Stress_Index]]&gt;=8,"High",IF(N1202&gt;=5,"Medium","Low"))</f>
        <v>Low</v>
      </c>
      <c r="P1202" s="3">
        <v>4</v>
      </c>
      <c r="Q1202" s="2">
        <v>4</v>
      </c>
      <c r="R1202" s="3">
        <v>4</v>
      </c>
      <c r="S1202" s="3" t="str">
        <f>IF(Table1[[#This Row],[CGPA]]&gt;=3,"High",IF(R1201&gt;=2,"Medium","Low"))</f>
        <v>High</v>
      </c>
      <c r="T1202" s="2" t="s">
        <v>10</v>
      </c>
      <c r="U1202" s="2" t="s">
        <v>1</v>
      </c>
      <c r="V1202" s="2" t="s">
        <v>9</v>
      </c>
      <c r="W1202" s="7">
        <v>0</v>
      </c>
      <c r="X1202" t="str">
        <f t="shared" si="37"/>
        <v>Active</v>
      </c>
    </row>
    <row r="1203" spans="1:24" x14ac:dyDescent="0.3">
      <c r="A1203" s="2">
        <v>1202</v>
      </c>
      <c r="B1203" s="7">
        <v>20.100000000000001</v>
      </c>
      <c r="C1203" s="2" t="s">
        <v>5</v>
      </c>
      <c r="D1203" s="7">
        <f>IF(ISBLANK('Raw sheet'!D1203),AVERAGE('Raw sheet'!$D$2:'Raw sheet'!$D$1500),'Raw sheet'!D1203)</f>
        <v>25000</v>
      </c>
      <c r="E1203" s="7" t="str">
        <f>IF(Table1[[#This Row],[Family_Income]]&gt;=100000,"Upper",IF(D1203&gt;=50000,"Middle","Lower"))</f>
        <v>Lower</v>
      </c>
      <c r="F1203" s="2" t="s">
        <v>4</v>
      </c>
      <c r="G1203" s="3">
        <f>IF(ISBLANK('Raw sheet'!F1203),AVERAGE('Raw sheet'!$F$2:'Raw sheet'!$F$1500),'Raw sheet'!F1203)</f>
        <v>5.9</v>
      </c>
      <c r="H1203" s="18">
        <v>77.5</v>
      </c>
      <c r="I1203" s="9" t="str">
        <f t="shared" si="36"/>
        <v>Good</v>
      </c>
      <c r="J1203" s="2">
        <v>1</v>
      </c>
      <c r="K1203" s="2">
        <v>18.8</v>
      </c>
      <c r="L1203" s="2" t="s">
        <v>3</v>
      </c>
      <c r="M1203" s="2" t="s">
        <v>4</v>
      </c>
      <c r="N1203" s="5">
        <f>IF(ISBLANK('Raw sheet'!L1203),AVERAGE('Raw sheet'!$L$2:'Raw sheet'!$L$1500),'Raw sheet'!L1203)</f>
        <v>4.8</v>
      </c>
      <c r="O1203" s="5" t="str">
        <f>IF(Table1[[#This Row],[Stress_Index]]&gt;=8,"High",IF(N1203&gt;=5,"Medium","Low"))</f>
        <v>Low</v>
      </c>
      <c r="P1203" s="3">
        <v>3.58</v>
      </c>
      <c r="Q1203" s="2">
        <v>3.85</v>
      </c>
      <c r="R1203" s="3">
        <v>3.77</v>
      </c>
      <c r="S1203" s="3" t="str">
        <f>IF(Table1[[#This Row],[CGPA]]&gt;=3,"High",IF(R1202&gt;=2,"Medium","Low"))</f>
        <v>High</v>
      </c>
      <c r="T1203" s="2" t="s">
        <v>7</v>
      </c>
      <c r="U1203" s="2" t="s">
        <v>1</v>
      </c>
      <c r="V1203" s="2" t="s">
        <v>17</v>
      </c>
      <c r="W1203" s="7">
        <v>1</v>
      </c>
      <c r="X1203" t="str">
        <f t="shared" si="37"/>
        <v>Dropped Out</v>
      </c>
    </row>
    <row r="1204" spans="1:24" x14ac:dyDescent="0.3">
      <c r="A1204" s="2">
        <v>1203</v>
      </c>
      <c r="B1204" s="7">
        <v>21.3</v>
      </c>
      <c r="C1204" s="2" t="s">
        <v>11</v>
      </c>
      <c r="D1204" s="7">
        <f>IF(ISBLANK('Raw sheet'!D1204),AVERAGE('Raw sheet'!$D$2:'Raw sheet'!$D$1500),'Raw sheet'!D1204)</f>
        <v>25000</v>
      </c>
      <c r="E1204" s="7" t="str">
        <f>IF(Table1[[#This Row],[Family_Income]]&gt;=100000,"Upper",IF(D1204&gt;=50000,"Middle","Lower"))</f>
        <v>Lower</v>
      </c>
      <c r="F1204" s="2" t="s">
        <v>4</v>
      </c>
      <c r="G1204" s="3">
        <f>IF(ISBLANK('Raw sheet'!F1204),AVERAGE('Raw sheet'!$F$2:'Raw sheet'!$F$1500),'Raw sheet'!F1204)</f>
        <v>3.79</v>
      </c>
      <c r="H1204" s="18">
        <v>92.1</v>
      </c>
      <c r="I1204" s="9" t="str">
        <f t="shared" si="36"/>
        <v>Good</v>
      </c>
      <c r="J1204" s="2">
        <v>3</v>
      </c>
      <c r="K1204" s="2">
        <v>42.8</v>
      </c>
      <c r="L1204" s="2" t="s">
        <v>3</v>
      </c>
      <c r="M1204" s="2" t="s">
        <v>4</v>
      </c>
      <c r="N1204" s="5">
        <f>IF(ISBLANK('Raw sheet'!L1204),AVERAGE('Raw sheet'!$L$2:'Raw sheet'!$L$1500),'Raw sheet'!L1204)</f>
        <v>5.6</v>
      </c>
      <c r="O1204" s="5" t="str">
        <f>IF(Table1[[#This Row],[Stress_Index]]&gt;=8,"High",IF(N1204&gt;=5,"Medium","Low"))</f>
        <v>Medium</v>
      </c>
      <c r="P1204" s="3">
        <v>2.42</v>
      </c>
      <c r="Q1204" s="2">
        <v>2.4300000000000002</v>
      </c>
      <c r="R1204" s="3">
        <v>2.44</v>
      </c>
      <c r="S1204" s="3" t="str">
        <f>IF(Table1[[#This Row],[CGPA]]&gt;=3,"High",IF(R1203&gt;=2,"Medium","Low"))</f>
        <v>Medium</v>
      </c>
      <c r="T1204" s="2" t="s">
        <v>7</v>
      </c>
      <c r="U1204" s="2" t="s">
        <v>14</v>
      </c>
      <c r="V1204" s="2" t="s">
        <v>0</v>
      </c>
      <c r="W1204" s="7">
        <v>0</v>
      </c>
      <c r="X1204" t="str">
        <f t="shared" si="37"/>
        <v>Active</v>
      </c>
    </row>
    <row r="1205" spans="1:24" x14ac:dyDescent="0.3">
      <c r="A1205" s="2">
        <v>1204</v>
      </c>
      <c r="B1205" s="7">
        <v>22.2</v>
      </c>
      <c r="C1205" s="2" t="s">
        <v>5</v>
      </c>
      <c r="D1205" s="7">
        <f>IF(ISBLANK('Raw sheet'!D1205),AVERAGE('Raw sheet'!$D$2:'Raw sheet'!$D$1500),'Raw sheet'!D1205)</f>
        <v>59679</v>
      </c>
      <c r="E1205" s="7" t="str">
        <f>IF(Table1[[#This Row],[Family_Income]]&gt;=100000,"Upper",IF(D1205&gt;=50000,"Middle","Lower"))</f>
        <v>Middle</v>
      </c>
      <c r="F1205" s="2" t="s">
        <v>4</v>
      </c>
      <c r="G1205" s="3">
        <f>IF(ISBLANK('Raw sheet'!F1205),AVERAGE('Raw sheet'!$F$2:'Raw sheet'!$F$1500),'Raw sheet'!F1205)</f>
        <v>2.74</v>
      </c>
      <c r="H1205" s="18">
        <v>88.7</v>
      </c>
      <c r="I1205" s="9" t="str">
        <f t="shared" si="36"/>
        <v>Good</v>
      </c>
      <c r="J1205" s="2">
        <v>2</v>
      </c>
      <c r="K1205" s="2">
        <v>22.3</v>
      </c>
      <c r="L1205" s="2" t="s">
        <v>4</v>
      </c>
      <c r="M1205" s="2" t="s">
        <v>3</v>
      </c>
      <c r="N1205" s="5">
        <f>IF(ISBLANK('Raw sheet'!L1205),AVERAGE('Raw sheet'!$L$2:'Raw sheet'!$L$1500),'Raw sheet'!L1205)</f>
        <v>8.5</v>
      </c>
      <c r="O1205" s="5" t="str">
        <f>IF(Table1[[#This Row],[Stress_Index]]&gt;=8,"High",IF(N1205&gt;=5,"Medium","Low"))</f>
        <v>High</v>
      </c>
      <c r="P1205" s="3">
        <v>0</v>
      </c>
      <c r="Q1205" s="2">
        <v>0</v>
      </c>
      <c r="R1205" s="3">
        <v>0</v>
      </c>
      <c r="S1205" s="3" t="str">
        <f>IF(Table1[[#This Row],[CGPA]]&gt;=3,"High",IF(R1204&gt;=2,"Medium","Low"))</f>
        <v>Medium</v>
      </c>
      <c r="T1205" s="2" t="s">
        <v>2</v>
      </c>
      <c r="U1205" s="2" t="s">
        <v>13</v>
      </c>
      <c r="V1205" s="2" t="s">
        <v>15</v>
      </c>
      <c r="W1205" s="7">
        <v>1</v>
      </c>
      <c r="X1205" t="str">
        <f t="shared" si="37"/>
        <v>Dropped Out</v>
      </c>
    </row>
    <row r="1206" spans="1:24" x14ac:dyDescent="0.3">
      <c r="A1206" s="2">
        <v>1205</v>
      </c>
      <c r="B1206" s="7">
        <v>21.1</v>
      </c>
      <c r="C1206" s="2" t="s">
        <v>11</v>
      </c>
      <c r="D1206" s="7">
        <f>IF(ISBLANK('Raw sheet'!D1206),AVERAGE('Raw sheet'!$D$2:'Raw sheet'!$D$1500),'Raw sheet'!D1206)</f>
        <v>25000</v>
      </c>
      <c r="E1206" s="7" t="str">
        <f>IF(Table1[[#This Row],[Family_Income]]&gt;=100000,"Upper",IF(D1206&gt;=50000,"Middle","Lower"))</f>
        <v>Lower</v>
      </c>
      <c r="F1206" s="2" t="s">
        <v>4</v>
      </c>
      <c r="G1206" s="3">
        <f>IF(ISBLANK('Raw sheet'!F1206),AVERAGE('Raw sheet'!$F$2:'Raw sheet'!$F$1500),'Raw sheet'!F1206)</f>
        <v>2.5299999999999998</v>
      </c>
      <c r="H1206" s="18">
        <v>80.5</v>
      </c>
      <c r="I1206" s="9" t="str">
        <f t="shared" si="36"/>
        <v>Good</v>
      </c>
      <c r="J1206" s="2">
        <v>1</v>
      </c>
      <c r="K1206" s="2">
        <v>28.8</v>
      </c>
      <c r="L1206" s="2" t="s">
        <v>4</v>
      </c>
      <c r="M1206" s="2" t="s">
        <v>3</v>
      </c>
      <c r="N1206" s="5">
        <f>IF(ISBLANK('Raw sheet'!L1206),AVERAGE('Raw sheet'!$L$2:'Raw sheet'!$L$1500),'Raw sheet'!L1206)</f>
        <v>4</v>
      </c>
      <c r="O1206" s="5" t="str">
        <f>IF(Table1[[#This Row],[Stress_Index]]&gt;=8,"High",IF(N1206&gt;=5,"Medium","Low"))</f>
        <v>Low</v>
      </c>
      <c r="P1206" s="3">
        <v>2.85</v>
      </c>
      <c r="Q1206" s="2">
        <v>3.14</v>
      </c>
      <c r="R1206" s="3">
        <v>3.07</v>
      </c>
      <c r="S1206" s="3" t="str">
        <f>IF(Table1[[#This Row],[CGPA]]&gt;=3,"High",IF(R1205&gt;=2,"Medium","Low"))</f>
        <v>High</v>
      </c>
      <c r="T1206" s="2" t="s">
        <v>7</v>
      </c>
      <c r="U1206" s="2" t="s">
        <v>13</v>
      </c>
      <c r="V1206" s="2" t="s">
        <v>0</v>
      </c>
      <c r="W1206" s="7">
        <v>1</v>
      </c>
      <c r="X1206" t="str">
        <f t="shared" si="37"/>
        <v>Dropped Out</v>
      </c>
    </row>
    <row r="1207" spans="1:24" x14ac:dyDescent="0.3">
      <c r="A1207" s="2">
        <v>1206</v>
      </c>
      <c r="B1207" s="7">
        <v>21.1</v>
      </c>
      <c r="C1207" s="2" t="s">
        <v>11</v>
      </c>
      <c r="D1207" s="7">
        <f>IF(ISBLANK('Raw sheet'!D1207),AVERAGE('Raw sheet'!$D$2:'Raw sheet'!$D$1500),'Raw sheet'!D1207)</f>
        <v>32941</v>
      </c>
      <c r="E1207" s="7" t="str">
        <f>IF(Table1[[#This Row],[Family_Income]]&gt;=100000,"Upper",IF(D1207&gt;=50000,"Middle","Lower"))</f>
        <v>Lower</v>
      </c>
      <c r="F1207" s="2" t="s">
        <v>4</v>
      </c>
      <c r="G1207" s="3">
        <f>IF(ISBLANK('Raw sheet'!F1207),AVERAGE('Raw sheet'!$F$2:'Raw sheet'!$F$1500),'Raw sheet'!F1207)</f>
        <v>3.29</v>
      </c>
      <c r="H1207" s="18">
        <v>89.8</v>
      </c>
      <c r="I1207" s="9" t="str">
        <f t="shared" si="36"/>
        <v>Good</v>
      </c>
      <c r="J1207" s="2">
        <v>0</v>
      </c>
      <c r="K1207" s="2">
        <v>42.9</v>
      </c>
      <c r="L1207" s="2" t="s">
        <v>3</v>
      </c>
      <c r="M1207" s="2" t="s">
        <v>4</v>
      </c>
      <c r="N1207" s="5">
        <f>IF(ISBLANK('Raw sheet'!L1207),AVERAGE('Raw sheet'!$L$2:'Raw sheet'!$L$1500),'Raw sheet'!L1207)</f>
        <v>7</v>
      </c>
      <c r="O1207" s="5" t="str">
        <f>IF(Table1[[#This Row],[Stress_Index]]&gt;=8,"High",IF(N1207&gt;=5,"Medium","Low"))</f>
        <v>Medium</v>
      </c>
      <c r="P1207" s="3">
        <v>0.83</v>
      </c>
      <c r="Q1207" s="2">
        <v>0.73</v>
      </c>
      <c r="R1207" s="3">
        <v>0.77</v>
      </c>
      <c r="S1207" s="3" t="str">
        <f>IF(Table1[[#This Row],[CGPA]]&gt;=3,"High",IF(R1206&gt;=2,"Medium","Low"))</f>
        <v>Medium</v>
      </c>
      <c r="T1207" s="2" t="s">
        <v>10</v>
      </c>
      <c r="U1207" s="2" t="s">
        <v>6</v>
      </c>
      <c r="V1207" s="2" t="s">
        <v>9</v>
      </c>
      <c r="W1207" s="7">
        <v>0</v>
      </c>
      <c r="X1207" t="str">
        <f t="shared" si="37"/>
        <v>Active</v>
      </c>
    </row>
    <row r="1208" spans="1:24" x14ac:dyDescent="0.3">
      <c r="A1208" s="2">
        <v>1207</v>
      </c>
      <c r="B1208" s="7">
        <v>19.5</v>
      </c>
      <c r="C1208" s="2" t="s">
        <v>5</v>
      </c>
      <c r="D1208" s="7">
        <f>IF(ISBLANK('Raw sheet'!D1208),AVERAGE('Raw sheet'!$D$2:'Raw sheet'!$D$1500),'Raw sheet'!D1208)</f>
        <v>26533</v>
      </c>
      <c r="E1208" s="7" t="str">
        <f>IF(Table1[[#This Row],[Family_Income]]&gt;=100000,"Upper",IF(D1208&gt;=50000,"Middle","Lower"))</f>
        <v>Lower</v>
      </c>
      <c r="F1208" s="2" t="s">
        <v>3</v>
      </c>
      <c r="G1208" s="3">
        <f>IF(ISBLANK('Raw sheet'!F1208),AVERAGE('Raw sheet'!$F$2:'Raw sheet'!$F$1500),'Raw sheet'!F1208)</f>
        <v>6.07</v>
      </c>
      <c r="H1208" s="18">
        <v>80.099999999999994</v>
      </c>
      <c r="I1208" s="9" t="str">
        <f t="shared" si="36"/>
        <v>Good</v>
      </c>
      <c r="J1208" s="2">
        <v>1</v>
      </c>
      <c r="K1208" s="2">
        <v>24.6</v>
      </c>
      <c r="L1208" s="2" t="s">
        <v>3</v>
      </c>
      <c r="M1208" s="2" t="s">
        <v>3</v>
      </c>
      <c r="N1208" s="5">
        <f>IF(ISBLANK('Raw sheet'!L1208),AVERAGE('Raw sheet'!$L$2:'Raw sheet'!$L$1500),'Raw sheet'!L1208)</f>
        <v>4</v>
      </c>
      <c r="O1208" s="5" t="str">
        <f>IF(Table1[[#This Row],[Stress_Index]]&gt;=8,"High",IF(N1208&gt;=5,"Medium","Low"))</f>
        <v>Low</v>
      </c>
      <c r="P1208" s="3">
        <v>3.07</v>
      </c>
      <c r="Q1208" s="2">
        <v>3.66</v>
      </c>
      <c r="R1208" s="3">
        <v>3.77</v>
      </c>
      <c r="S1208" s="3" t="str">
        <f>IF(Table1[[#This Row],[CGPA]]&gt;=3,"High",IF(R1207&gt;=2,"Medium","Low"))</f>
        <v>High</v>
      </c>
      <c r="T1208" s="2" t="s">
        <v>12</v>
      </c>
      <c r="U1208" s="2" t="s">
        <v>8</v>
      </c>
      <c r="V1208" s="2" t="s">
        <v>15</v>
      </c>
      <c r="W1208" s="7">
        <v>1</v>
      </c>
      <c r="X1208" t="str">
        <f t="shared" si="37"/>
        <v>Dropped Out</v>
      </c>
    </row>
    <row r="1209" spans="1:24" x14ac:dyDescent="0.3">
      <c r="A1209" s="2">
        <v>1208</v>
      </c>
      <c r="B1209" s="7">
        <v>19.5</v>
      </c>
      <c r="C1209" s="2" t="s">
        <v>5</v>
      </c>
      <c r="D1209" s="7">
        <f>IF(ISBLANK('Raw sheet'!D1209),AVERAGE('Raw sheet'!$D$2:'Raw sheet'!$D$1500),'Raw sheet'!D1209)</f>
        <v>40288</v>
      </c>
      <c r="E1209" s="7" t="str">
        <f>IF(Table1[[#This Row],[Family_Income]]&gt;=100000,"Upper",IF(D1209&gt;=50000,"Middle","Lower"))</f>
        <v>Lower</v>
      </c>
      <c r="F1209" s="2" t="s">
        <v>4</v>
      </c>
      <c r="G1209" s="3">
        <f>IF(ISBLANK('Raw sheet'!F1209),AVERAGE('Raw sheet'!$F$2:'Raw sheet'!$F$1500),'Raw sheet'!F1209)</f>
        <v>3.68</v>
      </c>
      <c r="H1209" s="18">
        <v>83.1</v>
      </c>
      <c r="I1209" s="9" t="str">
        <f t="shared" si="36"/>
        <v>Good</v>
      </c>
      <c r="J1209" s="2">
        <v>2</v>
      </c>
      <c r="K1209" s="2">
        <v>26</v>
      </c>
      <c r="L1209" s="2" t="s">
        <v>4</v>
      </c>
      <c r="M1209" s="2" t="s">
        <v>4</v>
      </c>
      <c r="N1209" s="5">
        <f>IF(ISBLANK('Raw sheet'!L1209),AVERAGE('Raw sheet'!$L$2:'Raw sheet'!$L$1500),'Raw sheet'!L1209)</f>
        <v>5.5</v>
      </c>
      <c r="O1209" s="5" t="str">
        <f>IF(Table1[[#This Row],[Stress_Index]]&gt;=8,"High",IF(N1209&gt;=5,"Medium","Low"))</f>
        <v>Medium</v>
      </c>
      <c r="P1209" s="3">
        <v>2.1800000000000002</v>
      </c>
      <c r="Q1209" s="2">
        <v>2.2999999999999998</v>
      </c>
      <c r="R1209" s="3">
        <v>2.2999999999999998</v>
      </c>
      <c r="S1209" s="3" t="str">
        <f>IF(Table1[[#This Row],[CGPA]]&gt;=3,"High",IF(R1208&gt;=2,"Medium","Low"))</f>
        <v>Medium</v>
      </c>
      <c r="T1209" s="2" t="s">
        <v>2</v>
      </c>
      <c r="U1209" s="2" t="s">
        <v>8</v>
      </c>
      <c r="V1209" s="2" t="s">
        <v>0</v>
      </c>
      <c r="W1209" s="7">
        <v>0</v>
      </c>
      <c r="X1209" t="str">
        <f t="shared" si="37"/>
        <v>Active</v>
      </c>
    </row>
    <row r="1210" spans="1:24" x14ac:dyDescent="0.3">
      <c r="A1210" s="2">
        <v>1209</v>
      </c>
      <c r="B1210" s="7">
        <v>17.899999999999999</v>
      </c>
      <c r="C1210" s="2" t="s">
        <v>11</v>
      </c>
      <c r="D1210" s="7">
        <f>IF(ISBLANK('Raw sheet'!D1210),AVERAGE('Raw sheet'!$D$2:'Raw sheet'!$D$1500),'Raw sheet'!D1210)</f>
        <v>38587.00282087447</v>
      </c>
      <c r="E1210" s="7" t="str">
        <f>IF(Table1[[#This Row],[Family_Income]]&gt;=100000,"Upper",IF(D1210&gt;=50000,"Middle","Lower"))</f>
        <v>Lower</v>
      </c>
      <c r="F1210" s="2" t="s">
        <v>4</v>
      </c>
      <c r="G1210" s="3">
        <f>IF(ISBLANK('Raw sheet'!F1210),AVERAGE('Raw sheet'!$F$2:'Raw sheet'!$F$1500),'Raw sheet'!F1210)</f>
        <v>4.0178702397743278</v>
      </c>
      <c r="H1210" s="18">
        <v>86.7</v>
      </c>
      <c r="I1210" s="9" t="str">
        <f t="shared" si="36"/>
        <v>Good</v>
      </c>
      <c r="J1210" s="2">
        <v>1</v>
      </c>
      <c r="K1210" s="2">
        <v>34.1</v>
      </c>
      <c r="L1210" s="2" t="s">
        <v>3</v>
      </c>
      <c r="M1210" s="2" t="s">
        <v>3</v>
      </c>
      <c r="N1210" s="5">
        <f>IF(ISBLANK('Raw sheet'!L1210),AVERAGE('Raw sheet'!$L$2:'Raw sheet'!$L$1500),'Raw sheet'!L1210)</f>
        <v>5.5242595204513369</v>
      </c>
      <c r="O1210" s="5" t="str">
        <f>IF(Table1[[#This Row],[Stress_Index]]&gt;=8,"High",IF(N1210&gt;=5,"Medium","Low"))</f>
        <v>Medium</v>
      </c>
      <c r="P1210" s="3">
        <v>1.92</v>
      </c>
      <c r="Q1210" s="2">
        <v>1.64</v>
      </c>
      <c r="R1210" s="3">
        <v>1.63</v>
      </c>
      <c r="S1210" s="3" t="str">
        <f>IF(Table1[[#This Row],[CGPA]]&gt;=3,"High",IF(R1209&gt;=2,"Medium","Low"))</f>
        <v>Medium</v>
      </c>
      <c r="T1210" s="2" t="s">
        <v>7</v>
      </c>
      <c r="U1210" s="2" t="s">
        <v>13</v>
      </c>
      <c r="V1210" s="2" t="s">
        <v>15</v>
      </c>
      <c r="W1210" s="7">
        <v>0</v>
      </c>
      <c r="X1210" t="str">
        <f t="shared" si="37"/>
        <v>Active</v>
      </c>
    </row>
    <row r="1211" spans="1:24" x14ac:dyDescent="0.3">
      <c r="A1211" s="2">
        <v>1210</v>
      </c>
      <c r="B1211" s="7">
        <v>24.8</v>
      </c>
      <c r="C1211" s="2" t="s">
        <v>5</v>
      </c>
      <c r="D1211" s="7">
        <f>IF(ISBLANK('Raw sheet'!D1211),AVERAGE('Raw sheet'!$D$2:'Raw sheet'!$D$1500),'Raw sheet'!D1211)</f>
        <v>31384</v>
      </c>
      <c r="E1211" s="7" t="str">
        <f>IF(Table1[[#This Row],[Family_Income]]&gt;=100000,"Upper",IF(D1211&gt;=50000,"Middle","Lower"))</f>
        <v>Lower</v>
      </c>
      <c r="F1211" s="2" t="s">
        <v>4</v>
      </c>
      <c r="G1211" s="3">
        <f>IF(ISBLANK('Raw sheet'!F1211),AVERAGE('Raw sheet'!$F$2:'Raw sheet'!$F$1500),'Raw sheet'!F1211)</f>
        <v>4.45</v>
      </c>
      <c r="H1211" s="18">
        <v>78.900000000000006</v>
      </c>
      <c r="I1211" s="9" t="str">
        <f t="shared" si="36"/>
        <v>Good</v>
      </c>
      <c r="J1211" s="2">
        <v>1</v>
      </c>
      <c r="K1211" s="2">
        <v>25.1</v>
      </c>
      <c r="L1211" s="2" t="s">
        <v>3</v>
      </c>
      <c r="M1211" s="2" t="s">
        <v>3</v>
      </c>
      <c r="N1211" s="5">
        <f>IF(ISBLANK('Raw sheet'!L1211),AVERAGE('Raw sheet'!$L$2:'Raw sheet'!$L$1500),'Raw sheet'!L1211)</f>
        <v>3.8</v>
      </c>
      <c r="O1211" s="5" t="str">
        <f>IF(Table1[[#This Row],[Stress_Index]]&gt;=8,"High",IF(N1211&gt;=5,"Medium","Low"))</f>
        <v>Low</v>
      </c>
      <c r="P1211" s="3">
        <v>2.0299999999999998</v>
      </c>
      <c r="Q1211" s="2">
        <v>2.73</v>
      </c>
      <c r="R1211" s="3">
        <v>2.79</v>
      </c>
      <c r="S1211" s="3" t="str">
        <f>IF(Table1[[#This Row],[CGPA]]&gt;=3,"High",IF(R1210&gt;=2,"Medium","Low"))</f>
        <v>Low</v>
      </c>
      <c r="T1211" s="2" t="s">
        <v>12</v>
      </c>
      <c r="U1211" s="2" t="s">
        <v>6</v>
      </c>
      <c r="V1211" s="2" t="s">
        <v>0</v>
      </c>
      <c r="W1211" s="7">
        <v>1</v>
      </c>
      <c r="X1211" t="str">
        <f t="shared" si="37"/>
        <v>Dropped Out</v>
      </c>
    </row>
    <row r="1212" spans="1:24" x14ac:dyDescent="0.3">
      <c r="A1212" s="2">
        <v>1211</v>
      </c>
      <c r="B1212" s="7">
        <v>18.3</v>
      </c>
      <c r="C1212" s="2" t="s">
        <v>11</v>
      </c>
      <c r="D1212" s="7">
        <f>IF(ISBLANK('Raw sheet'!D1212),AVERAGE('Raw sheet'!$D$2:'Raw sheet'!$D$1500),'Raw sheet'!D1212)</f>
        <v>32900</v>
      </c>
      <c r="E1212" s="7" t="str">
        <f>IF(Table1[[#This Row],[Family_Income]]&gt;=100000,"Upper",IF(D1212&gt;=50000,"Middle","Lower"))</f>
        <v>Lower</v>
      </c>
      <c r="F1212" s="2" t="s">
        <v>4</v>
      </c>
      <c r="G1212" s="3">
        <f>IF(ISBLANK('Raw sheet'!F1212),AVERAGE('Raw sheet'!$F$2:'Raw sheet'!$F$1500),'Raw sheet'!F1212)</f>
        <v>3.92</v>
      </c>
      <c r="H1212" s="18">
        <v>94.1</v>
      </c>
      <c r="I1212" s="9" t="str">
        <f t="shared" si="36"/>
        <v>Good</v>
      </c>
      <c r="J1212" s="2">
        <v>3</v>
      </c>
      <c r="K1212" s="2">
        <v>48.4</v>
      </c>
      <c r="L1212" s="2" t="s">
        <v>4</v>
      </c>
      <c r="M1212" s="2" t="s">
        <v>4</v>
      </c>
      <c r="N1212" s="5">
        <f>IF(ISBLANK('Raw sheet'!L1212),AVERAGE('Raw sheet'!$L$2:'Raw sheet'!$L$1500),'Raw sheet'!L1212)</f>
        <v>4</v>
      </c>
      <c r="O1212" s="5" t="str">
        <f>IF(Table1[[#This Row],[Stress_Index]]&gt;=8,"High",IF(N1212&gt;=5,"Medium","Low"))</f>
        <v>Low</v>
      </c>
      <c r="P1212" s="3">
        <v>4</v>
      </c>
      <c r="Q1212" s="2">
        <v>3.92</v>
      </c>
      <c r="R1212" s="3">
        <v>3.92</v>
      </c>
      <c r="S1212" s="3" t="str">
        <f>IF(Table1[[#This Row],[CGPA]]&gt;=3,"High",IF(R1211&gt;=2,"Medium","Low"))</f>
        <v>High</v>
      </c>
      <c r="T1212" s="2" t="s">
        <v>2</v>
      </c>
      <c r="U1212" s="2" t="s">
        <v>8</v>
      </c>
      <c r="V1212" s="2" t="s">
        <v>16</v>
      </c>
      <c r="W1212" s="7">
        <v>0</v>
      </c>
      <c r="X1212" t="str">
        <f t="shared" si="37"/>
        <v>Active</v>
      </c>
    </row>
    <row r="1213" spans="1:24" x14ac:dyDescent="0.3">
      <c r="A1213" s="2">
        <v>1212</v>
      </c>
      <c r="B1213" s="7">
        <v>19.5</v>
      </c>
      <c r="C1213" s="2" t="s">
        <v>11</v>
      </c>
      <c r="D1213" s="7">
        <f>IF(ISBLANK('Raw sheet'!D1213),AVERAGE('Raw sheet'!$D$2:'Raw sheet'!$D$1500),'Raw sheet'!D1213)</f>
        <v>34136</v>
      </c>
      <c r="E1213" s="7" t="str">
        <f>IF(Table1[[#This Row],[Family_Income]]&gt;=100000,"Upper",IF(D1213&gt;=50000,"Middle","Lower"))</f>
        <v>Lower</v>
      </c>
      <c r="F1213" s="2" t="s">
        <v>4</v>
      </c>
      <c r="G1213" s="3">
        <f>IF(ISBLANK('Raw sheet'!F1213),AVERAGE('Raw sheet'!$F$2:'Raw sheet'!$F$1500),'Raw sheet'!F1213)</f>
        <v>1.43</v>
      </c>
      <c r="H1213" s="18">
        <v>82.6</v>
      </c>
      <c r="I1213" s="9" t="str">
        <f t="shared" si="36"/>
        <v>Good</v>
      </c>
      <c r="J1213" s="2">
        <v>1</v>
      </c>
      <c r="K1213" s="2">
        <v>19</v>
      </c>
      <c r="L1213" s="2" t="s">
        <v>3</v>
      </c>
      <c r="M1213" s="2" t="s">
        <v>3</v>
      </c>
      <c r="N1213" s="5">
        <f>IF(ISBLANK('Raw sheet'!L1213),AVERAGE('Raw sheet'!$L$2:'Raw sheet'!$L$1500),'Raw sheet'!L1213)</f>
        <v>8.4</v>
      </c>
      <c r="O1213" s="5" t="str">
        <f>IF(Table1[[#This Row],[Stress_Index]]&gt;=8,"High",IF(N1213&gt;=5,"Medium","Low"))</f>
        <v>High</v>
      </c>
      <c r="P1213" s="3">
        <v>2.82</v>
      </c>
      <c r="Q1213" s="2">
        <v>2.4300000000000002</v>
      </c>
      <c r="R1213" s="3">
        <v>2.4300000000000002</v>
      </c>
      <c r="S1213" s="3" t="str">
        <f>IF(Table1[[#This Row],[CGPA]]&gt;=3,"High",IF(R1212&gt;=2,"Medium","Low"))</f>
        <v>Medium</v>
      </c>
      <c r="T1213" s="2" t="s">
        <v>2</v>
      </c>
      <c r="U1213" s="2" t="s">
        <v>6</v>
      </c>
      <c r="V1213" s="2" t="s">
        <v>9</v>
      </c>
      <c r="W1213" s="7">
        <v>0</v>
      </c>
      <c r="X1213" t="str">
        <f t="shared" si="37"/>
        <v>Active</v>
      </c>
    </row>
    <row r="1214" spans="1:24" x14ac:dyDescent="0.3">
      <c r="A1214" s="2">
        <v>1213</v>
      </c>
      <c r="B1214" s="7">
        <v>19.399999999999999</v>
      </c>
      <c r="C1214" s="2" t="s">
        <v>5</v>
      </c>
      <c r="D1214" s="7">
        <f>IF(ISBLANK('Raw sheet'!D1214),AVERAGE('Raw sheet'!$D$2:'Raw sheet'!$D$1500),'Raw sheet'!D1214)</f>
        <v>31177</v>
      </c>
      <c r="E1214" s="7" t="str">
        <f>IF(Table1[[#This Row],[Family_Income]]&gt;=100000,"Upper",IF(D1214&gt;=50000,"Middle","Lower"))</f>
        <v>Lower</v>
      </c>
      <c r="F1214" s="2" t="s">
        <v>4</v>
      </c>
      <c r="G1214" s="3">
        <f>IF(ISBLANK('Raw sheet'!F1214),AVERAGE('Raw sheet'!$F$2:'Raw sheet'!$F$1500),'Raw sheet'!F1214)</f>
        <v>5.09</v>
      </c>
      <c r="H1214" s="18">
        <v>84.3</v>
      </c>
      <c r="I1214" s="9" t="str">
        <f t="shared" si="36"/>
        <v>Good</v>
      </c>
      <c r="J1214" s="2">
        <v>1</v>
      </c>
      <c r="K1214" s="2">
        <v>5</v>
      </c>
      <c r="L1214" s="2" t="s">
        <v>3</v>
      </c>
      <c r="M1214" s="2" t="s">
        <v>3</v>
      </c>
      <c r="N1214" s="5">
        <f>IF(ISBLANK('Raw sheet'!L1214),AVERAGE('Raw sheet'!$L$2:'Raw sheet'!$L$1500),'Raw sheet'!L1214)</f>
        <v>4.5</v>
      </c>
      <c r="O1214" s="5" t="str">
        <f>IF(Table1[[#This Row],[Stress_Index]]&gt;=8,"High",IF(N1214&gt;=5,"Medium","Low"))</f>
        <v>Low</v>
      </c>
      <c r="P1214" s="3">
        <v>1.51</v>
      </c>
      <c r="Q1214" s="2">
        <v>1.17</v>
      </c>
      <c r="R1214" s="3">
        <v>1.2</v>
      </c>
      <c r="S1214" s="3" t="str">
        <f>IF(Table1[[#This Row],[CGPA]]&gt;=3,"High",IF(R1213&gt;=2,"Medium","Low"))</f>
        <v>Medium</v>
      </c>
      <c r="T1214" s="2" t="s">
        <v>7</v>
      </c>
      <c r="U1214" s="2" t="s">
        <v>1</v>
      </c>
      <c r="V1214" s="2" t="s">
        <v>15</v>
      </c>
      <c r="W1214" s="7">
        <v>0</v>
      </c>
      <c r="X1214" t="str">
        <f t="shared" si="37"/>
        <v>Active</v>
      </c>
    </row>
    <row r="1215" spans="1:24" x14ac:dyDescent="0.3">
      <c r="A1215" s="2">
        <v>1214</v>
      </c>
      <c r="B1215" s="7">
        <v>23</v>
      </c>
      <c r="C1215" s="2" t="s">
        <v>5</v>
      </c>
      <c r="D1215" s="7">
        <f>IF(ISBLANK('Raw sheet'!D1215),AVERAGE('Raw sheet'!$D$2:'Raw sheet'!$D$1500),'Raw sheet'!D1215)</f>
        <v>36562</v>
      </c>
      <c r="E1215" s="7" t="str">
        <f>IF(Table1[[#This Row],[Family_Income]]&gt;=100000,"Upper",IF(D1215&gt;=50000,"Middle","Lower"))</f>
        <v>Lower</v>
      </c>
      <c r="F1215" s="2" t="s">
        <v>4</v>
      </c>
      <c r="G1215" s="3">
        <f>IF(ISBLANK('Raw sheet'!F1215),AVERAGE('Raw sheet'!$F$2:'Raw sheet'!$F$1500),'Raw sheet'!F1215)</f>
        <v>3.03</v>
      </c>
      <c r="H1215" s="18">
        <v>71.5</v>
      </c>
      <c r="I1215" s="9" t="str">
        <f t="shared" si="36"/>
        <v>Low</v>
      </c>
      <c r="J1215" s="2">
        <v>0</v>
      </c>
      <c r="K1215" s="2">
        <v>40.1</v>
      </c>
      <c r="L1215" s="2" t="s">
        <v>4</v>
      </c>
      <c r="M1215" s="2" t="s">
        <v>4</v>
      </c>
      <c r="N1215" s="5">
        <f>IF(ISBLANK('Raw sheet'!L1215),AVERAGE('Raw sheet'!$L$2:'Raw sheet'!$L$1500),'Raw sheet'!L1215)</f>
        <v>7.3</v>
      </c>
      <c r="O1215" s="5" t="str">
        <f>IF(Table1[[#This Row],[Stress_Index]]&gt;=8,"High",IF(N1215&gt;=5,"Medium","Low"))</f>
        <v>Medium</v>
      </c>
      <c r="P1215" s="3">
        <v>2.2400000000000002</v>
      </c>
      <c r="Q1215" s="2">
        <v>1.91</v>
      </c>
      <c r="R1215" s="3">
        <v>1.94</v>
      </c>
      <c r="S1215" s="3" t="str">
        <f>IF(Table1[[#This Row],[CGPA]]&gt;=3,"High",IF(R1214&gt;=2,"Medium","Low"))</f>
        <v>Low</v>
      </c>
      <c r="T1215" s="2" t="s">
        <v>10</v>
      </c>
      <c r="U1215" s="2" t="s">
        <v>13</v>
      </c>
      <c r="V1215" s="2" t="s">
        <v>0</v>
      </c>
      <c r="W1215" s="7">
        <v>0</v>
      </c>
      <c r="X1215" t="str">
        <f t="shared" si="37"/>
        <v>Active</v>
      </c>
    </row>
    <row r="1216" spans="1:24" x14ac:dyDescent="0.3">
      <c r="A1216" s="2">
        <v>1215</v>
      </c>
      <c r="B1216" s="7">
        <v>20.399999999999999</v>
      </c>
      <c r="C1216" s="2" t="s">
        <v>11</v>
      </c>
      <c r="D1216" s="7">
        <f>IF(ISBLANK('Raw sheet'!D1216),AVERAGE('Raw sheet'!$D$2:'Raw sheet'!$D$1500),'Raw sheet'!D1216)</f>
        <v>110753</v>
      </c>
      <c r="E1216" s="7" t="str">
        <f>IF(Table1[[#This Row],[Family_Income]]&gt;=100000,"Upper",IF(D1216&gt;=50000,"Middle","Lower"))</f>
        <v>Upper</v>
      </c>
      <c r="F1216" s="2" t="s">
        <v>4</v>
      </c>
      <c r="G1216" s="3">
        <f>IF(ISBLANK('Raw sheet'!F1216),AVERAGE('Raw sheet'!$F$2:'Raw sheet'!$F$1500),'Raw sheet'!F1216)</f>
        <v>1.85</v>
      </c>
      <c r="H1216" s="18">
        <v>76.8</v>
      </c>
      <c r="I1216" s="9" t="str">
        <f t="shared" si="36"/>
        <v>Good</v>
      </c>
      <c r="J1216" s="2">
        <v>1</v>
      </c>
      <c r="K1216" s="2">
        <v>25.7</v>
      </c>
      <c r="L1216" s="2" t="s">
        <v>3</v>
      </c>
      <c r="M1216" s="2" t="s">
        <v>3</v>
      </c>
      <c r="N1216" s="5">
        <f>IF(ISBLANK('Raw sheet'!L1216),AVERAGE('Raw sheet'!$L$2:'Raw sheet'!$L$1500),'Raw sheet'!L1216)</f>
        <v>6.7</v>
      </c>
      <c r="O1216" s="5" t="str">
        <f>IF(Table1[[#This Row],[Stress_Index]]&gt;=8,"High",IF(N1216&gt;=5,"Medium","Low"))</f>
        <v>Medium</v>
      </c>
      <c r="P1216" s="3">
        <v>0.87</v>
      </c>
      <c r="Q1216" s="2">
        <v>0.87</v>
      </c>
      <c r="R1216" s="3">
        <v>0.93</v>
      </c>
      <c r="S1216" s="3" t="str">
        <f>IF(Table1[[#This Row],[CGPA]]&gt;=3,"High",IF(R1215&gt;=2,"Medium","Low"))</f>
        <v>Low</v>
      </c>
      <c r="T1216" s="2" t="s">
        <v>10</v>
      </c>
      <c r="U1216" s="2" t="s">
        <v>14</v>
      </c>
      <c r="V1216" s="2" t="s">
        <v>9</v>
      </c>
      <c r="W1216" s="7">
        <v>0</v>
      </c>
      <c r="X1216" t="str">
        <f t="shared" si="37"/>
        <v>Active</v>
      </c>
    </row>
    <row r="1217" spans="1:24" x14ac:dyDescent="0.3">
      <c r="A1217" s="2">
        <v>1216</v>
      </c>
      <c r="B1217" s="7">
        <v>23.7</v>
      </c>
      <c r="C1217" s="2" t="s">
        <v>5</v>
      </c>
      <c r="D1217" s="7">
        <f>IF(ISBLANK('Raw sheet'!D1217),AVERAGE('Raw sheet'!$D$2:'Raw sheet'!$D$1500),'Raw sheet'!D1217)</f>
        <v>138244</v>
      </c>
      <c r="E1217" s="7" t="str">
        <f>IF(Table1[[#This Row],[Family_Income]]&gt;=100000,"Upper",IF(D1217&gt;=50000,"Middle","Lower"))</f>
        <v>Upper</v>
      </c>
      <c r="F1217" s="2" t="s">
        <v>4</v>
      </c>
      <c r="G1217" s="3">
        <f>IF(ISBLANK('Raw sheet'!F1217),AVERAGE('Raw sheet'!$F$2:'Raw sheet'!$F$1500),'Raw sheet'!F1217)</f>
        <v>1.6</v>
      </c>
      <c r="H1217" s="18">
        <v>83.3</v>
      </c>
      <c r="I1217" s="9" t="str">
        <f t="shared" si="36"/>
        <v>Good</v>
      </c>
      <c r="J1217" s="2">
        <v>2</v>
      </c>
      <c r="K1217" s="2">
        <v>20.3</v>
      </c>
      <c r="L1217" s="2" t="s">
        <v>3</v>
      </c>
      <c r="M1217" s="2" t="s">
        <v>3</v>
      </c>
      <c r="N1217" s="5">
        <f>IF(ISBLANK('Raw sheet'!L1217),AVERAGE('Raw sheet'!$L$2:'Raw sheet'!$L$1500),'Raw sheet'!L1217)</f>
        <v>4.4000000000000004</v>
      </c>
      <c r="O1217" s="5" t="str">
        <f>IF(Table1[[#This Row],[Stress_Index]]&gt;=8,"High",IF(N1217&gt;=5,"Medium","Low"))</f>
        <v>Low</v>
      </c>
      <c r="P1217" s="3">
        <v>1.48</v>
      </c>
      <c r="Q1217" s="2">
        <v>1.99</v>
      </c>
      <c r="R1217" s="3">
        <v>1.99</v>
      </c>
      <c r="S1217" s="3" t="str">
        <f>IF(Table1[[#This Row],[CGPA]]&gt;=3,"High",IF(R1216&gt;=2,"Medium","Low"))</f>
        <v>Low</v>
      </c>
      <c r="T1217" s="2" t="s">
        <v>2</v>
      </c>
      <c r="U1217" s="2" t="s">
        <v>13</v>
      </c>
      <c r="V1217" s="2" t="s">
        <v>0</v>
      </c>
      <c r="W1217" s="7">
        <v>0</v>
      </c>
      <c r="X1217" t="str">
        <f t="shared" si="37"/>
        <v>Active</v>
      </c>
    </row>
    <row r="1218" spans="1:24" x14ac:dyDescent="0.3">
      <c r="A1218" s="2">
        <v>1217</v>
      </c>
      <c r="B1218" s="7">
        <v>19.5</v>
      </c>
      <c r="C1218" s="2" t="s">
        <v>5</v>
      </c>
      <c r="D1218" s="7">
        <f>IF(ISBLANK('Raw sheet'!D1218),AVERAGE('Raw sheet'!$D$2:'Raw sheet'!$D$1500),'Raw sheet'!D1218)</f>
        <v>25000</v>
      </c>
      <c r="E1218" s="7" t="str">
        <f>IF(Table1[[#This Row],[Family_Income]]&gt;=100000,"Upper",IF(D1218&gt;=50000,"Middle","Lower"))</f>
        <v>Lower</v>
      </c>
      <c r="F1218" s="2" t="s">
        <v>4</v>
      </c>
      <c r="G1218" s="3">
        <f>IF(ISBLANK('Raw sheet'!F1218),AVERAGE('Raw sheet'!$F$2:'Raw sheet'!$F$1500),'Raw sheet'!F1218)</f>
        <v>4.7699999999999996</v>
      </c>
      <c r="H1218" s="18">
        <v>88.9</v>
      </c>
      <c r="I1218" s="9" t="str">
        <f t="shared" ref="I1218:I1281" si="38">IF(H1218&gt;=75,"Good","Low")</f>
        <v>Good</v>
      </c>
      <c r="J1218" s="2">
        <v>4</v>
      </c>
      <c r="K1218" s="2">
        <v>34.6</v>
      </c>
      <c r="L1218" s="2" t="s">
        <v>4</v>
      </c>
      <c r="M1218" s="2" t="s">
        <v>3</v>
      </c>
      <c r="N1218" s="5">
        <f>IF(ISBLANK('Raw sheet'!L1218),AVERAGE('Raw sheet'!$L$2:'Raw sheet'!$L$1500),'Raw sheet'!L1218)</f>
        <v>5.5</v>
      </c>
      <c r="O1218" s="5" t="str">
        <f>IF(Table1[[#This Row],[Stress_Index]]&gt;=8,"High",IF(N1218&gt;=5,"Medium","Low"))</f>
        <v>Medium</v>
      </c>
      <c r="P1218" s="3">
        <v>3.51</v>
      </c>
      <c r="Q1218" s="2">
        <v>3.64</v>
      </c>
      <c r="R1218" s="3">
        <v>3.7</v>
      </c>
      <c r="S1218" s="3" t="str">
        <f>IF(Table1[[#This Row],[CGPA]]&gt;=3,"High",IF(R1217&gt;=2,"Medium","Low"))</f>
        <v>High</v>
      </c>
      <c r="T1218" s="2" t="s">
        <v>7</v>
      </c>
      <c r="U1218" s="2" t="s">
        <v>8</v>
      </c>
      <c r="V1218" s="2" t="s">
        <v>16</v>
      </c>
      <c r="W1218" s="7">
        <v>0</v>
      </c>
      <c r="X1218" t="str">
        <f t="shared" ref="X1218:X1281" si="39">IF(W1218=1,"Dropped Out","Active")</f>
        <v>Active</v>
      </c>
    </row>
    <row r="1219" spans="1:24" x14ac:dyDescent="0.3">
      <c r="A1219" s="2">
        <v>1218</v>
      </c>
      <c r="B1219" s="7">
        <v>21.6</v>
      </c>
      <c r="C1219" s="2" t="s">
        <v>11</v>
      </c>
      <c r="D1219" s="7">
        <f>IF(ISBLANK('Raw sheet'!D1219),AVERAGE('Raw sheet'!$D$2:'Raw sheet'!$D$1500),'Raw sheet'!D1219)</f>
        <v>25000</v>
      </c>
      <c r="E1219" s="7" t="str">
        <f>IF(Table1[[#This Row],[Family_Income]]&gt;=100000,"Upper",IF(D1219&gt;=50000,"Middle","Lower"))</f>
        <v>Lower</v>
      </c>
      <c r="F1219" s="2" t="s">
        <v>4</v>
      </c>
      <c r="G1219" s="3">
        <f>IF(ISBLANK('Raw sheet'!F1219),AVERAGE('Raw sheet'!$F$2:'Raw sheet'!$F$1500),'Raw sheet'!F1219)</f>
        <v>5.05</v>
      </c>
      <c r="H1219" s="18">
        <v>93.3</v>
      </c>
      <c r="I1219" s="9" t="str">
        <f t="shared" si="38"/>
        <v>Good</v>
      </c>
      <c r="J1219" s="2">
        <v>3</v>
      </c>
      <c r="K1219" s="2">
        <v>35</v>
      </c>
      <c r="L1219" s="2" t="s">
        <v>3</v>
      </c>
      <c r="M1219" s="2" t="s">
        <v>3</v>
      </c>
      <c r="N1219" s="5">
        <f>IF(ISBLANK('Raw sheet'!L1219),AVERAGE('Raw sheet'!$L$2:'Raw sheet'!$L$1500),'Raw sheet'!L1219)</f>
        <v>5.7</v>
      </c>
      <c r="O1219" s="5" t="str">
        <f>IF(Table1[[#This Row],[Stress_Index]]&gt;=8,"High",IF(N1219&gt;=5,"Medium","Low"))</f>
        <v>Medium</v>
      </c>
      <c r="P1219" s="3">
        <v>1.93</v>
      </c>
      <c r="Q1219" s="2">
        <v>1.38</v>
      </c>
      <c r="R1219" s="3">
        <v>1.38</v>
      </c>
      <c r="S1219" s="3" t="str">
        <f>IF(Table1[[#This Row],[CGPA]]&gt;=3,"High",IF(R1218&gt;=2,"Medium","Low"))</f>
        <v>Medium</v>
      </c>
      <c r="T1219" s="2" t="s">
        <v>2</v>
      </c>
      <c r="U1219" s="2" t="s">
        <v>1</v>
      </c>
      <c r="V1219" s="2" t="s">
        <v>15</v>
      </c>
      <c r="W1219" s="7">
        <v>0</v>
      </c>
      <c r="X1219" t="str">
        <f t="shared" si="39"/>
        <v>Active</v>
      </c>
    </row>
    <row r="1220" spans="1:24" x14ac:dyDescent="0.3">
      <c r="A1220" s="2">
        <v>1219</v>
      </c>
      <c r="B1220" s="7">
        <v>19.2</v>
      </c>
      <c r="C1220" s="2" t="s">
        <v>11</v>
      </c>
      <c r="D1220" s="7">
        <f>IF(ISBLANK('Raw sheet'!D1220),AVERAGE('Raw sheet'!$D$2:'Raw sheet'!$D$1500),'Raw sheet'!D1220)</f>
        <v>42502</v>
      </c>
      <c r="E1220" s="7" t="str">
        <f>IF(Table1[[#This Row],[Family_Income]]&gt;=100000,"Upper",IF(D1220&gt;=50000,"Middle","Lower"))</f>
        <v>Lower</v>
      </c>
      <c r="F1220" s="2" t="s">
        <v>4</v>
      </c>
      <c r="G1220" s="3">
        <f>IF(ISBLANK('Raw sheet'!F1220),AVERAGE('Raw sheet'!$F$2:'Raw sheet'!$F$1500),'Raw sheet'!F1220)</f>
        <v>1.03</v>
      </c>
      <c r="H1220" s="18">
        <v>73.5</v>
      </c>
      <c r="I1220" s="9" t="str">
        <f t="shared" si="38"/>
        <v>Low</v>
      </c>
      <c r="J1220" s="2">
        <v>0</v>
      </c>
      <c r="K1220" s="2">
        <v>20.9</v>
      </c>
      <c r="L1220" s="2" t="s">
        <v>4</v>
      </c>
      <c r="M1220" s="2" t="s">
        <v>3</v>
      </c>
      <c r="N1220" s="5">
        <f>IF(ISBLANK('Raw sheet'!L1220),AVERAGE('Raw sheet'!$L$2:'Raw sheet'!$L$1500),'Raw sheet'!L1220)</f>
        <v>6.4</v>
      </c>
      <c r="O1220" s="5" t="str">
        <f>IF(Table1[[#This Row],[Stress_Index]]&gt;=8,"High",IF(N1220&gt;=5,"Medium","Low"))</f>
        <v>Medium</v>
      </c>
      <c r="P1220" s="3">
        <v>1.45</v>
      </c>
      <c r="Q1220" s="2">
        <v>1.37</v>
      </c>
      <c r="R1220" s="3">
        <v>1.37</v>
      </c>
      <c r="S1220" s="3" t="str">
        <f>IF(Table1[[#This Row],[CGPA]]&gt;=3,"High",IF(R1219&gt;=2,"Medium","Low"))</f>
        <v>Low</v>
      </c>
      <c r="T1220" s="2" t="s">
        <v>12</v>
      </c>
      <c r="U1220" s="2" t="s">
        <v>8</v>
      </c>
      <c r="V1220" s="2" t="s">
        <v>15</v>
      </c>
      <c r="W1220" s="7">
        <v>0</v>
      </c>
      <c r="X1220" t="str">
        <f t="shared" si="39"/>
        <v>Active</v>
      </c>
    </row>
    <row r="1221" spans="1:24" x14ac:dyDescent="0.3">
      <c r="A1221" s="2">
        <v>1220</v>
      </c>
      <c r="B1221" s="7">
        <v>25.7</v>
      </c>
      <c r="C1221" s="2" t="s">
        <v>5</v>
      </c>
      <c r="D1221" s="7">
        <f>IF(ISBLANK('Raw sheet'!D1221),AVERAGE('Raw sheet'!$D$2:'Raw sheet'!$D$1500),'Raw sheet'!D1221)</f>
        <v>33248</v>
      </c>
      <c r="E1221" s="7" t="str">
        <f>IF(Table1[[#This Row],[Family_Income]]&gt;=100000,"Upper",IF(D1221&gt;=50000,"Middle","Lower"))</f>
        <v>Lower</v>
      </c>
      <c r="F1221" s="2" t="s">
        <v>3</v>
      </c>
      <c r="G1221" s="3">
        <f>IF(ISBLANK('Raw sheet'!F1221),AVERAGE('Raw sheet'!$F$2:'Raw sheet'!$F$1500),'Raw sheet'!F1221)</f>
        <v>3.32</v>
      </c>
      <c r="H1221" s="18">
        <v>75.400000000000006</v>
      </c>
      <c r="I1221" s="9" t="str">
        <f t="shared" si="38"/>
        <v>Good</v>
      </c>
      <c r="J1221" s="2">
        <v>2</v>
      </c>
      <c r="K1221" s="2">
        <v>44.2</v>
      </c>
      <c r="L1221" s="2" t="s">
        <v>4</v>
      </c>
      <c r="M1221" s="2" t="s">
        <v>3</v>
      </c>
      <c r="N1221" s="5">
        <f>IF(ISBLANK('Raw sheet'!L1221),AVERAGE('Raw sheet'!$L$2:'Raw sheet'!$L$1500),'Raw sheet'!L1221)</f>
        <v>4.8</v>
      </c>
      <c r="O1221" s="5" t="str">
        <f>IF(Table1[[#This Row],[Stress_Index]]&gt;=8,"High",IF(N1221&gt;=5,"Medium","Low"))</f>
        <v>Low</v>
      </c>
      <c r="P1221" s="3">
        <v>1.88</v>
      </c>
      <c r="Q1221" s="2">
        <v>2.0099999999999998</v>
      </c>
      <c r="R1221" s="3">
        <v>1.98</v>
      </c>
      <c r="S1221" s="3" t="str">
        <f>IF(Table1[[#This Row],[CGPA]]&gt;=3,"High",IF(R1220&gt;=2,"Medium","Low"))</f>
        <v>Low</v>
      </c>
      <c r="T1221" s="2" t="s">
        <v>7</v>
      </c>
      <c r="U1221" s="2" t="s">
        <v>8</v>
      </c>
      <c r="V1221" s="2" t="s">
        <v>16</v>
      </c>
      <c r="W1221" s="7">
        <v>1</v>
      </c>
      <c r="X1221" t="str">
        <f t="shared" si="39"/>
        <v>Dropped Out</v>
      </c>
    </row>
    <row r="1222" spans="1:24" x14ac:dyDescent="0.3">
      <c r="A1222" s="2">
        <v>1221</v>
      </c>
      <c r="B1222" s="7">
        <v>18.399999999999999</v>
      </c>
      <c r="C1222" s="2" t="s">
        <v>5</v>
      </c>
      <c r="D1222" s="7">
        <f>IF(ISBLANK('Raw sheet'!D1222),AVERAGE('Raw sheet'!$D$2:'Raw sheet'!$D$1500),'Raw sheet'!D1222)</f>
        <v>56197</v>
      </c>
      <c r="E1222" s="7" t="str">
        <f>IF(Table1[[#This Row],[Family_Income]]&gt;=100000,"Upper",IF(D1222&gt;=50000,"Middle","Lower"))</f>
        <v>Middle</v>
      </c>
      <c r="F1222" s="2" t="s">
        <v>4</v>
      </c>
      <c r="G1222" s="3">
        <f>IF(ISBLANK('Raw sheet'!F1222),AVERAGE('Raw sheet'!$F$2:'Raw sheet'!$F$1500),'Raw sheet'!F1222)</f>
        <v>4.47</v>
      </c>
      <c r="H1222" s="18">
        <v>72.2</v>
      </c>
      <c r="I1222" s="9" t="str">
        <f t="shared" si="38"/>
        <v>Low</v>
      </c>
      <c r="J1222" s="2">
        <v>2</v>
      </c>
      <c r="K1222" s="2">
        <v>40.299999999999997</v>
      </c>
      <c r="L1222" s="2" t="s">
        <v>4</v>
      </c>
      <c r="M1222" s="2" t="s">
        <v>3</v>
      </c>
      <c r="N1222" s="5">
        <f>IF(ISBLANK('Raw sheet'!L1222),AVERAGE('Raw sheet'!$L$2:'Raw sheet'!$L$1500),'Raw sheet'!L1222)</f>
        <v>2.8</v>
      </c>
      <c r="O1222" s="5" t="str">
        <f>IF(Table1[[#This Row],[Stress_Index]]&gt;=8,"High",IF(N1222&gt;=5,"Medium","Low"))</f>
        <v>Low</v>
      </c>
      <c r="P1222" s="3">
        <v>2.5499999999999998</v>
      </c>
      <c r="Q1222" s="2">
        <v>2.52</v>
      </c>
      <c r="R1222" s="3">
        <v>2.5099999999999998</v>
      </c>
      <c r="S1222" s="3" t="str">
        <f>IF(Table1[[#This Row],[CGPA]]&gt;=3,"High",IF(R1221&gt;=2,"Medium","Low"))</f>
        <v>Low</v>
      </c>
      <c r="T1222" s="2" t="s">
        <v>10</v>
      </c>
      <c r="U1222" s="2" t="s">
        <v>14</v>
      </c>
      <c r="V1222" s="2" t="s">
        <v>9</v>
      </c>
      <c r="W1222" s="7">
        <v>0</v>
      </c>
      <c r="X1222" t="str">
        <f t="shared" si="39"/>
        <v>Active</v>
      </c>
    </row>
    <row r="1223" spans="1:24" x14ac:dyDescent="0.3">
      <c r="A1223" s="2">
        <v>1222</v>
      </c>
      <c r="B1223" s="7">
        <v>21.7</v>
      </c>
      <c r="C1223" s="2" t="s">
        <v>11</v>
      </c>
      <c r="D1223" s="7">
        <f>IF(ISBLANK('Raw sheet'!D1223),AVERAGE('Raw sheet'!$D$2:'Raw sheet'!$D$1500),'Raw sheet'!D1223)</f>
        <v>35275</v>
      </c>
      <c r="E1223" s="7" t="str">
        <f>IF(Table1[[#This Row],[Family_Income]]&gt;=100000,"Upper",IF(D1223&gt;=50000,"Middle","Lower"))</f>
        <v>Lower</v>
      </c>
      <c r="F1223" s="2" t="s">
        <v>4</v>
      </c>
      <c r="G1223" s="3">
        <f>IF(ISBLANK('Raw sheet'!F1223),AVERAGE('Raw sheet'!$F$2:'Raw sheet'!$F$1500),'Raw sheet'!F1223)</f>
        <v>4.2</v>
      </c>
      <c r="H1223" s="18">
        <v>85.9</v>
      </c>
      <c r="I1223" s="9" t="str">
        <f t="shared" si="38"/>
        <v>Good</v>
      </c>
      <c r="J1223" s="2">
        <v>3</v>
      </c>
      <c r="K1223" s="2">
        <v>53.7</v>
      </c>
      <c r="L1223" s="2" t="s">
        <v>3</v>
      </c>
      <c r="M1223" s="2" t="s">
        <v>3</v>
      </c>
      <c r="N1223" s="5">
        <f>IF(ISBLANK('Raw sheet'!L1223),AVERAGE('Raw sheet'!$L$2:'Raw sheet'!$L$1500),'Raw sheet'!L1223)</f>
        <v>4.2</v>
      </c>
      <c r="O1223" s="5" t="str">
        <f>IF(Table1[[#This Row],[Stress_Index]]&gt;=8,"High",IF(N1223&gt;=5,"Medium","Low"))</f>
        <v>Low</v>
      </c>
      <c r="P1223" s="3">
        <v>2.65</v>
      </c>
      <c r="Q1223" s="2">
        <v>2.63</v>
      </c>
      <c r="R1223" s="3">
        <v>2.68</v>
      </c>
      <c r="S1223" s="3" t="str">
        <f>IF(Table1[[#This Row],[CGPA]]&gt;=3,"High",IF(R1222&gt;=2,"Medium","Low"))</f>
        <v>Medium</v>
      </c>
      <c r="T1223" s="2" t="s">
        <v>10</v>
      </c>
      <c r="U1223" s="2" t="s">
        <v>8</v>
      </c>
      <c r="V1223" s="2" t="s">
        <v>9</v>
      </c>
      <c r="W1223" s="7">
        <v>1</v>
      </c>
      <c r="X1223" t="str">
        <f t="shared" si="39"/>
        <v>Dropped Out</v>
      </c>
    </row>
    <row r="1224" spans="1:24" x14ac:dyDescent="0.3">
      <c r="A1224" s="2">
        <v>1223</v>
      </c>
      <c r="B1224" s="7">
        <v>22.4</v>
      </c>
      <c r="C1224" s="2" t="s">
        <v>11</v>
      </c>
      <c r="D1224" s="7">
        <f>IF(ISBLANK('Raw sheet'!D1224),AVERAGE('Raw sheet'!$D$2:'Raw sheet'!$D$1500),'Raw sheet'!D1224)</f>
        <v>30797</v>
      </c>
      <c r="E1224" s="7" t="str">
        <f>IF(Table1[[#This Row],[Family_Income]]&gt;=100000,"Upper",IF(D1224&gt;=50000,"Middle","Lower"))</f>
        <v>Lower</v>
      </c>
      <c r="F1224" s="2" t="s">
        <v>4</v>
      </c>
      <c r="G1224" s="3">
        <f>IF(ISBLANK('Raw sheet'!F1224),AVERAGE('Raw sheet'!$F$2:'Raw sheet'!$F$1500),'Raw sheet'!F1224)</f>
        <v>3.33</v>
      </c>
      <c r="H1224" s="18">
        <v>93.3</v>
      </c>
      <c r="I1224" s="9" t="str">
        <f t="shared" si="38"/>
        <v>Good</v>
      </c>
      <c r="J1224" s="2">
        <v>2</v>
      </c>
      <c r="K1224" s="2">
        <v>24.5</v>
      </c>
      <c r="L1224" s="2" t="s">
        <v>4</v>
      </c>
      <c r="M1224" s="2" t="s">
        <v>4</v>
      </c>
      <c r="N1224" s="5">
        <f>IF(ISBLANK('Raw sheet'!L1224),AVERAGE('Raw sheet'!$L$2:'Raw sheet'!$L$1500),'Raw sheet'!L1224)</f>
        <v>7.6</v>
      </c>
      <c r="O1224" s="5" t="str">
        <f>IF(Table1[[#This Row],[Stress_Index]]&gt;=8,"High",IF(N1224&gt;=5,"Medium","Low"))</f>
        <v>Medium</v>
      </c>
      <c r="P1224" s="3">
        <v>0.39</v>
      </c>
      <c r="Q1224" s="2">
        <v>0.42</v>
      </c>
      <c r="R1224" s="3">
        <v>0.41</v>
      </c>
      <c r="S1224" s="3" t="str">
        <f>IF(Table1[[#This Row],[CGPA]]&gt;=3,"High",IF(R1223&gt;=2,"Medium","Low"))</f>
        <v>Medium</v>
      </c>
      <c r="T1224" s="2" t="s">
        <v>10</v>
      </c>
      <c r="U1224" s="2" t="s">
        <v>1</v>
      </c>
      <c r="V1224" s="2" t="s">
        <v>9</v>
      </c>
      <c r="W1224" s="7">
        <v>1</v>
      </c>
      <c r="X1224" t="str">
        <f t="shared" si="39"/>
        <v>Dropped Out</v>
      </c>
    </row>
    <row r="1225" spans="1:24" x14ac:dyDescent="0.3">
      <c r="A1225" s="2">
        <v>1224</v>
      </c>
      <c r="B1225" s="7">
        <v>21.9</v>
      </c>
      <c r="C1225" s="2" t="s">
        <v>11</v>
      </c>
      <c r="D1225" s="7">
        <f>IF(ISBLANK('Raw sheet'!D1225),AVERAGE('Raw sheet'!$D$2:'Raw sheet'!$D$1500),'Raw sheet'!D1225)</f>
        <v>58533</v>
      </c>
      <c r="E1225" s="7" t="str">
        <f>IF(Table1[[#This Row],[Family_Income]]&gt;=100000,"Upper",IF(D1225&gt;=50000,"Middle","Lower"))</f>
        <v>Middle</v>
      </c>
      <c r="F1225" s="2" t="s">
        <v>4</v>
      </c>
      <c r="G1225" s="3">
        <f>IF(ISBLANK('Raw sheet'!F1225),AVERAGE('Raw sheet'!$F$2:'Raw sheet'!$F$1500),'Raw sheet'!F1225)</f>
        <v>3.89</v>
      </c>
      <c r="H1225" s="18">
        <v>80.7</v>
      </c>
      <c r="I1225" s="9" t="str">
        <f t="shared" si="38"/>
        <v>Good</v>
      </c>
      <c r="J1225" s="2">
        <v>2</v>
      </c>
      <c r="K1225" s="2">
        <v>31.9</v>
      </c>
      <c r="L1225" s="2" t="s">
        <v>4</v>
      </c>
      <c r="M1225" s="2" t="s">
        <v>3</v>
      </c>
      <c r="N1225" s="5">
        <f>IF(ISBLANK('Raw sheet'!L1225),AVERAGE('Raw sheet'!$L$2:'Raw sheet'!$L$1500),'Raw sheet'!L1225)</f>
        <v>5.4</v>
      </c>
      <c r="O1225" s="5" t="str">
        <f>IF(Table1[[#This Row],[Stress_Index]]&gt;=8,"High",IF(N1225&gt;=5,"Medium","Low"))</f>
        <v>Medium</v>
      </c>
      <c r="P1225" s="3">
        <v>1.87</v>
      </c>
      <c r="Q1225" s="2">
        <v>1.63</v>
      </c>
      <c r="R1225" s="3">
        <v>1.64</v>
      </c>
      <c r="S1225" s="3" t="str">
        <f>IF(Table1[[#This Row],[CGPA]]&gt;=3,"High",IF(R1224&gt;=2,"Medium","Low"))</f>
        <v>Low</v>
      </c>
      <c r="T1225" s="2" t="s">
        <v>10</v>
      </c>
      <c r="U1225" s="2" t="s">
        <v>13</v>
      </c>
      <c r="V1225" s="2" t="s">
        <v>9</v>
      </c>
      <c r="W1225" s="7">
        <v>1</v>
      </c>
      <c r="X1225" t="str">
        <f t="shared" si="39"/>
        <v>Dropped Out</v>
      </c>
    </row>
    <row r="1226" spans="1:24" x14ac:dyDescent="0.3">
      <c r="A1226" s="2">
        <v>1225</v>
      </c>
      <c r="B1226" s="7">
        <v>20.6</v>
      </c>
      <c r="C1226" s="2" t="s">
        <v>5</v>
      </c>
      <c r="D1226" s="7">
        <f>IF(ISBLANK('Raw sheet'!D1226),AVERAGE('Raw sheet'!$D$2:'Raw sheet'!$D$1500),'Raw sheet'!D1226)</f>
        <v>38587.00282087447</v>
      </c>
      <c r="E1226" s="7" t="str">
        <f>IF(Table1[[#This Row],[Family_Income]]&gt;=100000,"Upper",IF(D1226&gt;=50000,"Middle","Lower"))</f>
        <v>Lower</v>
      </c>
      <c r="F1226" s="2" t="s">
        <v>4</v>
      </c>
      <c r="G1226" s="3">
        <f>IF(ISBLANK('Raw sheet'!F1226),AVERAGE('Raw sheet'!$F$2:'Raw sheet'!$F$1500),'Raw sheet'!F1226)</f>
        <v>4.0178702397743278</v>
      </c>
      <c r="H1226" s="18">
        <v>67.5</v>
      </c>
      <c r="I1226" s="9" t="str">
        <f t="shared" si="38"/>
        <v>Low</v>
      </c>
      <c r="J1226" s="2">
        <v>2</v>
      </c>
      <c r="K1226" s="2">
        <v>32.799999999999997</v>
      </c>
      <c r="L1226" s="2" t="s">
        <v>4</v>
      </c>
      <c r="M1226" s="2" t="s">
        <v>3</v>
      </c>
      <c r="N1226" s="5">
        <f>IF(ISBLANK('Raw sheet'!L1226),AVERAGE('Raw sheet'!$L$2:'Raw sheet'!$L$1500),'Raw sheet'!L1226)</f>
        <v>5.5242595204513369</v>
      </c>
      <c r="O1226" s="5" t="str">
        <f>IF(Table1[[#This Row],[Stress_Index]]&gt;=8,"High",IF(N1226&gt;=5,"Medium","Low"))</f>
        <v>Medium</v>
      </c>
      <c r="P1226" s="3">
        <v>2.77</v>
      </c>
      <c r="Q1226" s="2">
        <v>2.75</v>
      </c>
      <c r="R1226" s="3">
        <v>2.75</v>
      </c>
      <c r="S1226" s="3" t="str">
        <f>IF(Table1[[#This Row],[CGPA]]&gt;=3,"High",IF(R1225&gt;=2,"Medium","Low"))</f>
        <v>Low</v>
      </c>
      <c r="T1226" s="2" t="s">
        <v>2</v>
      </c>
      <c r="U1226" s="2" t="s">
        <v>13</v>
      </c>
      <c r="V1226" s="2" t="s">
        <v>9</v>
      </c>
      <c r="W1226" s="7">
        <v>0</v>
      </c>
      <c r="X1226" t="str">
        <f t="shared" si="39"/>
        <v>Active</v>
      </c>
    </row>
    <row r="1227" spans="1:24" x14ac:dyDescent="0.3">
      <c r="A1227" s="2">
        <v>1226</v>
      </c>
      <c r="B1227" s="7">
        <v>20.7</v>
      </c>
      <c r="C1227" s="2" t="s">
        <v>11</v>
      </c>
      <c r="D1227" s="7">
        <f>IF(ISBLANK('Raw sheet'!D1227),AVERAGE('Raw sheet'!$D$2:'Raw sheet'!$D$1500),'Raw sheet'!D1227)</f>
        <v>25000</v>
      </c>
      <c r="E1227" s="7" t="str">
        <f>IF(Table1[[#This Row],[Family_Income]]&gt;=100000,"Upper",IF(D1227&gt;=50000,"Middle","Lower"))</f>
        <v>Lower</v>
      </c>
      <c r="F1227" s="2" t="s">
        <v>4</v>
      </c>
      <c r="G1227" s="3">
        <f>IF(ISBLANK('Raw sheet'!F1227),AVERAGE('Raw sheet'!$F$2:'Raw sheet'!$F$1500),'Raw sheet'!F1227)</f>
        <v>4.57</v>
      </c>
      <c r="H1227" s="18">
        <v>83.1</v>
      </c>
      <c r="I1227" s="9" t="str">
        <f t="shared" si="38"/>
        <v>Good</v>
      </c>
      <c r="J1227" s="2">
        <v>2</v>
      </c>
      <c r="K1227" s="2">
        <v>26.1</v>
      </c>
      <c r="L1227" s="2" t="s">
        <v>3</v>
      </c>
      <c r="M1227" s="2" t="s">
        <v>4</v>
      </c>
      <c r="N1227" s="5">
        <f>IF(ISBLANK('Raw sheet'!L1227),AVERAGE('Raw sheet'!$L$2:'Raw sheet'!$L$1500),'Raw sheet'!L1227)</f>
        <v>2.8</v>
      </c>
      <c r="O1227" s="5" t="str">
        <f>IF(Table1[[#This Row],[Stress_Index]]&gt;=8,"High",IF(N1227&gt;=5,"Medium","Low"))</f>
        <v>Low</v>
      </c>
      <c r="P1227" s="3">
        <v>3.08</v>
      </c>
      <c r="Q1227" s="2">
        <v>2.95</v>
      </c>
      <c r="R1227" s="3">
        <v>2.97</v>
      </c>
      <c r="S1227" s="3" t="str">
        <f>IF(Table1[[#This Row],[CGPA]]&gt;=3,"High",IF(R1226&gt;=2,"Medium","Low"))</f>
        <v>Medium</v>
      </c>
      <c r="T1227" s="2" t="s">
        <v>12</v>
      </c>
      <c r="U1227" s="2" t="s">
        <v>1</v>
      </c>
      <c r="V1227" s="2" t="s">
        <v>9</v>
      </c>
      <c r="W1227" s="7">
        <v>0</v>
      </c>
      <c r="X1227" t="str">
        <f t="shared" si="39"/>
        <v>Active</v>
      </c>
    </row>
    <row r="1228" spans="1:24" x14ac:dyDescent="0.3">
      <c r="A1228" s="2">
        <v>1227</v>
      </c>
      <c r="B1228" s="7">
        <v>21.1</v>
      </c>
      <c r="C1228" s="2" t="s">
        <v>11</v>
      </c>
      <c r="D1228" s="7">
        <f>IF(ISBLANK('Raw sheet'!D1228),AVERAGE('Raw sheet'!$D$2:'Raw sheet'!$D$1500),'Raw sheet'!D1228)</f>
        <v>25000</v>
      </c>
      <c r="E1228" s="7" t="str">
        <f>IF(Table1[[#This Row],[Family_Income]]&gt;=100000,"Upper",IF(D1228&gt;=50000,"Middle","Lower"))</f>
        <v>Lower</v>
      </c>
      <c r="F1228" s="2" t="s">
        <v>4</v>
      </c>
      <c r="G1228" s="3">
        <f>IF(ISBLANK('Raw sheet'!F1228),AVERAGE('Raw sheet'!$F$2:'Raw sheet'!$F$1500),'Raw sheet'!F1228)</f>
        <v>4.84</v>
      </c>
      <c r="H1228" s="18">
        <v>78.2</v>
      </c>
      <c r="I1228" s="9" t="str">
        <f t="shared" si="38"/>
        <v>Good</v>
      </c>
      <c r="J1228" s="2">
        <v>4</v>
      </c>
      <c r="K1228" s="2">
        <v>34.799999999999997</v>
      </c>
      <c r="L1228" s="2" t="s">
        <v>3</v>
      </c>
      <c r="M1228" s="2" t="s">
        <v>3</v>
      </c>
      <c r="N1228" s="5">
        <f>IF(ISBLANK('Raw sheet'!L1228),AVERAGE('Raw sheet'!$L$2:'Raw sheet'!$L$1500),'Raw sheet'!L1228)</f>
        <v>7.7</v>
      </c>
      <c r="O1228" s="5" t="str">
        <f>IF(Table1[[#This Row],[Stress_Index]]&gt;=8,"High",IF(N1228&gt;=5,"Medium","Low"))</f>
        <v>Medium</v>
      </c>
      <c r="P1228" s="3">
        <v>1.1200000000000001</v>
      </c>
      <c r="Q1228" s="2">
        <v>0.66</v>
      </c>
      <c r="R1228" s="3">
        <v>0.66</v>
      </c>
      <c r="S1228" s="3" t="str">
        <f>IF(Table1[[#This Row],[CGPA]]&gt;=3,"High",IF(R1227&gt;=2,"Medium","Low"))</f>
        <v>Medium</v>
      </c>
      <c r="T1228" s="2" t="s">
        <v>2</v>
      </c>
      <c r="U1228" s="2" t="s">
        <v>14</v>
      </c>
      <c r="V1228" s="2" t="s">
        <v>15</v>
      </c>
      <c r="W1228" s="7">
        <v>1</v>
      </c>
      <c r="X1228" t="str">
        <f t="shared" si="39"/>
        <v>Dropped Out</v>
      </c>
    </row>
    <row r="1229" spans="1:24" x14ac:dyDescent="0.3">
      <c r="A1229" s="2">
        <v>1228</v>
      </c>
      <c r="B1229" s="7">
        <v>20.7</v>
      </c>
      <c r="C1229" s="2" t="s">
        <v>11</v>
      </c>
      <c r="D1229" s="7">
        <f>IF(ISBLANK('Raw sheet'!D1229),AVERAGE('Raw sheet'!$D$2:'Raw sheet'!$D$1500),'Raw sheet'!D1229)</f>
        <v>27907</v>
      </c>
      <c r="E1229" s="7" t="str">
        <f>IF(Table1[[#This Row],[Family_Income]]&gt;=100000,"Upper",IF(D1229&gt;=50000,"Middle","Lower"))</f>
        <v>Lower</v>
      </c>
      <c r="F1229" s="2" t="s">
        <v>4</v>
      </c>
      <c r="G1229" s="3">
        <f>IF(ISBLANK('Raw sheet'!F1229),AVERAGE('Raw sheet'!$F$2:'Raw sheet'!$F$1500),'Raw sheet'!F1229)</f>
        <v>3.43</v>
      </c>
      <c r="H1229" s="18">
        <v>72.2</v>
      </c>
      <c r="I1229" s="9" t="str">
        <f t="shared" si="38"/>
        <v>Low</v>
      </c>
      <c r="J1229" s="2">
        <v>2</v>
      </c>
      <c r="K1229" s="2">
        <v>35.700000000000003</v>
      </c>
      <c r="L1229" s="2" t="s">
        <v>4</v>
      </c>
      <c r="M1229" s="2" t="s">
        <v>3</v>
      </c>
      <c r="N1229" s="5">
        <f>IF(ISBLANK('Raw sheet'!L1229),AVERAGE('Raw sheet'!$L$2:'Raw sheet'!$L$1500),'Raw sheet'!L1229)</f>
        <v>5.0999999999999996</v>
      </c>
      <c r="O1229" s="5" t="str">
        <f>IF(Table1[[#This Row],[Stress_Index]]&gt;=8,"High",IF(N1229&gt;=5,"Medium","Low"))</f>
        <v>Medium</v>
      </c>
      <c r="P1229" s="3">
        <v>2.41</v>
      </c>
      <c r="Q1229" s="2">
        <v>2.62</v>
      </c>
      <c r="R1229" s="3">
        <v>2.64</v>
      </c>
      <c r="S1229" s="3" t="str">
        <f>IF(Table1[[#This Row],[CGPA]]&gt;=3,"High",IF(R1228&gt;=2,"Medium","Low"))</f>
        <v>Low</v>
      </c>
      <c r="T1229" s="2" t="s">
        <v>12</v>
      </c>
      <c r="U1229" s="2" t="s">
        <v>8</v>
      </c>
      <c r="V1229" s="2" t="s">
        <v>16</v>
      </c>
      <c r="W1229" s="7">
        <v>0</v>
      </c>
      <c r="X1229" t="str">
        <f t="shared" si="39"/>
        <v>Active</v>
      </c>
    </row>
    <row r="1230" spans="1:24" x14ac:dyDescent="0.3">
      <c r="A1230" s="2">
        <v>1229</v>
      </c>
      <c r="B1230" s="7">
        <v>23.1</v>
      </c>
      <c r="C1230" s="2" t="s">
        <v>11</v>
      </c>
      <c r="D1230" s="7">
        <f>IF(ISBLANK('Raw sheet'!D1230),AVERAGE('Raw sheet'!$D$2:'Raw sheet'!$D$1500),'Raw sheet'!D1230)</f>
        <v>31542</v>
      </c>
      <c r="E1230" s="7" t="str">
        <f>IF(Table1[[#This Row],[Family_Income]]&gt;=100000,"Upper",IF(D1230&gt;=50000,"Middle","Lower"))</f>
        <v>Lower</v>
      </c>
      <c r="F1230" s="2" t="s">
        <v>4</v>
      </c>
      <c r="G1230" s="3">
        <f>IF(ISBLANK('Raw sheet'!F1230),AVERAGE('Raw sheet'!$F$2:'Raw sheet'!$F$1500),'Raw sheet'!F1230)</f>
        <v>2.35</v>
      </c>
      <c r="H1230" s="18">
        <v>90.5</v>
      </c>
      <c r="I1230" s="9" t="str">
        <f t="shared" si="38"/>
        <v>Good</v>
      </c>
      <c r="J1230" s="2">
        <v>1</v>
      </c>
      <c r="K1230" s="2">
        <v>35.700000000000003</v>
      </c>
      <c r="L1230" s="2" t="s">
        <v>3</v>
      </c>
      <c r="M1230" s="2" t="s">
        <v>3</v>
      </c>
      <c r="N1230" s="5">
        <f>IF(ISBLANK('Raw sheet'!L1230),AVERAGE('Raw sheet'!$L$2:'Raw sheet'!$L$1500),'Raw sheet'!L1230)</f>
        <v>7.5</v>
      </c>
      <c r="O1230" s="5" t="str">
        <f>IF(Table1[[#This Row],[Stress_Index]]&gt;=8,"High",IF(N1230&gt;=5,"Medium","Low"))</f>
        <v>Medium</v>
      </c>
      <c r="P1230" s="3">
        <v>1.32</v>
      </c>
      <c r="Q1230" s="2">
        <v>1.1299999999999999</v>
      </c>
      <c r="R1230" s="3">
        <v>1.1299999999999999</v>
      </c>
      <c r="S1230" s="3" t="str">
        <f>IF(Table1[[#This Row],[CGPA]]&gt;=3,"High",IF(R1229&gt;=2,"Medium","Low"))</f>
        <v>Medium</v>
      </c>
      <c r="T1230" s="2" t="s">
        <v>2</v>
      </c>
      <c r="U1230" s="2" t="s">
        <v>1</v>
      </c>
      <c r="V1230" s="2" t="s">
        <v>0</v>
      </c>
      <c r="W1230" s="7">
        <v>0</v>
      </c>
      <c r="X1230" t="str">
        <f t="shared" si="39"/>
        <v>Active</v>
      </c>
    </row>
    <row r="1231" spans="1:24" x14ac:dyDescent="0.3">
      <c r="A1231" s="2">
        <v>1230</v>
      </c>
      <c r="B1231" s="7">
        <v>25.9</v>
      </c>
      <c r="C1231" s="2" t="s">
        <v>5</v>
      </c>
      <c r="D1231" s="7">
        <f>IF(ISBLANK('Raw sheet'!D1231),AVERAGE('Raw sheet'!$D$2:'Raw sheet'!$D$1500),'Raw sheet'!D1231)</f>
        <v>25963</v>
      </c>
      <c r="E1231" s="7" t="str">
        <f>IF(Table1[[#This Row],[Family_Income]]&gt;=100000,"Upper",IF(D1231&gt;=50000,"Middle","Lower"))</f>
        <v>Lower</v>
      </c>
      <c r="F1231" s="2" t="s">
        <v>4</v>
      </c>
      <c r="G1231" s="3">
        <f>IF(ISBLANK('Raw sheet'!F1231),AVERAGE('Raw sheet'!$F$2:'Raw sheet'!$F$1500),'Raw sheet'!F1231)</f>
        <v>4.32</v>
      </c>
      <c r="H1231" s="18">
        <v>83.2</v>
      </c>
      <c r="I1231" s="9" t="str">
        <f t="shared" si="38"/>
        <v>Good</v>
      </c>
      <c r="J1231" s="2">
        <v>2</v>
      </c>
      <c r="K1231" s="2">
        <v>26.1</v>
      </c>
      <c r="L1231" s="2" t="s">
        <v>3</v>
      </c>
      <c r="M1231" s="2" t="s">
        <v>3</v>
      </c>
      <c r="N1231" s="5">
        <f>IF(ISBLANK('Raw sheet'!L1231),AVERAGE('Raw sheet'!$L$2:'Raw sheet'!$L$1500),'Raw sheet'!L1231)</f>
        <v>6.7</v>
      </c>
      <c r="O1231" s="5" t="str">
        <f>IF(Table1[[#This Row],[Stress_Index]]&gt;=8,"High",IF(N1231&gt;=5,"Medium","Low"))</f>
        <v>Medium</v>
      </c>
      <c r="P1231" s="3">
        <v>1.95</v>
      </c>
      <c r="Q1231" s="2">
        <v>2.02</v>
      </c>
      <c r="R1231" s="3">
        <v>1.97</v>
      </c>
      <c r="S1231" s="3" t="str">
        <f>IF(Table1[[#This Row],[CGPA]]&gt;=3,"High",IF(R1230&gt;=2,"Medium","Low"))</f>
        <v>Low</v>
      </c>
      <c r="T1231" s="2" t="s">
        <v>10</v>
      </c>
      <c r="U1231" s="2" t="s">
        <v>1</v>
      </c>
      <c r="V1231" s="2" t="s">
        <v>9</v>
      </c>
      <c r="W1231" s="7">
        <v>0</v>
      </c>
      <c r="X1231" t="str">
        <f t="shared" si="39"/>
        <v>Active</v>
      </c>
    </row>
    <row r="1232" spans="1:24" x14ac:dyDescent="0.3">
      <c r="A1232" s="2">
        <v>1231</v>
      </c>
      <c r="B1232" s="7">
        <v>19.8</v>
      </c>
      <c r="C1232" s="2" t="s">
        <v>11</v>
      </c>
      <c r="D1232" s="7">
        <f>IF(ISBLANK('Raw sheet'!D1232),AVERAGE('Raw sheet'!$D$2:'Raw sheet'!$D$1500),'Raw sheet'!D1232)</f>
        <v>38581</v>
      </c>
      <c r="E1232" s="7" t="str">
        <f>IF(Table1[[#This Row],[Family_Income]]&gt;=100000,"Upper",IF(D1232&gt;=50000,"Middle","Lower"))</f>
        <v>Lower</v>
      </c>
      <c r="F1232" s="2" t="s">
        <v>4</v>
      </c>
      <c r="G1232" s="3">
        <f>IF(ISBLANK('Raw sheet'!F1232),AVERAGE('Raw sheet'!$F$2:'Raw sheet'!$F$1500),'Raw sheet'!F1232)</f>
        <v>5.04</v>
      </c>
      <c r="H1232" s="18">
        <v>77.599999999999994</v>
      </c>
      <c r="I1232" s="9" t="str">
        <f t="shared" si="38"/>
        <v>Good</v>
      </c>
      <c r="J1232" s="2">
        <v>1</v>
      </c>
      <c r="K1232" s="2">
        <v>27.5</v>
      </c>
      <c r="L1232" s="2" t="s">
        <v>3</v>
      </c>
      <c r="M1232" s="2" t="s">
        <v>3</v>
      </c>
      <c r="N1232" s="5">
        <f>IF(ISBLANK('Raw sheet'!L1232),AVERAGE('Raw sheet'!$L$2:'Raw sheet'!$L$1500),'Raw sheet'!L1232)</f>
        <v>6.9</v>
      </c>
      <c r="O1232" s="5" t="str">
        <f>IF(Table1[[#This Row],[Stress_Index]]&gt;=8,"High",IF(N1232&gt;=5,"Medium","Low"))</f>
        <v>Medium</v>
      </c>
      <c r="P1232" s="3">
        <v>2.5099999999999998</v>
      </c>
      <c r="Q1232" s="2">
        <v>2.6</v>
      </c>
      <c r="R1232" s="3">
        <v>2.6</v>
      </c>
      <c r="S1232" s="3" t="str">
        <f>IF(Table1[[#This Row],[CGPA]]&gt;=3,"High",IF(R1231&gt;=2,"Medium","Low"))</f>
        <v>Low</v>
      </c>
      <c r="T1232" s="2" t="s">
        <v>2</v>
      </c>
      <c r="U1232" s="2" t="s">
        <v>6</v>
      </c>
      <c r="V1232" s="2" t="s">
        <v>16</v>
      </c>
      <c r="W1232" s="7">
        <v>1</v>
      </c>
      <c r="X1232" t="str">
        <f t="shared" si="39"/>
        <v>Dropped Out</v>
      </c>
    </row>
    <row r="1233" spans="1:24" x14ac:dyDescent="0.3">
      <c r="A1233" s="2">
        <v>1232</v>
      </c>
      <c r="B1233" s="7">
        <v>18</v>
      </c>
      <c r="C1233" s="2" t="s">
        <v>5</v>
      </c>
      <c r="D1233" s="7">
        <f>IF(ISBLANK('Raw sheet'!D1233),AVERAGE('Raw sheet'!$D$2:'Raw sheet'!$D$1500),'Raw sheet'!D1233)</f>
        <v>54050</v>
      </c>
      <c r="E1233" s="7" t="str">
        <f>IF(Table1[[#This Row],[Family_Income]]&gt;=100000,"Upper",IF(D1233&gt;=50000,"Middle","Lower"))</f>
        <v>Middle</v>
      </c>
      <c r="F1233" s="2" t="s">
        <v>3</v>
      </c>
      <c r="G1233" s="3">
        <f>IF(ISBLANK('Raw sheet'!F1233),AVERAGE('Raw sheet'!$F$2:'Raw sheet'!$F$1500),'Raw sheet'!F1233)</f>
        <v>3.12</v>
      </c>
      <c r="H1233" s="18">
        <v>100</v>
      </c>
      <c r="I1233" s="9" t="str">
        <f t="shared" si="38"/>
        <v>Good</v>
      </c>
      <c r="J1233" s="2">
        <v>2</v>
      </c>
      <c r="K1233" s="2">
        <v>23.2</v>
      </c>
      <c r="L1233" s="2" t="s">
        <v>3</v>
      </c>
      <c r="M1233" s="2" t="s">
        <v>4</v>
      </c>
      <c r="N1233" s="5">
        <f>IF(ISBLANK('Raw sheet'!L1233),AVERAGE('Raw sheet'!$L$2:'Raw sheet'!$L$1500),'Raw sheet'!L1233)</f>
        <v>8.5</v>
      </c>
      <c r="O1233" s="5" t="str">
        <f>IF(Table1[[#This Row],[Stress_Index]]&gt;=8,"High",IF(N1233&gt;=5,"Medium","Low"))</f>
        <v>High</v>
      </c>
      <c r="P1233" s="3">
        <v>0.78</v>
      </c>
      <c r="Q1233" s="2">
        <v>0.53</v>
      </c>
      <c r="R1233" s="3">
        <v>0.53</v>
      </c>
      <c r="S1233" s="3" t="str">
        <f>IF(Table1[[#This Row],[CGPA]]&gt;=3,"High",IF(R1232&gt;=2,"Medium","Low"))</f>
        <v>Medium</v>
      </c>
      <c r="T1233" s="2" t="s">
        <v>7</v>
      </c>
      <c r="U1233" s="2" t="s">
        <v>14</v>
      </c>
      <c r="V1233" s="2" t="s">
        <v>9</v>
      </c>
      <c r="W1233" s="7">
        <v>0</v>
      </c>
      <c r="X1233" t="str">
        <f t="shared" si="39"/>
        <v>Active</v>
      </c>
    </row>
    <row r="1234" spans="1:24" x14ac:dyDescent="0.3">
      <c r="A1234" s="2">
        <v>1233</v>
      </c>
      <c r="B1234" s="7">
        <v>20.8</v>
      </c>
      <c r="C1234" s="2" t="s">
        <v>5</v>
      </c>
      <c r="D1234" s="7">
        <f>IF(ISBLANK('Raw sheet'!D1234),AVERAGE('Raw sheet'!$D$2:'Raw sheet'!$D$1500),'Raw sheet'!D1234)</f>
        <v>83586</v>
      </c>
      <c r="E1234" s="7" t="str">
        <f>IF(Table1[[#This Row],[Family_Income]]&gt;=100000,"Upper",IF(D1234&gt;=50000,"Middle","Lower"))</f>
        <v>Middle</v>
      </c>
      <c r="F1234" s="2" t="s">
        <v>4</v>
      </c>
      <c r="G1234" s="3">
        <f>IF(ISBLANK('Raw sheet'!F1234),AVERAGE('Raw sheet'!$F$2:'Raw sheet'!$F$1500),'Raw sheet'!F1234)</f>
        <v>4.3</v>
      </c>
      <c r="H1234" s="18">
        <v>82</v>
      </c>
      <c r="I1234" s="9" t="str">
        <f t="shared" si="38"/>
        <v>Good</v>
      </c>
      <c r="J1234" s="2">
        <v>3</v>
      </c>
      <c r="K1234" s="2">
        <v>21</v>
      </c>
      <c r="L1234" s="2" t="s">
        <v>4</v>
      </c>
      <c r="M1234" s="2" t="s">
        <v>3</v>
      </c>
      <c r="N1234" s="5">
        <f>IF(ISBLANK('Raw sheet'!L1234),AVERAGE('Raw sheet'!$L$2:'Raw sheet'!$L$1500),'Raw sheet'!L1234)</f>
        <v>5.7</v>
      </c>
      <c r="O1234" s="5" t="str">
        <f>IF(Table1[[#This Row],[Stress_Index]]&gt;=8,"High",IF(N1234&gt;=5,"Medium","Low"))</f>
        <v>Medium</v>
      </c>
      <c r="P1234" s="3">
        <v>2.52</v>
      </c>
      <c r="Q1234" s="2">
        <v>2.02</v>
      </c>
      <c r="R1234" s="3">
        <v>2.02</v>
      </c>
      <c r="S1234" s="3" t="str">
        <f>IF(Table1[[#This Row],[CGPA]]&gt;=3,"High",IF(R1233&gt;=2,"Medium","Low"))</f>
        <v>Low</v>
      </c>
      <c r="T1234" s="2" t="s">
        <v>2</v>
      </c>
      <c r="U1234" s="2" t="s">
        <v>8</v>
      </c>
      <c r="V1234" s="2" t="s">
        <v>9</v>
      </c>
      <c r="W1234" s="7">
        <v>0</v>
      </c>
      <c r="X1234" t="str">
        <f t="shared" si="39"/>
        <v>Active</v>
      </c>
    </row>
    <row r="1235" spans="1:24" x14ac:dyDescent="0.3">
      <c r="A1235" s="2">
        <v>1234</v>
      </c>
      <c r="B1235" s="7">
        <v>26.7</v>
      </c>
      <c r="C1235" s="2" t="s">
        <v>11</v>
      </c>
      <c r="D1235" s="7">
        <f>IF(ISBLANK('Raw sheet'!D1235),AVERAGE('Raw sheet'!$D$2:'Raw sheet'!$D$1500),'Raw sheet'!D1235)</f>
        <v>42081</v>
      </c>
      <c r="E1235" s="7" t="str">
        <f>IF(Table1[[#This Row],[Family_Income]]&gt;=100000,"Upper",IF(D1235&gt;=50000,"Middle","Lower"))</f>
        <v>Lower</v>
      </c>
      <c r="F1235" s="2" t="s">
        <v>4</v>
      </c>
      <c r="G1235" s="3">
        <f>IF(ISBLANK('Raw sheet'!F1235),AVERAGE('Raw sheet'!$F$2:'Raw sheet'!$F$1500),'Raw sheet'!F1235)</f>
        <v>4</v>
      </c>
      <c r="H1235" s="18">
        <v>68.3</v>
      </c>
      <c r="I1235" s="9" t="str">
        <f t="shared" si="38"/>
        <v>Low</v>
      </c>
      <c r="J1235" s="2">
        <v>2</v>
      </c>
      <c r="K1235" s="2">
        <v>29.2</v>
      </c>
      <c r="L1235" s="2" t="s">
        <v>3</v>
      </c>
      <c r="M1235" s="2" t="s">
        <v>3</v>
      </c>
      <c r="N1235" s="5">
        <f>IF(ISBLANK('Raw sheet'!L1235),AVERAGE('Raw sheet'!$L$2:'Raw sheet'!$L$1500),'Raw sheet'!L1235)</f>
        <v>5.3</v>
      </c>
      <c r="O1235" s="5" t="str">
        <f>IF(Table1[[#This Row],[Stress_Index]]&gt;=8,"High",IF(N1235&gt;=5,"Medium","Low"))</f>
        <v>Medium</v>
      </c>
      <c r="P1235" s="3">
        <v>0.22</v>
      </c>
      <c r="Q1235" s="2">
        <v>0.37</v>
      </c>
      <c r="R1235" s="3">
        <v>0.36</v>
      </c>
      <c r="S1235" s="3" t="str">
        <f>IF(Table1[[#This Row],[CGPA]]&gt;=3,"High",IF(R1234&gt;=2,"Medium","Low"))</f>
        <v>Medium</v>
      </c>
      <c r="T1235" s="2" t="s">
        <v>10</v>
      </c>
      <c r="U1235" s="2" t="s">
        <v>6</v>
      </c>
      <c r="V1235" s="2" t="s">
        <v>9</v>
      </c>
      <c r="W1235" s="7">
        <v>1</v>
      </c>
      <c r="X1235" t="str">
        <f t="shared" si="39"/>
        <v>Dropped Out</v>
      </c>
    </row>
    <row r="1236" spans="1:24" x14ac:dyDescent="0.3">
      <c r="A1236" s="2">
        <v>1235</v>
      </c>
      <c r="B1236" s="7">
        <v>19.2</v>
      </c>
      <c r="C1236" s="2" t="s">
        <v>11</v>
      </c>
      <c r="D1236" s="7">
        <f>IF(ISBLANK('Raw sheet'!D1236),AVERAGE('Raw sheet'!$D$2:'Raw sheet'!$D$1500),'Raw sheet'!D1236)</f>
        <v>25000</v>
      </c>
      <c r="E1236" s="7" t="str">
        <f>IF(Table1[[#This Row],[Family_Income]]&gt;=100000,"Upper",IF(D1236&gt;=50000,"Middle","Lower"))</f>
        <v>Lower</v>
      </c>
      <c r="F1236" s="2" t="s">
        <v>3</v>
      </c>
      <c r="G1236" s="3">
        <f>IF(ISBLANK('Raw sheet'!F1236),AVERAGE('Raw sheet'!$F$2:'Raw sheet'!$F$1500),'Raw sheet'!F1236)</f>
        <v>1.84</v>
      </c>
      <c r="H1236" s="18">
        <v>87.2</v>
      </c>
      <c r="I1236" s="9" t="str">
        <f t="shared" si="38"/>
        <v>Good</v>
      </c>
      <c r="J1236" s="2">
        <v>1</v>
      </c>
      <c r="K1236" s="2">
        <v>48.2</v>
      </c>
      <c r="L1236" s="2" t="s">
        <v>4</v>
      </c>
      <c r="M1236" s="2" t="s">
        <v>4</v>
      </c>
      <c r="N1236" s="5">
        <f>IF(ISBLANK('Raw sheet'!L1236),AVERAGE('Raw sheet'!$L$2:'Raw sheet'!$L$1500),'Raw sheet'!L1236)</f>
        <v>8.3000000000000007</v>
      </c>
      <c r="O1236" s="5" t="str">
        <f>IF(Table1[[#This Row],[Stress_Index]]&gt;=8,"High",IF(N1236&gt;=5,"Medium","Low"))</f>
        <v>High</v>
      </c>
      <c r="P1236" s="3">
        <v>1.01</v>
      </c>
      <c r="Q1236" s="2">
        <v>0.68</v>
      </c>
      <c r="R1236" s="3">
        <v>0.69</v>
      </c>
      <c r="S1236" s="3" t="str">
        <f>IF(Table1[[#This Row],[CGPA]]&gt;=3,"High",IF(R1235&gt;=2,"Medium","Low"))</f>
        <v>Low</v>
      </c>
      <c r="T1236" s="2" t="s">
        <v>7</v>
      </c>
      <c r="U1236" s="2" t="s">
        <v>13</v>
      </c>
      <c r="V1236" s="2" t="s">
        <v>16</v>
      </c>
      <c r="W1236" s="7">
        <v>1</v>
      </c>
      <c r="X1236" t="str">
        <f t="shared" si="39"/>
        <v>Dropped Out</v>
      </c>
    </row>
    <row r="1237" spans="1:24" x14ac:dyDescent="0.3">
      <c r="A1237" s="2">
        <v>1236</v>
      </c>
      <c r="B1237" s="7">
        <v>24.6</v>
      </c>
      <c r="C1237" s="2" t="s">
        <v>11</v>
      </c>
      <c r="D1237" s="7">
        <f>IF(ISBLANK('Raw sheet'!D1237),AVERAGE('Raw sheet'!$D$2:'Raw sheet'!$D$1500),'Raw sheet'!D1237)</f>
        <v>27216</v>
      </c>
      <c r="E1237" s="7" t="str">
        <f>IF(Table1[[#This Row],[Family_Income]]&gt;=100000,"Upper",IF(D1237&gt;=50000,"Middle","Lower"))</f>
        <v>Lower</v>
      </c>
      <c r="F1237" s="2" t="s">
        <v>4</v>
      </c>
      <c r="G1237" s="3">
        <f>IF(ISBLANK('Raw sheet'!F1237),AVERAGE('Raw sheet'!$F$2:'Raw sheet'!$F$1500),'Raw sheet'!F1237)</f>
        <v>3.79</v>
      </c>
      <c r="H1237" s="18">
        <v>67.3</v>
      </c>
      <c r="I1237" s="9" t="str">
        <f t="shared" si="38"/>
        <v>Low</v>
      </c>
      <c r="J1237" s="2">
        <v>1</v>
      </c>
      <c r="K1237" s="2">
        <v>54.5</v>
      </c>
      <c r="L1237" s="2" t="s">
        <v>3</v>
      </c>
      <c r="M1237" s="2" t="s">
        <v>4</v>
      </c>
      <c r="N1237" s="5">
        <f>IF(ISBLANK('Raw sheet'!L1237),AVERAGE('Raw sheet'!$L$2:'Raw sheet'!$L$1500),'Raw sheet'!L1237)</f>
        <v>7</v>
      </c>
      <c r="O1237" s="5" t="str">
        <f>IF(Table1[[#This Row],[Stress_Index]]&gt;=8,"High",IF(N1237&gt;=5,"Medium","Low"))</f>
        <v>Medium</v>
      </c>
      <c r="P1237" s="3">
        <v>2.78</v>
      </c>
      <c r="Q1237" s="2">
        <v>3.01</v>
      </c>
      <c r="R1237" s="3">
        <v>3.03</v>
      </c>
      <c r="S1237" s="3" t="str">
        <f>IF(Table1[[#This Row],[CGPA]]&gt;=3,"High",IF(R1236&gt;=2,"Medium","Low"))</f>
        <v>High</v>
      </c>
      <c r="T1237" s="2" t="s">
        <v>7</v>
      </c>
      <c r="U1237" s="2" t="s">
        <v>14</v>
      </c>
      <c r="V1237" s="2" t="s">
        <v>0</v>
      </c>
      <c r="W1237" s="7">
        <v>0</v>
      </c>
      <c r="X1237" t="str">
        <f t="shared" si="39"/>
        <v>Active</v>
      </c>
    </row>
    <row r="1238" spans="1:24" x14ac:dyDescent="0.3">
      <c r="A1238" s="2">
        <v>1237</v>
      </c>
      <c r="B1238" s="7">
        <v>24.7</v>
      </c>
      <c r="C1238" s="2" t="s">
        <v>11</v>
      </c>
      <c r="D1238" s="7">
        <f>IF(ISBLANK('Raw sheet'!D1238),AVERAGE('Raw sheet'!$D$2:'Raw sheet'!$D$1500),'Raw sheet'!D1238)</f>
        <v>28418</v>
      </c>
      <c r="E1238" s="7" t="str">
        <f>IF(Table1[[#This Row],[Family_Income]]&gt;=100000,"Upper",IF(D1238&gt;=50000,"Middle","Lower"))</f>
        <v>Lower</v>
      </c>
      <c r="F1238" s="2" t="s">
        <v>4</v>
      </c>
      <c r="G1238" s="3">
        <f>IF(ISBLANK('Raw sheet'!F1238),AVERAGE('Raw sheet'!$F$2:'Raw sheet'!$F$1500),'Raw sheet'!F1238)</f>
        <v>4.2300000000000004</v>
      </c>
      <c r="H1238" s="18">
        <v>85.7</v>
      </c>
      <c r="I1238" s="9" t="str">
        <f t="shared" si="38"/>
        <v>Good</v>
      </c>
      <c r="J1238" s="2">
        <v>3</v>
      </c>
      <c r="K1238" s="2">
        <v>45.8</v>
      </c>
      <c r="L1238" s="2" t="s">
        <v>3</v>
      </c>
      <c r="M1238" s="2" t="s">
        <v>4</v>
      </c>
      <c r="N1238" s="5">
        <f>IF(ISBLANK('Raw sheet'!L1238),AVERAGE('Raw sheet'!$L$2:'Raw sheet'!$L$1500),'Raw sheet'!L1238)</f>
        <v>4.2</v>
      </c>
      <c r="O1238" s="5" t="str">
        <f>IF(Table1[[#This Row],[Stress_Index]]&gt;=8,"High",IF(N1238&gt;=5,"Medium","Low"))</f>
        <v>Low</v>
      </c>
      <c r="P1238" s="3">
        <v>2</v>
      </c>
      <c r="Q1238" s="2">
        <v>1.88</v>
      </c>
      <c r="R1238" s="3">
        <v>1.88</v>
      </c>
      <c r="S1238" s="3" t="str">
        <f>IF(Table1[[#This Row],[CGPA]]&gt;=3,"High",IF(R1237&gt;=2,"Medium","Low"))</f>
        <v>Medium</v>
      </c>
      <c r="T1238" s="2" t="s">
        <v>2</v>
      </c>
      <c r="U1238" s="2" t="s">
        <v>14</v>
      </c>
      <c r="V1238" s="2" t="s">
        <v>9</v>
      </c>
      <c r="W1238" s="7">
        <v>1</v>
      </c>
      <c r="X1238" t="str">
        <f t="shared" si="39"/>
        <v>Dropped Out</v>
      </c>
    </row>
    <row r="1239" spans="1:24" x14ac:dyDescent="0.3">
      <c r="A1239" s="2">
        <v>1238</v>
      </c>
      <c r="B1239" s="7">
        <v>19.8</v>
      </c>
      <c r="C1239" s="2" t="s">
        <v>5</v>
      </c>
      <c r="D1239" s="7">
        <f>IF(ISBLANK('Raw sheet'!D1239),AVERAGE('Raw sheet'!$D$2:'Raw sheet'!$D$1500),'Raw sheet'!D1239)</f>
        <v>40489</v>
      </c>
      <c r="E1239" s="7" t="str">
        <f>IF(Table1[[#This Row],[Family_Income]]&gt;=100000,"Upper",IF(D1239&gt;=50000,"Middle","Lower"))</f>
        <v>Lower</v>
      </c>
      <c r="F1239" s="2" t="s">
        <v>4</v>
      </c>
      <c r="G1239" s="3">
        <f>IF(ISBLANK('Raw sheet'!F1239),AVERAGE('Raw sheet'!$F$2:'Raw sheet'!$F$1500),'Raw sheet'!F1239)</f>
        <v>3.4</v>
      </c>
      <c r="H1239" s="18">
        <v>85.5</v>
      </c>
      <c r="I1239" s="9" t="str">
        <f t="shared" si="38"/>
        <v>Good</v>
      </c>
      <c r="J1239" s="2">
        <v>0</v>
      </c>
      <c r="K1239" s="2">
        <v>24.4</v>
      </c>
      <c r="L1239" s="2" t="s">
        <v>3</v>
      </c>
      <c r="M1239" s="2" t="s">
        <v>4</v>
      </c>
      <c r="N1239" s="5">
        <f>IF(ISBLANK('Raw sheet'!L1239),AVERAGE('Raw sheet'!$L$2:'Raw sheet'!$L$1500),'Raw sheet'!L1239)</f>
        <v>7.4</v>
      </c>
      <c r="O1239" s="5" t="str">
        <f>IF(Table1[[#This Row],[Stress_Index]]&gt;=8,"High",IF(N1239&gt;=5,"Medium","Low"))</f>
        <v>Medium</v>
      </c>
      <c r="P1239" s="3">
        <v>2.37</v>
      </c>
      <c r="Q1239" s="2">
        <v>2.99</v>
      </c>
      <c r="R1239" s="3">
        <v>3.05</v>
      </c>
      <c r="S1239" s="3" t="str">
        <f>IF(Table1[[#This Row],[CGPA]]&gt;=3,"High",IF(R1238&gt;=2,"Medium","Low"))</f>
        <v>High</v>
      </c>
      <c r="T1239" s="2" t="s">
        <v>12</v>
      </c>
      <c r="U1239" s="2" t="s">
        <v>13</v>
      </c>
      <c r="V1239" s="2" t="s">
        <v>0</v>
      </c>
      <c r="W1239" s="7">
        <v>1</v>
      </c>
      <c r="X1239" t="str">
        <f t="shared" si="39"/>
        <v>Dropped Out</v>
      </c>
    </row>
    <row r="1240" spans="1:24" x14ac:dyDescent="0.3">
      <c r="A1240" s="2">
        <v>1239</v>
      </c>
      <c r="B1240" s="7">
        <v>22.3</v>
      </c>
      <c r="C1240" s="2" t="s">
        <v>11</v>
      </c>
      <c r="D1240" s="7">
        <f>IF(ISBLANK('Raw sheet'!D1240),AVERAGE('Raw sheet'!$D$2:'Raw sheet'!$D$1500),'Raw sheet'!D1240)</f>
        <v>37530</v>
      </c>
      <c r="E1240" s="7" t="str">
        <f>IF(Table1[[#This Row],[Family_Income]]&gt;=100000,"Upper",IF(D1240&gt;=50000,"Middle","Lower"))</f>
        <v>Lower</v>
      </c>
      <c r="F1240" s="2" t="s">
        <v>3</v>
      </c>
      <c r="G1240" s="3">
        <f>IF(ISBLANK('Raw sheet'!F1240),AVERAGE('Raw sheet'!$F$2:'Raw sheet'!$F$1500),'Raw sheet'!F1240)</f>
        <v>5.42</v>
      </c>
      <c r="H1240" s="18">
        <v>93</v>
      </c>
      <c r="I1240" s="9" t="str">
        <f t="shared" si="38"/>
        <v>Good</v>
      </c>
      <c r="J1240" s="2">
        <v>1</v>
      </c>
      <c r="K1240" s="2">
        <v>34.9</v>
      </c>
      <c r="L1240" s="2" t="s">
        <v>4</v>
      </c>
      <c r="M1240" s="2" t="s">
        <v>3</v>
      </c>
      <c r="N1240" s="5">
        <f>IF(ISBLANK('Raw sheet'!L1240),AVERAGE('Raw sheet'!$L$2:'Raw sheet'!$L$1500),'Raw sheet'!L1240)</f>
        <v>8.1999999999999993</v>
      </c>
      <c r="O1240" s="5" t="str">
        <f>IF(Table1[[#This Row],[Stress_Index]]&gt;=8,"High",IF(N1240&gt;=5,"Medium","Low"))</f>
        <v>High</v>
      </c>
      <c r="P1240" s="3">
        <v>2.09</v>
      </c>
      <c r="Q1240" s="2">
        <v>1.76</v>
      </c>
      <c r="R1240" s="3">
        <v>1.75</v>
      </c>
      <c r="S1240" s="3" t="str">
        <f>IF(Table1[[#This Row],[CGPA]]&gt;=3,"High",IF(R1239&gt;=2,"Medium","Low"))</f>
        <v>Medium</v>
      </c>
      <c r="T1240" s="2" t="s">
        <v>12</v>
      </c>
      <c r="U1240" s="2" t="s">
        <v>6</v>
      </c>
      <c r="V1240" s="2" t="s">
        <v>9</v>
      </c>
      <c r="W1240" s="7">
        <v>0</v>
      </c>
      <c r="X1240" t="str">
        <f t="shared" si="39"/>
        <v>Active</v>
      </c>
    </row>
    <row r="1241" spans="1:24" x14ac:dyDescent="0.3">
      <c r="A1241" s="2">
        <v>1240</v>
      </c>
      <c r="B1241" s="7">
        <v>24.6</v>
      </c>
      <c r="C1241" s="2" t="s">
        <v>5</v>
      </c>
      <c r="D1241" s="7">
        <f>IF(ISBLANK('Raw sheet'!D1241),AVERAGE('Raw sheet'!$D$2:'Raw sheet'!$D$1500),'Raw sheet'!D1241)</f>
        <v>101746</v>
      </c>
      <c r="E1241" s="7" t="str">
        <f>IF(Table1[[#This Row],[Family_Income]]&gt;=100000,"Upper",IF(D1241&gt;=50000,"Middle","Lower"))</f>
        <v>Upper</v>
      </c>
      <c r="F1241" s="2" t="s">
        <v>4</v>
      </c>
      <c r="G1241" s="3">
        <f>IF(ISBLANK('Raw sheet'!F1241),AVERAGE('Raw sheet'!$F$2:'Raw sheet'!$F$1500),'Raw sheet'!F1241)</f>
        <v>2.38</v>
      </c>
      <c r="H1241" s="18">
        <v>74</v>
      </c>
      <c r="I1241" s="9" t="str">
        <f t="shared" si="38"/>
        <v>Low</v>
      </c>
      <c r="J1241" s="2">
        <v>3</v>
      </c>
      <c r="K1241" s="2">
        <v>5.4</v>
      </c>
      <c r="L1241" s="2" t="s">
        <v>3</v>
      </c>
      <c r="M1241" s="2" t="s">
        <v>4</v>
      </c>
      <c r="N1241" s="5">
        <f>IF(ISBLANK('Raw sheet'!L1241),AVERAGE('Raw sheet'!$L$2:'Raw sheet'!$L$1500),'Raw sheet'!L1241)</f>
        <v>1.4</v>
      </c>
      <c r="O1241" s="5" t="str">
        <f>IF(Table1[[#This Row],[Stress_Index]]&gt;=8,"High",IF(N1241&gt;=5,"Medium","Low"))</f>
        <v>Low</v>
      </c>
      <c r="P1241" s="3">
        <v>2.91</v>
      </c>
      <c r="Q1241" s="2">
        <v>3.44</v>
      </c>
      <c r="R1241" s="3">
        <v>3.43</v>
      </c>
      <c r="S1241" s="3" t="str">
        <f>IF(Table1[[#This Row],[CGPA]]&gt;=3,"High",IF(R1240&gt;=2,"Medium","Low"))</f>
        <v>High</v>
      </c>
      <c r="T1241" s="2" t="s">
        <v>10</v>
      </c>
      <c r="U1241" s="2" t="s">
        <v>14</v>
      </c>
      <c r="V1241" s="2" t="s">
        <v>0</v>
      </c>
      <c r="W1241" s="7">
        <v>0</v>
      </c>
      <c r="X1241" t="str">
        <f t="shared" si="39"/>
        <v>Active</v>
      </c>
    </row>
    <row r="1242" spans="1:24" x14ac:dyDescent="0.3">
      <c r="A1242" s="2">
        <v>1241</v>
      </c>
      <c r="B1242" s="7">
        <v>20.2</v>
      </c>
      <c r="C1242" s="2" t="s">
        <v>11</v>
      </c>
      <c r="D1242" s="7">
        <f>IF(ISBLANK('Raw sheet'!D1242),AVERAGE('Raw sheet'!$D$2:'Raw sheet'!$D$1500),'Raw sheet'!D1242)</f>
        <v>25000</v>
      </c>
      <c r="E1242" s="7" t="str">
        <f>IF(Table1[[#This Row],[Family_Income]]&gt;=100000,"Upper",IF(D1242&gt;=50000,"Middle","Lower"))</f>
        <v>Lower</v>
      </c>
      <c r="F1242" s="2" t="s">
        <v>4</v>
      </c>
      <c r="G1242" s="3">
        <f>IF(ISBLANK('Raw sheet'!F1242),AVERAGE('Raw sheet'!$F$2:'Raw sheet'!$F$1500),'Raw sheet'!F1242)</f>
        <v>6.8</v>
      </c>
      <c r="H1242" s="18">
        <v>79.7</v>
      </c>
      <c r="I1242" s="9" t="str">
        <f t="shared" si="38"/>
        <v>Good</v>
      </c>
      <c r="J1242" s="2">
        <v>2</v>
      </c>
      <c r="K1242" s="2">
        <v>28.1</v>
      </c>
      <c r="L1242" s="2" t="s">
        <v>3</v>
      </c>
      <c r="M1242" s="2" t="s">
        <v>3</v>
      </c>
      <c r="N1242" s="5">
        <f>IF(ISBLANK('Raw sheet'!L1242),AVERAGE('Raw sheet'!$L$2:'Raw sheet'!$L$1500),'Raw sheet'!L1242)</f>
        <v>3.3</v>
      </c>
      <c r="O1242" s="5" t="str">
        <f>IF(Table1[[#This Row],[Stress_Index]]&gt;=8,"High",IF(N1242&gt;=5,"Medium","Low"))</f>
        <v>Low</v>
      </c>
      <c r="P1242" s="3">
        <v>3.72</v>
      </c>
      <c r="Q1242" s="2">
        <v>3.52</v>
      </c>
      <c r="R1242" s="3">
        <v>3.52</v>
      </c>
      <c r="S1242" s="3" t="str">
        <f>IF(Table1[[#This Row],[CGPA]]&gt;=3,"High",IF(R1241&gt;=2,"Medium","Low"))</f>
        <v>High</v>
      </c>
      <c r="T1242" s="2" t="s">
        <v>2</v>
      </c>
      <c r="U1242" s="2" t="s">
        <v>1</v>
      </c>
      <c r="V1242" s="2" t="s">
        <v>9</v>
      </c>
      <c r="W1242" s="7">
        <v>0</v>
      </c>
      <c r="X1242" t="str">
        <f t="shared" si="39"/>
        <v>Active</v>
      </c>
    </row>
    <row r="1243" spans="1:24" x14ac:dyDescent="0.3">
      <c r="A1243" s="2">
        <v>1242</v>
      </c>
      <c r="B1243" s="7">
        <v>20.6</v>
      </c>
      <c r="C1243" s="2" t="s">
        <v>5</v>
      </c>
      <c r="D1243" s="7">
        <f>IF(ISBLANK('Raw sheet'!D1243),AVERAGE('Raw sheet'!$D$2:'Raw sheet'!$D$1500),'Raw sheet'!D1243)</f>
        <v>37453</v>
      </c>
      <c r="E1243" s="7" t="str">
        <f>IF(Table1[[#This Row],[Family_Income]]&gt;=100000,"Upper",IF(D1243&gt;=50000,"Middle","Lower"))</f>
        <v>Lower</v>
      </c>
      <c r="F1243" s="2" t="s">
        <v>3</v>
      </c>
      <c r="G1243" s="3">
        <f>IF(ISBLANK('Raw sheet'!F1243),AVERAGE('Raw sheet'!$F$2:'Raw sheet'!$F$1500),'Raw sheet'!F1243)</f>
        <v>4</v>
      </c>
      <c r="H1243" s="18">
        <v>81.400000000000006</v>
      </c>
      <c r="I1243" s="9" t="str">
        <f t="shared" si="38"/>
        <v>Good</v>
      </c>
      <c r="J1243" s="2">
        <v>2</v>
      </c>
      <c r="K1243" s="2">
        <v>25.3</v>
      </c>
      <c r="L1243" s="2" t="s">
        <v>4</v>
      </c>
      <c r="M1243" s="2" t="s">
        <v>3</v>
      </c>
      <c r="N1243" s="5">
        <f>IF(ISBLANK('Raw sheet'!L1243),AVERAGE('Raw sheet'!$L$2:'Raw sheet'!$L$1500),'Raw sheet'!L1243)</f>
        <v>4</v>
      </c>
      <c r="O1243" s="5" t="str">
        <f>IF(Table1[[#This Row],[Stress_Index]]&gt;=8,"High",IF(N1243&gt;=5,"Medium","Low"))</f>
        <v>Low</v>
      </c>
      <c r="P1243" s="3">
        <v>2.89</v>
      </c>
      <c r="Q1243" s="2">
        <v>2.87</v>
      </c>
      <c r="R1243" s="3">
        <v>2.87</v>
      </c>
      <c r="S1243" s="3" t="str">
        <f>IF(Table1[[#This Row],[CGPA]]&gt;=3,"High",IF(R1242&gt;=2,"Medium","Low"))</f>
        <v>Medium</v>
      </c>
      <c r="T1243" s="2" t="s">
        <v>2</v>
      </c>
      <c r="U1243" s="2" t="s">
        <v>6</v>
      </c>
      <c r="V1243" s="2" t="s">
        <v>0</v>
      </c>
      <c r="W1243" s="7">
        <v>0</v>
      </c>
      <c r="X1243" t="str">
        <f t="shared" si="39"/>
        <v>Active</v>
      </c>
    </row>
    <row r="1244" spans="1:24" x14ac:dyDescent="0.3">
      <c r="A1244" s="2">
        <v>1243</v>
      </c>
      <c r="B1244" s="7">
        <v>19.7</v>
      </c>
      <c r="C1244" s="2" t="s">
        <v>11</v>
      </c>
      <c r="D1244" s="7">
        <f>IF(ISBLANK('Raw sheet'!D1244),AVERAGE('Raw sheet'!$D$2:'Raw sheet'!$D$1500),'Raw sheet'!D1244)</f>
        <v>122128</v>
      </c>
      <c r="E1244" s="7" t="str">
        <f>IF(Table1[[#This Row],[Family_Income]]&gt;=100000,"Upper",IF(D1244&gt;=50000,"Middle","Lower"))</f>
        <v>Upper</v>
      </c>
      <c r="F1244" s="2" t="s">
        <v>4</v>
      </c>
      <c r="G1244" s="3">
        <f>IF(ISBLANK('Raw sheet'!F1244),AVERAGE('Raw sheet'!$F$2:'Raw sheet'!$F$1500),'Raw sheet'!F1244)</f>
        <v>3.75</v>
      </c>
      <c r="H1244" s="18">
        <v>88.9</v>
      </c>
      <c r="I1244" s="9" t="str">
        <f t="shared" si="38"/>
        <v>Good</v>
      </c>
      <c r="J1244" s="2">
        <v>3</v>
      </c>
      <c r="K1244" s="2">
        <v>52.5</v>
      </c>
      <c r="L1244" s="2" t="s">
        <v>4</v>
      </c>
      <c r="M1244" s="2" t="s">
        <v>3</v>
      </c>
      <c r="N1244" s="5">
        <f>IF(ISBLANK('Raw sheet'!L1244),AVERAGE('Raw sheet'!$L$2:'Raw sheet'!$L$1500),'Raw sheet'!L1244)</f>
        <v>6.8</v>
      </c>
      <c r="O1244" s="5" t="str">
        <f>IF(Table1[[#This Row],[Stress_Index]]&gt;=8,"High",IF(N1244&gt;=5,"Medium","Low"))</f>
        <v>Medium</v>
      </c>
      <c r="P1244" s="3">
        <v>2.86</v>
      </c>
      <c r="Q1244" s="2">
        <v>2.92</v>
      </c>
      <c r="R1244" s="3">
        <v>2.91</v>
      </c>
      <c r="S1244" s="3" t="str">
        <f>IF(Table1[[#This Row],[CGPA]]&gt;=3,"High",IF(R1243&gt;=2,"Medium","Low"))</f>
        <v>Medium</v>
      </c>
      <c r="T1244" s="2" t="s">
        <v>10</v>
      </c>
      <c r="U1244" s="2" t="s">
        <v>8</v>
      </c>
      <c r="V1244" s="2" t="s">
        <v>15</v>
      </c>
      <c r="W1244" s="7">
        <v>0</v>
      </c>
      <c r="X1244" t="str">
        <f t="shared" si="39"/>
        <v>Active</v>
      </c>
    </row>
    <row r="1245" spans="1:24" x14ac:dyDescent="0.3">
      <c r="A1245" s="2">
        <v>1244</v>
      </c>
      <c r="B1245" s="7">
        <v>18.8</v>
      </c>
      <c r="C1245" s="2" t="s">
        <v>5</v>
      </c>
      <c r="D1245" s="7">
        <f>IF(ISBLANK('Raw sheet'!D1245),AVERAGE('Raw sheet'!$D$2:'Raw sheet'!$D$1500),'Raw sheet'!D1245)</f>
        <v>25000</v>
      </c>
      <c r="E1245" s="7" t="str">
        <f>IF(Table1[[#This Row],[Family_Income]]&gt;=100000,"Upper",IF(D1245&gt;=50000,"Middle","Lower"))</f>
        <v>Lower</v>
      </c>
      <c r="F1245" s="2" t="s">
        <v>4</v>
      </c>
      <c r="G1245" s="3">
        <f>IF(ISBLANK('Raw sheet'!F1245),AVERAGE('Raw sheet'!$F$2:'Raw sheet'!$F$1500),'Raw sheet'!F1245)</f>
        <v>5.19</v>
      </c>
      <c r="H1245" s="18">
        <v>85.5</v>
      </c>
      <c r="I1245" s="9" t="str">
        <f t="shared" si="38"/>
        <v>Good</v>
      </c>
      <c r="J1245" s="2">
        <v>4</v>
      </c>
      <c r="K1245" s="2">
        <v>33.1</v>
      </c>
      <c r="L1245" s="2" t="s">
        <v>4</v>
      </c>
      <c r="M1245" s="2" t="s">
        <v>4</v>
      </c>
      <c r="N1245" s="5">
        <f>IF(ISBLANK('Raw sheet'!L1245),AVERAGE('Raw sheet'!$L$2:'Raw sheet'!$L$1500),'Raw sheet'!L1245)</f>
        <v>6.9</v>
      </c>
      <c r="O1245" s="5" t="str">
        <f>IF(Table1[[#This Row],[Stress_Index]]&gt;=8,"High",IF(N1245&gt;=5,"Medium","Low"))</f>
        <v>Medium</v>
      </c>
      <c r="P1245" s="3">
        <v>2.4500000000000002</v>
      </c>
      <c r="Q1245" s="2">
        <v>2.2200000000000002</v>
      </c>
      <c r="R1245" s="3">
        <v>2.19</v>
      </c>
      <c r="S1245" s="3" t="str">
        <f>IF(Table1[[#This Row],[CGPA]]&gt;=3,"High",IF(R1244&gt;=2,"Medium","Low"))</f>
        <v>Medium</v>
      </c>
      <c r="T1245" s="2" t="s">
        <v>12</v>
      </c>
      <c r="U1245" s="2" t="s">
        <v>6</v>
      </c>
      <c r="V1245" s="2" t="s">
        <v>9</v>
      </c>
      <c r="W1245" s="7">
        <v>0</v>
      </c>
      <c r="X1245" t="str">
        <f t="shared" si="39"/>
        <v>Active</v>
      </c>
    </row>
    <row r="1246" spans="1:24" x14ac:dyDescent="0.3">
      <c r="A1246" s="2">
        <v>1245</v>
      </c>
      <c r="B1246" s="7">
        <v>19.600000000000001</v>
      </c>
      <c r="C1246" s="2" t="s">
        <v>11</v>
      </c>
      <c r="D1246" s="7">
        <f>IF(ISBLANK('Raw sheet'!D1246),AVERAGE('Raw sheet'!$D$2:'Raw sheet'!$D$1500),'Raw sheet'!D1246)</f>
        <v>32438</v>
      </c>
      <c r="E1246" s="7" t="str">
        <f>IF(Table1[[#This Row],[Family_Income]]&gt;=100000,"Upper",IF(D1246&gt;=50000,"Middle","Lower"))</f>
        <v>Lower</v>
      </c>
      <c r="F1246" s="2" t="s">
        <v>3</v>
      </c>
      <c r="G1246" s="3">
        <f>IF(ISBLANK('Raw sheet'!F1246),AVERAGE('Raw sheet'!$F$2:'Raw sheet'!$F$1500),'Raw sheet'!F1246)</f>
        <v>2.06</v>
      </c>
      <c r="H1246" s="18">
        <v>86.2</v>
      </c>
      <c r="I1246" s="9" t="str">
        <f t="shared" si="38"/>
        <v>Good</v>
      </c>
      <c r="J1246" s="2">
        <v>2</v>
      </c>
      <c r="K1246" s="2">
        <v>30.6</v>
      </c>
      <c r="L1246" s="2" t="s">
        <v>4</v>
      </c>
      <c r="M1246" s="2" t="s">
        <v>3</v>
      </c>
      <c r="N1246" s="5">
        <f>IF(ISBLANK('Raw sheet'!L1246),AVERAGE('Raw sheet'!$L$2:'Raw sheet'!$L$1500),'Raw sheet'!L1246)</f>
        <v>6.4</v>
      </c>
      <c r="O1246" s="5" t="str">
        <f>IF(Table1[[#This Row],[Stress_Index]]&gt;=8,"High",IF(N1246&gt;=5,"Medium","Low"))</f>
        <v>Medium</v>
      </c>
      <c r="P1246" s="3">
        <v>2.52</v>
      </c>
      <c r="Q1246" s="2">
        <v>2.63</v>
      </c>
      <c r="R1246" s="3">
        <v>2.63</v>
      </c>
      <c r="S1246" s="3" t="str">
        <f>IF(Table1[[#This Row],[CGPA]]&gt;=3,"High",IF(R1245&gt;=2,"Medium","Low"))</f>
        <v>Medium</v>
      </c>
      <c r="T1246" s="2" t="s">
        <v>2</v>
      </c>
      <c r="U1246" s="2" t="s">
        <v>6</v>
      </c>
      <c r="V1246" s="2" t="s">
        <v>9</v>
      </c>
      <c r="W1246" s="7">
        <v>0</v>
      </c>
      <c r="X1246" t="str">
        <f t="shared" si="39"/>
        <v>Active</v>
      </c>
    </row>
    <row r="1247" spans="1:24" x14ac:dyDescent="0.3">
      <c r="A1247" s="2">
        <v>1246</v>
      </c>
      <c r="B1247" s="7">
        <v>18.3</v>
      </c>
      <c r="C1247" s="2" t="s">
        <v>11</v>
      </c>
      <c r="D1247" s="7">
        <f>IF(ISBLANK('Raw sheet'!D1247),AVERAGE('Raw sheet'!$D$2:'Raw sheet'!$D$1500),'Raw sheet'!D1247)</f>
        <v>25000</v>
      </c>
      <c r="E1247" s="7" t="str">
        <f>IF(Table1[[#This Row],[Family_Income]]&gt;=100000,"Upper",IF(D1247&gt;=50000,"Middle","Lower"))</f>
        <v>Lower</v>
      </c>
      <c r="F1247" s="2" t="s">
        <v>4</v>
      </c>
      <c r="G1247" s="3">
        <f>IF(ISBLANK('Raw sheet'!F1247),AVERAGE('Raw sheet'!$F$2:'Raw sheet'!$F$1500),'Raw sheet'!F1247)</f>
        <v>6.96</v>
      </c>
      <c r="H1247" s="18">
        <v>91.8</v>
      </c>
      <c r="I1247" s="9" t="str">
        <f t="shared" si="38"/>
        <v>Good</v>
      </c>
      <c r="J1247" s="2">
        <v>2</v>
      </c>
      <c r="K1247" s="2">
        <v>29.2</v>
      </c>
      <c r="L1247" s="2" t="s">
        <v>4</v>
      </c>
      <c r="M1247" s="2" t="s">
        <v>3</v>
      </c>
      <c r="N1247" s="5">
        <f>IF(ISBLANK('Raw sheet'!L1247),AVERAGE('Raw sheet'!$L$2:'Raw sheet'!$L$1500),'Raw sheet'!L1247)</f>
        <v>7.1</v>
      </c>
      <c r="O1247" s="5" t="str">
        <f>IF(Table1[[#This Row],[Stress_Index]]&gt;=8,"High",IF(N1247&gt;=5,"Medium","Low"))</f>
        <v>Medium</v>
      </c>
      <c r="P1247" s="3">
        <v>3.71</v>
      </c>
      <c r="Q1247" s="2">
        <v>3.66</v>
      </c>
      <c r="R1247" s="3">
        <v>3.67</v>
      </c>
      <c r="S1247" s="3" t="str">
        <f>IF(Table1[[#This Row],[CGPA]]&gt;=3,"High",IF(R1246&gt;=2,"Medium","Low"))</f>
        <v>High</v>
      </c>
      <c r="T1247" s="2" t="s">
        <v>12</v>
      </c>
      <c r="U1247" s="2" t="s">
        <v>8</v>
      </c>
      <c r="V1247" s="2" t="s">
        <v>9</v>
      </c>
      <c r="W1247" s="7">
        <v>0</v>
      </c>
      <c r="X1247" t="str">
        <f t="shared" si="39"/>
        <v>Active</v>
      </c>
    </row>
    <row r="1248" spans="1:24" x14ac:dyDescent="0.3">
      <c r="A1248" s="2">
        <v>1247</v>
      </c>
      <c r="B1248" s="7">
        <v>21.1</v>
      </c>
      <c r="C1248" s="2" t="s">
        <v>5</v>
      </c>
      <c r="D1248" s="7">
        <f>IF(ISBLANK('Raw sheet'!D1248),AVERAGE('Raw sheet'!$D$2:'Raw sheet'!$D$1500),'Raw sheet'!D1248)</f>
        <v>31234</v>
      </c>
      <c r="E1248" s="7" t="str">
        <f>IF(Table1[[#This Row],[Family_Income]]&gt;=100000,"Upper",IF(D1248&gt;=50000,"Middle","Lower"))</f>
        <v>Lower</v>
      </c>
      <c r="F1248" s="2" t="s">
        <v>4</v>
      </c>
      <c r="G1248" s="3">
        <f>IF(ISBLANK('Raw sheet'!F1248),AVERAGE('Raw sheet'!$F$2:'Raw sheet'!$F$1500),'Raw sheet'!F1248)</f>
        <v>3.11</v>
      </c>
      <c r="H1248" s="18">
        <v>80.2</v>
      </c>
      <c r="I1248" s="9" t="str">
        <f t="shared" si="38"/>
        <v>Good</v>
      </c>
      <c r="J1248" s="2">
        <v>2</v>
      </c>
      <c r="K1248" s="2">
        <v>26.5</v>
      </c>
      <c r="L1248" s="2" t="s">
        <v>3</v>
      </c>
      <c r="M1248" s="2" t="s">
        <v>4</v>
      </c>
      <c r="N1248" s="5">
        <f>IF(ISBLANK('Raw sheet'!L1248),AVERAGE('Raw sheet'!$L$2:'Raw sheet'!$L$1500),'Raw sheet'!L1248)</f>
        <v>3.5</v>
      </c>
      <c r="O1248" s="5" t="str">
        <f>IF(Table1[[#This Row],[Stress_Index]]&gt;=8,"High",IF(N1248&gt;=5,"Medium","Low"))</f>
        <v>Low</v>
      </c>
      <c r="P1248" s="3">
        <v>2.76</v>
      </c>
      <c r="Q1248" s="2">
        <v>2.9</v>
      </c>
      <c r="R1248" s="3">
        <v>2.9</v>
      </c>
      <c r="S1248" s="3" t="str">
        <f>IF(Table1[[#This Row],[CGPA]]&gt;=3,"High",IF(R1247&gt;=2,"Medium","Low"))</f>
        <v>Medium</v>
      </c>
      <c r="T1248" s="2" t="s">
        <v>2</v>
      </c>
      <c r="U1248" s="2" t="s">
        <v>13</v>
      </c>
      <c r="V1248" s="2" t="s">
        <v>9</v>
      </c>
      <c r="W1248" s="7">
        <v>0</v>
      </c>
      <c r="X1248" t="str">
        <f t="shared" si="39"/>
        <v>Active</v>
      </c>
    </row>
    <row r="1249" spans="1:24" x14ac:dyDescent="0.3">
      <c r="A1249" s="2">
        <v>1248</v>
      </c>
      <c r="B1249" s="7">
        <v>19.3</v>
      </c>
      <c r="C1249" s="2" t="s">
        <v>11</v>
      </c>
      <c r="D1249" s="7">
        <f>IF(ISBLANK('Raw sheet'!D1249),AVERAGE('Raw sheet'!$D$2:'Raw sheet'!$D$1500),'Raw sheet'!D1249)</f>
        <v>38587.00282087447</v>
      </c>
      <c r="E1249" s="7" t="str">
        <f>IF(Table1[[#This Row],[Family_Income]]&gt;=100000,"Upper",IF(D1249&gt;=50000,"Middle","Lower"))</f>
        <v>Lower</v>
      </c>
      <c r="F1249" s="2" t="s">
        <v>4</v>
      </c>
      <c r="G1249" s="3">
        <f>IF(ISBLANK('Raw sheet'!F1249),AVERAGE('Raw sheet'!$F$2:'Raw sheet'!$F$1500),'Raw sheet'!F1249)</f>
        <v>4.0178702397743278</v>
      </c>
      <c r="H1249" s="18">
        <v>93.7</v>
      </c>
      <c r="I1249" s="9" t="str">
        <f t="shared" si="38"/>
        <v>Good</v>
      </c>
      <c r="J1249" s="2">
        <v>3</v>
      </c>
      <c r="K1249" s="2">
        <v>36.4</v>
      </c>
      <c r="L1249" s="2" t="s">
        <v>3</v>
      </c>
      <c r="M1249" s="2" t="s">
        <v>4</v>
      </c>
      <c r="N1249" s="5">
        <f>IF(ISBLANK('Raw sheet'!L1249),AVERAGE('Raw sheet'!$L$2:'Raw sheet'!$L$1500),'Raw sheet'!L1249)</f>
        <v>5.5242595204513369</v>
      </c>
      <c r="O1249" s="5" t="str">
        <f>IF(Table1[[#This Row],[Stress_Index]]&gt;=8,"High",IF(N1249&gt;=5,"Medium","Low"))</f>
        <v>Medium</v>
      </c>
      <c r="P1249" s="3">
        <v>3.54</v>
      </c>
      <c r="Q1249" s="2">
        <v>3.49</v>
      </c>
      <c r="R1249" s="3">
        <v>3.61</v>
      </c>
      <c r="S1249" s="3" t="str">
        <f>IF(Table1[[#This Row],[CGPA]]&gt;=3,"High",IF(R1248&gt;=2,"Medium","Low"))</f>
        <v>High</v>
      </c>
      <c r="T1249" s="2" t="s">
        <v>12</v>
      </c>
      <c r="U1249" s="2" t="s">
        <v>1</v>
      </c>
      <c r="V1249" s="2" t="s">
        <v>15</v>
      </c>
      <c r="W1249" s="7">
        <v>0</v>
      </c>
      <c r="X1249" t="str">
        <f t="shared" si="39"/>
        <v>Active</v>
      </c>
    </row>
    <row r="1250" spans="1:24" x14ac:dyDescent="0.3">
      <c r="A1250" s="2">
        <v>1249</v>
      </c>
      <c r="B1250" s="7">
        <v>21.5</v>
      </c>
      <c r="C1250" s="2" t="s">
        <v>11</v>
      </c>
      <c r="D1250" s="7">
        <f>IF(ISBLANK('Raw sheet'!D1250),AVERAGE('Raw sheet'!$D$2:'Raw sheet'!$D$1500),'Raw sheet'!D1250)</f>
        <v>55719</v>
      </c>
      <c r="E1250" s="7" t="str">
        <f>IF(Table1[[#This Row],[Family_Income]]&gt;=100000,"Upper",IF(D1250&gt;=50000,"Middle","Lower"))</f>
        <v>Middle</v>
      </c>
      <c r="F1250" s="2" t="s">
        <v>4</v>
      </c>
      <c r="G1250" s="3">
        <f>IF(ISBLANK('Raw sheet'!F1250),AVERAGE('Raw sheet'!$F$2:'Raw sheet'!$F$1500),'Raw sheet'!F1250)</f>
        <v>4</v>
      </c>
      <c r="H1250" s="18">
        <v>81.3</v>
      </c>
      <c r="I1250" s="9" t="str">
        <f t="shared" si="38"/>
        <v>Good</v>
      </c>
      <c r="J1250" s="2">
        <v>2</v>
      </c>
      <c r="K1250" s="2">
        <v>22.1</v>
      </c>
      <c r="L1250" s="2" t="s">
        <v>3</v>
      </c>
      <c r="M1250" s="2" t="s">
        <v>3</v>
      </c>
      <c r="N1250" s="5">
        <f>IF(ISBLANK('Raw sheet'!L1250),AVERAGE('Raw sheet'!$L$2:'Raw sheet'!$L$1500),'Raw sheet'!L1250)</f>
        <v>7.8</v>
      </c>
      <c r="O1250" s="5" t="str">
        <f>IF(Table1[[#This Row],[Stress_Index]]&gt;=8,"High",IF(N1250&gt;=5,"Medium","Low"))</f>
        <v>Medium</v>
      </c>
      <c r="P1250" s="3">
        <v>1.34</v>
      </c>
      <c r="Q1250" s="2">
        <v>1.46</v>
      </c>
      <c r="R1250" s="3">
        <v>1.45</v>
      </c>
      <c r="S1250" s="3" t="str">
        <f>IF(Table1[[#This Row],[CGPA]]&gt;=3,"High",IF(R1249&gt;=2,"Medium","Low"))</f>
        <v>Medium</v>
      </c>
      <c r="T1250" s="2" t="s">
        <v>10</v>
      </c>
      <c r="U1250" s="2" t="s">
        <v>13</v>
      </c>
      <c r="V1250" s="2" t="s">
        <v>15</v>
      </c>
      <c r="W1250" s="7">
        <v>0</v>
      </c>
      <c r="X1250" t="str">
        <f t="shared" si="39"/>
        <v>Active</v>
      </c>
    </row>
    <row r="1251" spans="1:24" x14ac:dyDescent="0.3">
      <c r="A1251" s="2">
        <v>1250</v>
      </c>
      <c r="B1251" s="7">
        <v>17.600000000000001</v>
      </c>
      <c r="C1251" s="2" t="s">
        <v>11</v>
      </c>
      <c r="D1251" s="7">
        <f>IF(ISBLANK('Raw sheet'!D1251),AVERAGE('Raw sheet'!$D$2:'Raw sheet'!$D$1500),'Raw sheet'!D1251)</f>
        <v>32480</v>
      </c>
      <c r="E1251" s="7" t="str">
        <f>IF(Table1[[#This Row],[Family_Income]]&gt;=100000,"Upper",IF(D1251&gt;=50000,"Middle","Lower"))</f>
        <v>Lower</v>
      </c>
      <c r="F1251" s="2" t="s">
        <v>4</v>
      </c>
      <c r="G1251" s="3">
        <f>IF(ISBLANK('Raw sheet'!F1251),AVERAGE('Raw sheet'!$F$2:'Raw sheet'!$F$1500),'Raw sheet'!F1251)</f>
        <v>2.68</v>
      </c>
      <c r="H1251" s="18">
        <v>89.2</v>
      </c>
      <c r="I1251" s="9" t="str">
        <f t="shared" si="38"/>
        <v>Good</v>
      </c>
      <c r="J1251" s="2">
        <v>1</v>
      </c>
      <c r="K1251" s="2">
        <v>36.6</v>
      </c>
      <c r="L1251" s="2" t="s">
        <v>3</v>
      </c>
      <c r="M1251" s="2" t="s">
        <v>3</v>
      </c>
      <c r="N1251" s="5">
        <f>IF(ISBLANK('Raw sheet'!L1251),AVERAGE('Raw sheet'!$L$2:'Raw sheet'!$L$1500),'Raw sheet'!L1251)</f>
        <v>5.7</v>
      </c>
      <c r="O1251" s="5" t="str">
        <f>IF(Table1[[#This Row],[Stress_Index]]&gt;=8,"High",IF(N1251&gt;=5,"Medium","Low"))</f>
        <v>Medium</v>
      </c>
      <c r="P1251" s="3">
        <v>2.5299999999999998</v>
      </c>
      <c r="Q1251" s="2">
        <v>2.5499999999999998</v>
      </c>
      <c r="R1251" s="3">
        <v>2.57</v>
      </c>
      <c r="S1251" s="3" t="str">
        <f>IF(Table1[[#This Row],[CGPA]]&gt;=3,"High",IF(R1250&gt;=2,"Medium","Low"))</f>
        <v>Low</v>
      </c>
      <c r="T1251" s="2" t="s">
        <v>10</v>
      </c>
      <c r="U1251" s="2" t="s">
        <v>1</v>
      </c>
      <c r="V1251" s="2" t="s">
        <v>15</v>
      </c>
      <c r="W1251" s="7">
        <v>0</v>
      </c>
      <c r="X1251" t="str">
        <f t="shared" si="39"/>
        <v>Active</v>
      </c>
    </row>
    <row r="1252" spans="1:24" x14ac:dyDescent="0.3">
      <c r="A1252" s="2">
        <v>1251</v>
      </c>
      <c r="B1252" s="7">
        <v>21.7</v>
      </c>
      <c r="C1252" s="2" t="s">
        <v>11</v>
      </c>
      <c r="D1252" s="7">
        <f>IF(ISBLANK('Raw sheet'!D1252),AVERAGE('Raw sheet'!$D$2:'Raw sheet'!$D$1500),'Raw sheet'!D1252)</f>
        <v>25000</v>
      </c>
      <c r="E1252" s="7" t="str">
        <f>IF(Table1[[#This Row],[Family_Income]]&gt;=100000,"Upper",IF(D1252&gt;=50000,"Middle","Lower"))</f>
        <v>Lower</v>
      </c>
      <c r="F1252" s="2" t="s">
        <v>4</v>
      </c>
      <c r="G1252" s="3">
        <f>IF(ISBLANK('Raw sheet'!F1252),AVERAGE('Raw sheet'!$F$2:'Raw sheet'!$F$1500),'Raw sheet'!F1252)</f>
        <v>5.32</v>
      </c>
      <c r="H1252" s="18">
        <v>78</v>
      </c>
      <c r="I1252" s="9" t="str">
        <f t="shared" si="38"/>
        <v>Good</v>
      </c>
      <c r="J1252" s="2">
        <v>0</v>
      </c>
      <c r="K1252" s="2">
        <v>47.2</v>
      </c>
      <c r="L1252" s="2" t="s">
        <v>4</v>
      </c>
      <c r="M1252" s="2" t="s">
        <v>3</v>
      </c>
      <c r="N1252" s="5">
        <f>IF(ISBLANK('Raw sheet'!L1252),AVERAGE('Raw sheet'!$L$2:'Raw sheet'!$L$1500),'Raw sheet'!L1252)</f>
        <v>7.7</v>
      </c>
      <c r="O1252" s="5" t="str">
        <f>IF(Table1[[#This Row],[Stress_Index]]&gt;=8,"High",IF(N1252&gt;=5,"Medium","Low"))</f>
        <v>Medium</v>
      </c>
      <c r="P1252" s="3">
        <v>1.96</v>
      </c>
      <c r="Q1252" s="2">
        <v>1.27</v>
      </c>
      <c r="R1252" s="3">
        <v>1.29</v>
      </c>
      <c r="S1252" s="3" t="str">
        <f>IF(Table1[[#This Row],[CGPA]]&gt;=3,"High",IF(R1251&gt;=2,"Medium","Low"))</f>
        <v>Medium</v>
      </c>
      <c r="T1252" s="2" t="s">
        <v>10</v>
      </c>
      <c r="U1252" s="2" t="s">
        <v>6</v>
      </c>
      <c r="V1252" s="2" t="s">
        <v>15</v>
      </c>
      <c r="W1252" s="7">
        <v>0</v>
      </c>
      <c r="X1252" t="str">
        <f t="shared" si="39"/>
        <v>Active</v>
      </c>
    </row>
    <row r="1253" spans="1:24" x14ac:dyDescent="0.3">
      <c r="A1253" s="2">
        <v>1252</v>
      </c>
      <c r="B1253" s="7">
        <v>22.8</v>
      </c>
      <c r="C1253" s="2" t="s">
        <v>5</v>
      </c>
      <c r="D1253" s="7">
        <f>IF(ISBLANK('Raw sheet'!D1253),AVERAGE('Raw sheet'!$D$2:'Raw sheet'!$D$1500),'Raw sheet'!D1253)</f>
        <v>49234</v>
      </c>
      <c r="E1253" s="7" t="str">
        <f>IF(Table1[[#This Row],[Family_Income]]&gt;=100000,"Upper",IF(D1253&gt;=50000,"Middle","Lower"))</f>
        <v>Lower</v>
      </c>
      <c r="F1253" s="2" t="s">
        <v>4</v>
      </c>
      <c r="G1253" s="3">
        <f>IF(ISBLANK('Raw sheet'!F1253),AVERAGE('Raw sheet'!$F$2:'Raw sheet'!$F$1500),'Raw sheet'!F1253)</f>
        <v>4.6900000000000004</v>
      </c>
      <c r="H1253" s="18">
        <v>86.8</v>
      </c>
      <c r="I1253" s="9" t="str">
        <f t="shared" si="38"/>
        <v>Good</v>
      </c>
      <c r="J1253" s="2">
        <v>0</v>
      </c>
      <c r="K1253" s="2">
        <v>31.4</v>
      </c>
      <c r="L1253" s="2" t="s">
        <v>3</v>
      </c>
      <c r="M1253" s="2" t="s">
        <v>3</v>
      </c>
      <c r="N1253" s="5">
        <f>IF(ISBLANK('Raw sheet'!L1253),AVERAGE('Raw sheet'!$L$2:'Raw sheet'!$L$1500),'Raw sheet'!L1253)</f>
        <v>4.2</v>
      </c>
      <c r="O1253" s="5" t="str">
        <f>IF(Table1[[#This Row],[Stress_Index]]&gt;=8,"High",IF(N1253&gt;=5,"Medium","Low"))</f>
        <v>Low</v>
      </c>
      <c r="P1253" s="3">
        <v>2.5499999999999998</v>
      </c>
      <c r="Q1253" s="2">
        <v>2.2400000000000002</v>
      </c>
      <c r="R1253" s="3">
        <v>2.2400000000000002</v>
      </c>
      <c r="S1253" s="3" t="str">
        <f>IF(Table1[[#This Row],[CGPA]]&gt;=3,"High",IF(R1252&gt;=2,"Medium","Low"))</f>
        <v>Low</v>
      </c>
      <c r="T1253" s="2" t="s">
        <v>2</v>
      </c>
      <c r="U1253" s="2" t="s">
        <v>1</v>
      </c>
      <c r="V1253" s="2" t="s">
        <v>15</v>
      </c>
      <c r="W1253" s="7">
        <v>0</v>
      </c>
      <c r="X1253" t="str">
        <f t="shared" si="39"/>
        <v>Active</v>
      </c>
    </row>
    <row r="1254" spans="1:24" x14ac:dyDescent="0.3">
      <c r="A1254" s="2">
        <v>1253</v>
      </c>
      <c r="B1254" s="7">
        <v>17</v>
      </c>
      <c r="C1254" s="2" t="s">
        <v>5</v>
      </c>
      <c r="D1254" s="7">
        <f>IF(ISBLANK('Raw sheet'!D1254),AVERAGE('Raw sheet'!$D$2:'Raw sheet'!$D$1500),'Raw sheet'!D1254)</f>
        <v>33117</v>
      </c>
      <c r="E1254" s="7" t="str">
        <f>IF(Table1[[#This Row],[Family_Income]]&gt;=100000,"Upper",IF(D1254&gt;=50000,"Middle","Lower"))</f>
        <v>Lower</v>
      </c>
      <c r="F1254" s="2" t="s">
        <v>4</v>
      </c>
      <c r="G1254" s="3">
        <f>IF(ISBLANK('Raw sheet'!F1254),AVERAGE('Raw sheet'!$F$2:'Raw sheet'!$F$1500),'Raw sheet'!F1254)</f>
        <v>7.97</v>
      </c>
      <c r="H1254" s="18">
        <v>91.3</v>
      </c>
      <c r="I1254" s="9" t="str">
        <f t="shared" si="38"/>
        <v>Good</v>
      </c>
      <c r="J1254" s="2">
        <v>2</v>
      </c>
      <c r="K1254" s="2">
        <v>26.2</v>
      </c>
      <c r="L1254" s="2" t="s">
        <v>3</v>
      </c>
      <c r="M1254" s="2" t="s">
        <v>3</v>
      </c>
      <c r="N1254" s="5">
        <f>IF(ISBLANK('Raw sheet'!L1254),AVERAGE('Raw sheet'!$L$2:'Raw sheet'!$L$1500),'Raw sheet'!L1254)</f>
        <v>3.6</v>
      </c>
      <c r="O1254" s="5" t="str">
        <f>IF(Table1[[#This Row],[Stress_Index]]&gt;=8,"High",IF(N1254&gt;=5,"Medium","Low"))</f>
        <v>Low</v>
      </c>
      <c r="P1254" s="3">
        <v>3.24</v>
      </c>
      <c r="Q1254" s="2">
        <v>3.55</v>
      </c>
      <c r="R1254" s="3">
        <v>3.55</v>
      </c>
      <c r="S1254" s="3" t="str">
        <f>IF(Table1[[#This Row],[CGPA]]&gt;=3,"High",IF(R1253&gt;=2,"Medium","Low"))</f>
        <v>High</v>
      </c>
      <c r="T1254" s="2" t="s">
        <v>2</v>
      </c>
      <c r="U1254" s="2" t="s">
        <v>6</v>
      </c>
      <c r="V1254" s="2" t="s">
        <v>9</v>
      </c>
      <c r="W1254" s="7">
        <v>0</v>
      </c>
      <c r="X1254" t="str">
        <f t="shared" si="39"/>
        <v>Active</v>
      </c>
    </row>
    <row r="1255" spans="1:24" x14ac:dyDescent="0.3">
      <c r="A1255" s="2">
        <v>1254</v>
      </c>
      <c r="B1255" s="7">
        <v>21.8</v>
      </c>
      <c r="C1255" s="2" t="s">
        <v>5</v>
      </c>
      <c r="D1255" s="7">
        <f>IF(ISBLANK('Raw sheet'!D1255),AVERAGE('Raw sheet'!$D$2:'Raw sheet'!$D$1500),'Raw sheet'!D1255)</f>
        <v>38587.00282087447</v>
      </c>
      <c r="E1255" s="7" t="str">
        <f>IF(Table1[[#This Row],[Family_Income]]&gt;=100000,"Upper",IF(D1255&gt;=50000,"Middle","Lower"))</f>
        <v>Lower</v>
      </c>
      <c r="F1255" s="2" t="s">
        <v>4</v>
      </c>
      <c r="G1255" s="3">
        <f>IF(ISBLANK('Raw sheet'!F1255),AVERAGE('Raw sheet'!$F$2:'Raw sheet'!$F$1500),'Raw sheet'!F1255)</f>
        <v>4.0178702397743278</v>
      </c>
      <c r="H1255" s="18">
        <v>73.3</v>
      </c>
      <c r="I1255" s="9" t="str">
        <f t="shared" si="38"/>
        <v>Low</v>
      </c>
      <c r="J1255" s="2">
        <v>5</v>
      </c>
      <c r="K1255" s="2">
        <v>29.1</v>
      </c>
      <c r="L1255" s="2" t="s">
        <v>3</v>
      </c>
      <c r="M1255" s="2" t="s">
        <v>3</v>
      </c>
      <c r="N1255" s="5">
        <f>IF(ISBLANK('Raw sheet'!L1255),AVERAGE('Raw sheet'!$L$2:'Raw sheet'!$L$1500),'Raw sheet'!L1255)</f>
        <v>5.5242595204513369</v>
      </c>
      <c r="O1255" s="5" t="str">
        <f>IF(Table1[[#This Row],[Stress_Index]]&gt;=8,"High",IF(N1255&gt;=5,"Medium","Low"))</f>
        <v>Medium</v>
      </c>
      <c r="P1255" s="3">
        <v>2.65</v>
      </c>
      <c r="Q1255" s="2">
        <v>2.82</v>
      </c>
      <c r="R1255" s="3">
        <v>2.82</v>
      </c>
      <c r="S1255" s="3" t="str">
        <f>IF(Table1[[#This Row],[CGPA]]&gt;=3,"High",IF(R1254&gt;=2,"Medium","Low"))</f>
        <v>Medium</v>
      </c>
      <c r="T1255" s="2" t="s">
        <v>2</v>
      </c>
      <c r="U1255" s="2" t="s">
        <v>1</v>
      </c>
      <c r="V1255" s="2" t="s">
        <v>15</v>
      </c>
      <c r="W1255" s="7">
        <v>0</v>
      </c>
      <c r="X1255" t="str">
        <f t="shared" si="39"/>
        <v>Active</v>
      </c>
    </row>
    <row r="1256" spans="1:24" x14ac:dyDescent="0.3">
      <c r="A1256" s="2">
        <v>1255</v>
      </c>
      <c r="B1256" s="7">
        <v>23.7</v>
      </c>
      <c r="C1256" s="2" t="s">
        <v>5</v>
      </c>
      <c r="D1256" s="7">
        <f>IF(ISBLANK('Raw sheet'!D1256),AVERAGE('Raw sheet'!$D$2:'Raw sheet'!$D$1500),'Raw sheet'!D1256)</f>
        <v>25000</v>
      </c>
      <c r="E1256" s="7" t="str">
        <f>IF(Table1[[#This Row],[Family_Income]]&gt;=100000,"Upper",IF(D1256&gt;=50000,"Middle","Lower"))</f>
        <v>Lower</v>
      </c>
      <c r="F1256" s="2" t="s">
        <v>4</v>
      </c>
      <c r="G1256" s="3">
        <f>IF(ISBLANK('Raw sheet'!F1256),AVERAGE('Raw sheet'!$F$2:'Raw sheet'!$F$1500),'Raw sheet'!F1256)</f>
        <v>3.18</v>
      </c>
      <c r="H1256" s="18">
        <v>89.6</v>
      </c>
      <c r="I1256" s="9" t="str">
        <f t="shared" si="38"/>
        <v>Good</v>
      </c>
      <c r="J1256" s="2">
        <v>5</v>
      </c>
      <c r="K1256" s="2">
        <v>44.4</v>
      </c>
      <c r="L1256" s="2" t="s">
        <v>4</v>
      </c>
      <c r="M1256" s="2" t="s">
        <v>3</v>
      </c>
      <c r="N1256" s="5">
        <f>IF(ISBLANK('Raw sheet'!L1256),AVERAGE('Raw sheet'!$L$2:'Raw sheet'!$L$1500),'Raw sheet'!L1256)</f>
        <v>6.9</v>
      </c>
      <c r="O1256" s="5" t="str">
        <f>IF(Table1[[#This Row],[Stress_Index]]&gt;=8,"High",IF(N1256&gt;=5,"Medium","Low"))</f>
        <v>Medium</v>
      </c>
      <c r="P1256" s="3">
        <v>0.02</v>
      </c>
      <c r="Q1256" s="2">
        <v>0.06</v>
      </c>
      <c r="R1256" s="3">
        <v>0.03</v>
      </c>
      <c r="S1256" s="3" t="str">
        <f>IF(Table1[[#This Row],[CGPA]]&gt;=3,"High",IF(R1255&gt;=2,"Medium","Low"))</f>
        <v>Medium</v>
      </c>
      <c r="T1256" s="2" t="s">
        <v>10</v>
      </c>
      <c r="U1256" s="2" t="s">
        <v>6</v>
      </c>
      <c r="V1256" s="2" t="s">
        <v>9</v>
      </c>
      <c r="W1256" s="7">
        <v>1</v>
      </c>
      <c r="X1256" t="str">
        <f t="shared" si="39"/>
        <v>Dropped Out</v>
      </c>
    </row>
    <row r="1257" spans="1:24" x14ac:dyDescent="0.3">
      <c r="A1257" s="2">
        <v>1256</v>
      </c>
      <c r="B1257" s="7">
        <v>18.3</v>
      </c>
      <c r="C1257" s="2" t="s">
        <v>5</v>
      </c>
      <c r="D1257" s="7">
        <f>IF(ISBLANK('Raw sheet'!D1257),AVERAGE('Raw sheet'!$D$2:'Raw sheet'!$D$1500),'Raw sheet'!D1257)</f>
        <v>37097</v>
      </c>
      <c r="E1257" s="7" t="str">
        <f>IF(Table1[[#This Row],[Family_Income]]&gt;=100000,"Upper",IF(D1257&gt;=50000,"Middle","Lower"))</f>
        <v>Lower</v>
      </c>
      <c r="F1257" s="2" t="s">
        <v>4</v>
      </c>
      <c r="G1257" s="3">
        <f>IF(ISBLANK('Raw sheet'!F1257),AVERAGE('Raw sheet'!$F$2:'Raw sheet'!$F$1500),'Raw sheet'!F1257)</f>
        <v>1.59</v>
      </c>
      <c r="H1257" s="18">
        <v>83.4</v>
      </c>
      <c r="I1257" s="9" t="str">
        <f t="shared" si="38"/>
        <v>Good</v>
      </c>
      <c r="J1257" s="2">
        <v>1</v>
      </c>
      <c r="K1257" s="2">
        <v>31.7</v>
      </c>
      <c r="L1257" s="2" t="s">
        <v>3</v>
      </c>
      <c r="M1257" s="2" t="s">
        <v>4</v>
      </c>
      <c r="N1257" s="5">
        <f>IF(ISBLANK('Raw sheet'!L1257),AVERAGE('Raw sheet'!$L$2:'Raw sheet'!$L$1500),'Raw sheet'!L1257)</f>
        <v>7.5</v>
      </c>
      <c r="O1257" s="5" t="str">
        <f>IF(Table1[[#This Row],[Stress_Index]]&gt;=8,"High",IF(N1257&gt;=5,"Medium","Low"))</f>
        <v>Medium</v>
      </c>
      <c r="P1257" s="3">
        <v>0.3</v>
      </c>
      <c r="Q1257" s="2">
        <v>0.36</v>
      </c>
      <c r="R1257" s="3">
        <v>0.37</v>
      </c>
      <c r="S1257" s="3" t="str">
        <f>IF(Table1[[#This Row],[CGPA]]&gt;=3,"High",IF(R1256&gt;=2,"Medium","Low"))</f>
        <v>Low</v>
      </c>
      <c r="T1257" s="2" t="s">
        <v>12</v>
      </c>
      <c r="U1257" s="2" t="s">
        <v>14</v>
      </c>
      <c r="V1257" s="2" t="s">
        <v>9</v>
      </c>
      <c r="W1257" s="7">
        <v>1</v>
      </c>
      <c r="X1257" t="str">
        <f t="shared" si="39"/>
        <v>Dropped Out</v>
      </c>
    </row>
    <row r="1258" spans="1:24" x14ac:dyDescent="0.3">
      <c r="A1258" s="2">
        <v>1257</v>
      </c>
      <c r="B1258" s="7">
        <v>24.7</v>
      </c>
      <c r="C1258" s="2" t="s">
        <v>11</v>
      </c>
      <c r="D1258" s="7">
        <f>IF(ISBLANK('Raw sheet'!D1258),AVERAGE('Raw sheet'!$D$2:'Raw sheet'!$D$1500),'Raw sheet'!D1258)</f>
        <v>47288</v>
      </c>
      <c r="E1258" s="7" t="str">
        <f>IF(Table1[[#This Row],[Family_Income]]&gt;=100000,"Upper",IF(D1258&gt;=50000,"Middle","Lower"))</f>
        <v>Lower</v>
      </c>
      <c r="F1258" s="2" t="s">
        <v>4</v>
      </c>
      <c r="G1258" s="3">
        <f>IF(ISBLANK('Raw sheet'!F1258),AVERAGE('Raw sheet'!$F$2:'Raw sheet'!$F$1500),'Raw sheet'!F1258)</f>
        <v>3.03</v>
      </c>
      <c r="H1258" s="18">
        <v>98.3</v>
      </c>
      <c r="I1258" s="9" t="str">
        <f t="shared" si="38"/>
        <v>Good</v>
      </c>
      <c r="J1258" s="2">
        <v>2</v>
      </c>
      <c r="K1258" s="2">
        <v>22.7</v>
      </c>
      <c r="L1258" s="2" t="s">
        <v>4</v>
      </c>
      <c r="M1258" s="2" t="s">
        <v>4</v>
      </c>
      <c r="N1258" s="5">
        <f>IF(ISBLANK('Raw sheet'!L1258),AVERAGE('Raw sheet'!$L$2:'Raw sheet'!$L$1500),'Raw sheet'!L1258)</f>
        <v>6.5</v>
      </c>
      <c r="O1258" s="5" t="str">
        <f>IF(Table1[[#This Row],[Stress_Index]]&gt;=8,"High",IF(N1258&gt;=5,"Medium","Low"))</f>
        <v>Medium</v>
      </c>
      <c r="P1258" s="3">
        <v>2.62</v>
      </c>
      <c r="Q1258" s="2">
        <v>3.02</v>
      </c>
      <c r="R1258" s="3">
        <v>3.02</v>
      </c>
      <c r="S1258" s="3" t="str">
        <f>IF(Table1[[#This Row],[CGPA]]&gt;=3,"High",IF(R1257&gt;=2,"Medium","Low"))</f>
        <v>High</v>
      </c>
      <c r="T1258" s="2" t="s">
        <v>2</v>
      </c>
      <c r="U1258" s="2" t="s">
        <v>6</v>
      </c>
      <c r="V1258" s="2" t="s">
        <v>15</v>
      </c>
      <c r="W1258" s="7">
        <v>0</v>
      </c>
      <c r="X1258" t="str">
        <f t="shared" si="39"/>
        <v>Active</v>
      </c>
    </row>
    <row r="1259" spans="1:24" x14ac:dyDescent="0.3">
      <c r="A1259" s="2">
        <v>1258</v>
      </c>
      <c r="B1259" s="7">
        <v>21.9</v>
      </c>
      <c r="C1259" s="2" t="s">
        <v>5</v>
      </c>
      <c r="D1259" s="7">
        <f>IF(ISBLANK('Raw sheet'!D1259),AVERAGE('Raw sheet'!$D$2:'Raw sheet'!$D$1500),'Raw sheet'!D1259)</f>
        <v>25000</v>
      </c>
      <c r="E1259" s="7" t="str">
        <f>IF(Table1[[#This Row],[Family_Income]]&gt;=100000,"Upper",IF(D1259&gt;=50000,"Middle","Lower"))</f>
        <v>Lower</v>
      </c>
      <c r="F1259" s="2" t="s">
        <v>4</v>
      </c>
      <c r="G1259" s="3">
        <f>IF(ISBLANK('Raw sheet'!F1259),AVERAGE('Raw sheet'!$F$2:'Raw sheet'!$F$1500),'Raw sheet'!F1259)</f>
        <v>4.33</v>
      </c>
      <c r="H1259" s="18">
        <v>79.900000000000006</v>
      </c>
      <c r="I1259" s="9" t="str">
        <f t="shared" si="38"/>
        <v>Good</v>
      </c>
      <c r="J1259" s="2">
        <v>1</v>
      </c>
      <c r="K1259" s="2">
        <v>39.700000000000003</v>
      </c>
      <c r="L1259" s="2" t="s">
        <v>4</v>
      </c>
      <c r="M1259" s="2" t="s">
        <v>3</v>
      </c>
      <c r="N1259" s="5">
        <f>IF(ISBLANK('Raw sheet'!L1259),AVERAGE('Raw sheet'!$L$2:'Raw sheet'!$L$1500),'Raw sheet'!L1259)</f>
        <v>4.5999999999999996</v>
      </c>
      <c r="O1259" s="5" t="str">
        <f>IF(Table1[[#This Row],[Stress_Index]]&gt;=8,"High",IF(N1259&gt;=5,"Medium","Low"))</f>
        <v>Low</v>
      </c>
      <c r="P1259" s="3">
        <v>2.85</v>
      </c>
      <c r="Q1259" s="2">
        <v>2.87</v>
      </c>
      <c r="R1259" s="3">
        <v>2.78</v>
      </c>
      <c r="S1259" s="3" t="str">
        <f>IF(Table1[[#This Row],[CGPA]]&gt;=3,"High",IF(R1258&gt;=2,"Medium","Low"))</f>
        <v>Medium</v>
      </c>
      <c r="T1259" s="2" t="s">
        <v>12</v>
      </c>
      <c r="U1259" s="2" t="s">
        <v>14</v>
      </c>
      <c r="V1259" s="2" t="s">
        <v>0</v>
      </c>
      <c r="W1259" s="7">
        <v>0</v>
      </c>
      <c r="X1259" t="str">
        <f t="shared" si="39"/>
        <v>Active</v>
      </c>
    </row>
    <row r="1260" spans="1:24" x14ac:dyDescent="0.3">
      <c r="A1260" s="2">
        <v>1259</v>
      </c>
      <c r="B1260" s="7">
        <v>19.399999999999999</v>
      </c>
      <c r="C1260" s="2" t="s">
        <v>5</v>
      </c>
      <c r="D1260" s="7">
        <f>IF(ISBLANK('Raw sheet'!D1260),AVERAGE('Raw sheet'!$D$2:'Raw sheet'!$D$1500),'Raw sheet'!D1260)</f>
        <v>25000</v>
      </c>
      <c r="E1260" s="7" t="str">
        <f>IF(Table1[[#This Row],[Family_Income]]&gt;=100000,"Upper",IF(D1260&gt;=50000,"Middle","Lower"))</f>
        <v>Lower</v>
      </c>
      <c r="F1260" s="2" t="s">
        <v>4</v>
      </c>
      <c r="G1260" s="3">
        <f>IF(ISBLANK('Raw sheet'!F1260),AVERAGE('Raw sheet'!$F$2:'Raw sheet'!$F$1500),'Raw sheet'!F1260)</f>
        <v>3.51</v>
      </c>
      <c r="H1260" s="18">
        <v>84.3</v>
      </c>
      <c r="I1260" s="9" t="str">
        <f t="shared" si="38"/>
        <v>Good</v>
      </c>
      <c r="J1260" s="2">
        <v>2</v>
      </c>
      <c r="K1260" s="2">
        <v>21.5</v>
      </c>
      <c r="L1260" s="2" t="s">
        <v>3</v>
      </c>
      <c r="M1260" s="2" t="s">
        <v>4</v>
      </c>
      <c r="N1260" s="5">
        <f>IF(ISBLANK('Raw sheet'!L1260),AVERAGE('Raw sheet'!$L$2:'Raw sheet'!$L$1500),'Raw sheet'!L1260)</f>
        <v>6.6</v>
      </c>
      <c r="O1260" s="5" t="str">
        <f>IF(Table1[[#This Row],[Stress_Index]]&gt;=8,"High",IF(N1260&gt;=5,"Medium","Low"))</f>
        <v>Medium</v>
      </c>
      <c r="P1260" s="3">
        <v>1.64</v>
      </c>
      <c r="Q1260" s="2">
        <v>1.92</v>
      </c>
      <c r="R1260" s="3">
        <v>1.96</v>
      </c>
      <c r="S1260" s="3" t="str">
        <f>IF(Table1[[#This Row],[CGPA]]&gt;=3,"High",IF(R1259&gt;=2,"Medium","Low"))</f>
        <v>Medium</v>
      </c>
      <c r="T1260" s="2" t="s">
        <v>7</v>
      </c>
      <c r="U1260" s="2" t="s">
        <v>14</v>
      </c>
      <c r="V1260" s="2" t="s">
        <v>15</v>
      </c>
      <c r="W1260" s="7">
        <v>1</v>
      </c>
      <c r="X1260" t="str">
        <f t="shared" si="39"/>
        <v>Dropped Out</v>
      </c>
    </row>
    <row r="1261" spans="1:24" x14ac:dyDescent="0.3">
      <c r="A1261" s="2">
        <v>1260</v>
      </c>
      <c r="B1261" s="7">
        <v>20.9</v>
      </c>
      <c r="C1261" s="2" t="s">
        <v>5</v>
      </c>
      <c r="D1261" s="7">
        <f>IF(ISBLANK('Raw sheet'!D1261),AVERAGE('Raw sheet'!$D$2:'Raw sheet'!$D$1500),'Raw sheet'!D1261)</f>
        <v>29000</v>
      </c>
      <c r="E1261" s="7" t="str">
        <f>IF(Table1[[#This Row],[Family_Income]]&gt;=100000,"Upper",IF(D1261&gt;=50000,"Middle","Lower"))</f>
        <v>Lower</v>
      </c>
      <c r="F1261" s="2" t="s">
        <v>4</v>
      </c>
      <c r="G1261" s="3">
        <f>IF(ISBLANK('Raw sheet'!F1261),AVERAGE('Raw sheet'!$F$2:'Raw sheet'!$F$1500),'Raw sheet'!F1261)</f>
        <v>4.99</v>
      </c>
      <c r="H1261" s="18">
        <v>80.8</v>
      </c>
      <c r="I1261" s="9" t="str">
        <f t="shared" si="38"/>
        <v>Good</v>
      </c>
      <c r="J1261" s="2">
        <v>3</v>
      </c>
      <c r="K1261" s="2">
        <v>27.2</v>
      </c>
      <c r="L1261" s="2" t="s">
        <v>3</v>
      </c>
      <c r="M1261" s="2" t="s">
        <v>3</v>
      </c>
      <c r="N1261" s="5">
        <f>IF(ISBLANK('Raw sheet'!L1261),AVERAGE('Raw sheet'!$L$2:'Raw sheet'!$L$1500),'Raw sheet'!L1261)</f>
        <v>6.6</v>
      </c>
      <c r="O1261" s="5" t="str">
        <f>IF(Table1[[#This Row],[Stress_Index]]&gt;=8,"High",IF(N1261&gt;=5,"Medium","Low"))</f>
        <v>Medium</v>
      </c>
      <c r="P1261" s="3">
        <v>2.3199999999999998</v>
      </c>
      <c r="Q1261" s="2">
        <v>2.77</v>
      </c>
      <c r="R1261" s="3">
        <v>2.77</v>
      </c>
      <c r="S1261" s="3" t="str">
        <f>IF(Table1[[#This Row],[CGPA]]&gt;=3,"High",IF(R1260&gt;=2,"Medium","Low"))</f>
        <v>Low</v>
      </c>
      <c r="T1261" s="2" t="s">
        <v>2</v>
      </c>
      <c r="U1261" s="2" t="s">
        <v>6</v>
      </c>
      <c r="V1261" s="2" t="s">
        <v>17</v>
      </c>
      <c r="W1261" s="7">
        <v>1</v>
      </c>
      <c r="X1261" t="str">
        <f t="shared" si="39"/>
        <v>Dropped Out</v>
      </c>
    </row>
    <row r="1262" spans="1:24" x14ac:dyDescent="0.3">
      <c r="A1262" s="2">
        <v>1261</v>
      </c>
      <c r="B1262" s="7">
        <v>22.2</v>
      </c>
      <c r="C1262" s="2" t="s">
        <v>11</v>
      </c>
      <c r="D1262" s="7">
        <f>IF(ISBLANK('Raw sheet'!D1262),AVERAGE('Raw sheet'!$D$2:'Raw sheet'!$D$1500),'Raw sheet'!D1262)</f>
        <v>62123</v>
      </c>
      <c r="E1262" s="7" t="str">
        <f>IF(Table1[[#This Row],[Family_Income]]&gt;=100000,"Upper",IF(D1262&gt;=50000,"Middle","Lower"))</f>
        <v>Middle</v>
      </c>
      <c r="F1262" s="2" t="s">
        <v>4</v>
      </c>
      <c r="G1262" s="3">
        <f>IF(ISBLANK('Raw sheet'!F1262),AVERAGE('Raw sheet'!$F$2:'Raw sheet'!$F$1500),'Raw sheet'!F1262)</f>
        <v>4.47</v>
      </c>
      <c r="H1262" s="18">
        <v>87.3</v>
      </c>
      <c r="I1262" s="9" t="str">
        <f t="shared" si="38"/>
        <v>Good</v>
      </c>
      <c r="J1262" s="2">
        <v>3</v>
      </c>
      <c r="K1262" s="2">
        <v>32.700000000000003</v>
      </c>
      <c r="L1262" s="2" t="s">
        <v>4</v>
      </c>
      <c r="M1262" s="2" t="s">
        <v>4</v>
      </c>
      <c r="N1262" s="5">
        <f>IF(ISBLANK('Raw sheet'!L1262),AVERAGE('Raw sheet'!$L$2:'Raw sheet'!$L$1500),'Raw sheet'!L1262)</f>
        <v>1.9</v>
      </c>
      <c r="O1262" s="5" t="str">
        <f>IF(Table1[[#This Row],[Stress_Index]]&gt;=8,"High",IF(N1262&gt;=5,"Medium","Low"))</f>
        <v>Low</v>
      </c>
      <c r="P1262" s="3">
        <v>4</v>
      </c>
      <c r="Q1262" s="2">
        <v>3.28</v>
      </c>
      <c r="R1262" s="3">
        <v>3.27</v>
      </c>
      <c r="S1262" s="3" t="str">
        <f>IF(Table1[[#This Row],[CGPA]]&gt;=3,"High",IF(R1261&gt;=2,"Medium","Low"))</f>
        <v>High</v>
      </c>
      <c r="T1262" s="2" t="s">
        <v>12</v>
      </c>
      <c r="U1262" s="2" t="s">
        <v>1</v>
      </c>
      <c r="V1262" s="2" t="s">
        <v>0</v>
      </c>
      <c r="W1262" s="7">
        <v>0</v>
      </c>
      <c r="X1262" t="str">
        <f t="shared" si="39"/>
        <v>Active</v>
      </c>
    </row>
    <row r="1263" spans="1:24" x14ac:dyDescent="0.3">
      <c r="A1263" s="2">
        <v>1262</v>
      </c>
      <c r="B1263" s="7">
        <v>21.2</v>
      </c>
      <c r="C1263" s="2" t="s">
        <v>11</v>
      </c>
      <c r="D1263" s="7">
        <f>IF(ISBLANK('Raw sheet'!D1263),AVERAGE('Raw sheet'!$D$2:'Raw sheet'!$D$1500),'Raw sheet'!D1263)</f>
        <v>38587.00282087447</v>
      </c>
      <c r="E1263" s="7" t="str">
        <f>IF(Table1[[#This Row],[Family_Income]]&gt;=100000,"Upper",IF(D1263&gt;=50000,"Middle","Lower"))</f>
        <v>Lower</v>
      </c>
      <c r="F1263" s="2" t="s">
        <v>4</v>
      </c>
      <c r="G1263" s="3">
        <f>IF(ISBLANK('Raw sheet'!F1263),AVERAGE('Raw sheet'!$F$2:'Raw sheet'!$F$1500),'Raw sheet'!F1263)</f>
        <v>4.0178702397743278</v>
      </c>
      <c r="H1263" s="18">
        <v>64.5</v>
      </c>
      <c r="I1263" s="9" t="str">
        <f t="shared" si="38"/>
        <v>Low</v>
      </c>
      <c r="J1263" s="2">
        <v>6</v>
      </c>
      <c r="K1263" s="2">
        <v>20.3</v>
      </c>
      <c r="L1263" s="2" t="s">
        <v>3</v>
      </c>
      <c r="M1263" s="2" t="s">
        <v>3</v>
      </c>
      <c r="N1263" s="5">
        <f>IF(ISBLANK('Raw sheet'!L1263),AVERAGE('Raw sheet'!$L$2:'Raw sheet'!$L$1500),'Raw sheet'!L1263)</f>
        <v>5.5242595204513369</v>
      </c>
      <c r="O1263" s="5" t="str">
        <f>IF(Table1[[#This Row],[Stress_Index]]&gt;=8,"High",IF(N1263&gt;=5,"Medium","Low"))</f>
        <v>Medium</v>
      </c>
      <c r="P1263" s="3">
        <v>2.04</v>
      </c>
      <c r="Q1263" s="2">
        <v>2.13</v>
      </c>
      <c r="R1263" s="3">
        <v>2.0499999999999998</v>
      </c>
      <c r="S1263" s="3" t="str">
        <f>IF(Table1[[#This Row],[CGPA]]&gt;=3,"High",IF(R1262&gt;=2,"Medium","Low"))</f>
        <v>Medium</v>
      </c>
      <c r="T1263" s="2" t="s">
        <v>7</v>
      </c>
      <c r="U1263" s="2" t="s">
        <v>13</v>
      </c>
      <c r="V1263" s="2" t="s">
        <v>9</v>
      </c>
      <c r="W1263" s="7">
        <v>1</v>
      </c>
      <c r="X1263" t="str">
        <f t="shared" si="39"/>
        <v>Dropped Out</v>
      </c>
    </row>
    <row r="1264" spans="1:24" x14ac:dyDescent="0.3">
      <c r="A1264" s="2">
        <v>1263</v>
      </c>
      <c r="B1264" s="7">
        <v>22.2</v>
      </c>
      <c r="C1264" s="2" t="s">
        <v>5</v>
      </c>
      <c r="D1264" s="7">
        <f>IF(ISBLANK('Raw sheet'!D1264),AVERAGE('Raw sheet'!$D$2:'Raw sheet'!$D$1500),'Raw sheet'!D1264)</f>
        <v>25000</v>
      </c>
      <c r="E1264" s="7" t="str">
        <f>IF(Table1[[#This Row],[Family_Income]]&gt;=100000,"Upper",IF(D1264&gt;=50000,"Middle","Lower"))</f>
        <v>Lower</v>
      </c>
      <c r="F1264" s="2" t="s">
        <v>4</v>
      </c>
      <c r="G1264" s="3">
        <f>IF(ISBLANK('Raw sheet'!F1264),AVERAGE('Raw sheet'!$F$2:'Raw sheet'!$F$1500),'Raw sheet'!F1264)</f>
        <v>3.47</v>
      </c>
      <c r="H1264" s="18">
        <v>70.7</v>
      </c>
      <c r="I1264" s="9" t="str">
        <f t="shared" si="38"/>
        <v>Low</v>
      </c>
      <c r="J1264" s="2">
        <v>1</v>
      </c>
      <c r="K1264" s="2">
        <v>8.6</v>
      </c>
      <c r="L1264" s="2" t="s">
        <v>3</v>
      </c>
      <c r="M1264" s="2" t="s">
        <v>3</v>
      </c>
      <c r="N1264" s="5">
        <f>IF(ISBLANK('Raw sheet'!L1264),AVERAGE('Raw sheet'!$L$2:'Raw sheet'!$L$1500),'Raw sheet'!L1264)</f>
        <v>6</v>
      </c>
      <c r="O1264" s="5" t="str">
        <f>IF(Table1[[#This Row],[Stress_Index]]&gt;=8,"High",IF(N1264&gt;=5,"Medium","Low"))</f>
        <v>Medium</v>
      </c>
      <c r="P1264" s="3">
        <v>1.46</v>
      </c>
      <c r="Q1264" s="2">
        <v>1.62</v>
      </c>
      <c r="R1264" s="3">
        <v>1.61</v>
      </c>
      <c r="S1264" s="3" t="str">
        <f>IF(Table1[[#This Row],[CGPA]]&gt;=3,"High",IF(R1263&gt;=2,"Medium","Low"))</f>
        <v>Medium</v>
      </c>
      <c r="T1264" s="2" t="s">
        <v>12</v>
      </c>
      <c r="U1264" s="2" t="s">
        <v>6</v>
      </c>
      <c r="V1264" s="2" t="s">
        <v>15</v>
      </c>
      <c r="W1264" s="7">
        <v>0</v>
      </c>
      <c r="X1264" t="str">
        <f t="shared" si="39"/>
        <v>Active</v>
      </c>
    </row>
    <row r="1265" spans="1:24" x14ac:dyDescent="0.3">
      <c r="A1265" s="2">
        <v>1264</v>
      </c>
      <c r="B1265" s="7">
        <v>19</v>
      </c>
      <c r="C1265" s="2" t="s">
        <v>11</v>
      </c>
      <c r="D1265" s="7">
        <f>IF(ISBLANK('Raw sheet'!D1265),AVERAGE('Raw sheet'!$D$2:'Raw sheet'!$D$1500),'Raw sheet'!D1265)</f>
        <v>25000</v>
      </c>
      <c r="E1265" s="7" t="str">
        <f>IF(Table1[[#This Row],[Family_Income]]&gt;=100000,"Upper",IF(D1265&gt;=50000,"Middle","Lower"))</f>
        <v>Lower</v>
      </c>
      <c r="F1265" s="2" t="s">
        <v>4</v>
      </c>
      <c r="G1265" s="3">
        <f>IF(ISBLANK('Raw sheet'!F1265),AVERAGE('Raw sheet'!$F$2:'Raw sheet'!$F$1500),'Raw sheet'!F1265)</f>
        <v>2.87</v>
      </c>
      <c r="H1265" s="18">
        <v>87.3</v>
      </c>
      <c r="I1265" s="9" t="str">
        <f t="shared" si="38"/>
        <v>Good</v>
      </c>
      <c r="J1265" s="2">
        <v>3</v>
      </c>
      <c r="K1265" s="2">
        <v>35.4</v>
      </c>
      <c r="L1265" s="2" t="s">
        <v>3</v>
      </c>
      <c r="M1265" s="2" t="s">
        <v>3</v>
      </c>
      <c r="N1265" s="5">
        <f>IF(ISBLANK('Raw sheet'!L1265),AVERAGE('Raw sheet'!$L$2:'Raw sheet'!$L$1500),'Raw sheet'!L1265)</f>
        <v>7.5</v>
      </c>
      <c r="O1265" s="5" t="str">
        <f>IF(Table1[[#This Row],[Stress_Index]]&gt;=8,"High",IF(N1265&gt;=5,"Medium","Low"))</f>
        <v>Medium</v>
      </c>
      <c r="P1265" s="3">
        <v>1.0900000000000001</v>
      </c>
      <c r="Q1265" s="2">
        <v>0.76</v>
      </c>
      <c r="R1265" s="3">
        <v>0.75</v>
      </c>
      <c r="S1265" s="3" t="str">
        <f>IF(Table1[[#This Row],[CGPA]]&gt;=3,"High",IF(R1264&gt;=2,"Medium","Low"))</f>
        <v>Low</v>
      </c>
      <c r="T1265" s="2" t="s">
        <v>12</v>
      </c>
      <c r="U1265" s="2" t="s">
        <v>13</v>
      </c>
      <c r="V1265" s="2" t="s">
        <v>9</v>
      </c>
      <c r="W1265" s="7">
        <v>0</v>
      </c>
      <c r="X1265" t="str">
        <f t="shared" si="39"/>
        <v>Active</v>
      </c>
    </row>
    <row r="1266" spans="1:24" x14ac:dyDescent="0.3">
      <c r="A1266" s="2">
        <v>1265</v>
      </c>
      <c r="B1266" s="7">
        <v>21.4</v>
      </c>
      <c r="C1266" s="2" t="s">
        <v>5</v>
      </c>
      <c r="D1266" s="7">
        <f>IF(ISBLANK('Raw sheet'!D1266),AVERAGE('Raw sheet'!$D$2:'Raw sheet'!$D$1500),'Raw sheet'!D1266)</f>
        <v>25000</v>
      </c>
      <c r="E1266" s="7" t="str">
        <f>IF(Table1[[#This Row],[Family_Income]]&gt;=100000,"Upper",IF(D1266&gt;=50000,"Middle","Lower"))</f>
        <v>Lower</v>
      </c>
      <c r="F1266" s="2" t="s">
        <v>4</v>
      </c>
      <c r="G1266" s="3">
        <f>IF(ISBLANK('Raw sheet'!F1266),AVERAGE('Raw sheet'!$F$2:'Raw sheet'!$F$1500),'Raw sheet'!F1266)</f>
        <v>4.45</v>
      </c>
      <c r="H1266" s="18">
        <v>82.2</v>
      </c>
      <c r="I1266" s="9" t="str">
        <f t="shared" si="38"/>
        <v>Good</v>
      </c>
      <c r="J1266" s="2">
        <v>0</v>
      </c>
      <c r="K1266" s="2">
        <v>5</v>
      </c>
      <c r="L1266" s="2" t="s">
        <v>4</v>
      </c>
      <c r="M1266" s="2" t="s">
        <v>3</v>
      </c>
      <c r="N1266" s="5">
        <f>IF(ISBLANK('Raw sheet'!L1266),AVERAGE('Raw sheet'!$L$2:'Raw sheet'!$L$1500),'Raw sheet'!L1266)</f>
        <v>5.3</v>
      </c>
      <c r="O1266" s="5" t="str">
        <f>IF(Table1[[#This Row],[Stress_Index]]&gt;=8,"High",IF(N1266&gt;=5,"Medium","Low"))</f>
        <v>Medium</v>
      </c>
      <c r="P1266" s="3">
        <v>2.79</v>
      </c>
      <c r="Q1266" s="2">
        <v>3.09</v>
      </c>
      <c r="R1266" s="3">
        <v>3.09</v>
      </c>
      <c r="S1266" s="3" t="str">
        <f>IF(Table1[[#This Row],[CGPA]]&gt;=3,"High",IF(R1265&gt;=2,"Medium","Low"))</f>
        <v>High</v>
      </c>
      <c r="T1266" s="2" t="s">
        <v>2</v>
      </c>
      <c r="U1266" s="2" t="s">
        <v>1</v>
      </c>
      <c r="V1266" s="2" t="s">
        <v>0</v>
      </c>
      <c r="W1266" s="7">
        <v>0</v>
      </c>
      <c r="X1266" t="str">
        <f t="shared" si="39"/>
        <v>Active</v>
      </c>
    </row>
    <row r="1267" spans="1:24" x14ac:dyDescent="0.3">
      <c r="A1267" s="2">
        <v>1266</v>
      </c>
      <c r="B1267" s="7">
        <v>17.899999999999999</v>
      </c>
      <c r="C1267" s="2" t="s">
        <v>11</v>
      </c>
      <c r="D1267" s="7">
        <f>IF(ISBLANK('Raw sheet'!D1267),AVERAGE('Raw sheet'!$D$2:'Raw sheet'!$D$1500),'Raw sheet'!D1267)</f>
        <v>25000</v>
      </c>
      <c r="E1267" s="7" t="str">
        <f>IF(Table1[[#This Row],[Family_Income]]&gt;=100000,"Upper",IF(D1267&gt;=50000,"Middle","Lower"))</f>
        <v>Lower</v>
      </c>
      <c r="F1267" s="2" t="s">
        <v>4</v>
      </c>
      <c r="G1267" s="3">
        <f>IF(ISBLANK('Raw sheet'!F1267),AVERAGE('Raw sheet'!$F$2:'Raw sheet'!$F$1500),'Raw sheet'!F1267)</f>
        <v>4.5599999999999996</v>
      </c>
      <c r="H1267" s="18">
        <v>66</v>
      </c>
      <c r="I1267" s="9" t="str">
        <f t="shared" si="38"/>
        <v>Low</v>
      </c>
      <c r="J1267" s="2">
        <v>0</v>
      </c>
      <c r="K1267" s="2">
        <v>18.899999999999999</v>
      </c>
      <c r="L1267" s="2" t="s">
        <v>4</v>
      </c>
      <c r="M1267" s="2" t="s">
        <v>3</v>
      </c>
      <c r="N1267" s="5">
        <f>IF(ISBLANK('Raw sheet'!L1267),AVERAGE('Raw sheet'!$L$2:'Raw sheet'!$L$1500),'Raw sheet'!L1267)</f>
        <v>5.8</v>
      </c>
      <c r="O1267" s="5" t="str">
        <f>IF(Table1[[#This Row],[Stress_Index]]&gt;=8,"High",IF(N1267&gt;=5,"Medium","Low"))</f>
        <v>Medium</v>
      </c>
      <c r="P1267" s="3">
        <v>0.94</v>
      </c>
      <c r="Q1267" s="2">
        <v>0.95</v>
      </c>
      <c r="R1267" s="3">
        <v>0.95</v>
      </c>
      <c r="S1267" s="3" t="str">
        <f>IF(Table1[[#This Row],[CGPA]]&gt;=3,"High",IF(R1266&gt;=2,"Medium","Low"))</f>
        <v>Medium</v>
      </c>
      <c r="T1267" s="2" t="s">
        <v>2</v>
      </c>
      <c r="U1267" s="2" t="s">
        <v>8</v>
      </c>
      <c r="V1267" s="2" t="s">
        <v>15</v>
      </c>
      <c r="W1267" s="7">
        <v>1</v>
      </c>
      <c r="X1267" t="str">
        <f t="shared" si="39"/>
        <v>Dropped Out</v>
      </c>
    </row>
    <row r="1268" spans="1:24" x14ac:dyDescent="0.3">
      <c r="A1268" s="2">
        <v>1267</v>
      </c>
      <c r="B1268" s="7">
        <v>20.8</v>
      </c>
      <c r="C1268" s="2" t="s">
        <v>11</v>
      </c>
      <c r="D1268" s="7">
        <f>IF(ISBLANK('Raw sheet'!D1268),AVERAGE('Raw sheet'!$D$2:'Raw sheet'!$D$1500),'Raw sheet'!D1268)</f>
        <v>38866</v>
      </c>
      <c r="E1268" s="7" t="str">
        <f>IF(Table1[[#This Row],[Family_Income]]&gt;=100000,"Upper",IF(D1268&gt;=50000,"Middle","Lower"))</f>
        <v>Lower</v>
      </c>
      <c r="F1268" s="2" t="s">
        <v>4</v>
      </c>
      <c r="G1268" s="3">
        <f>IF(ISBLANK('Raw sheet'!F1268),AVERAGE('Raw sheet'!$F$2:'Raw sheet'!$F$1500),'Raw sheet'!F1268)</f>
        <v>3.22</v>
      </c>
      <c r="H1268" s="18">
        <v>76.900000000000006</v>
      </c>
      <c r="I1268" s="9" t="str">
        <f t="shared" si="38"/>
        <v>Good</v>
      </c>
      <c r="J1268" s="2">
        <v>3</v>
      </c>
      <c r="K1268" s="2">
        <v>39.299999999999997</v>
      </c>
      <c r="L1268" s="2" t="s">
        <v>3</v>
      </c>
      <c r="M1268" s="2" t="s">
        <v>3</v>
      </c>
      <c r="N1268" s="5">
        <f>IF(ISBLANK('Raw sheet'!L1268),AVERAGE('Raw sheet'!$L$2:'Raw sheet'!$L$1500),'Raw sheet'!L1268)</f>
        <v>5.4</v>
      </c>
      <c r="O1268" s="5" t="str">
        <f>IF(Table1[[#This Row],[Stress_Index]]&gt;=8,"High",IF(N1268&gt;=5,"Medium","Low"))</f>
        <v>Medium</v>
      </c>
      <c r="P1268" s="3">
        <v>2.02</v>
      </c>
      <c r="Q1268" s="2">
        <v>1.73</v>
      </c>
      <c r="R1268" s="3">
        <v>1.73</v>
      </c>
      <c r="S1268" s="3" t="str">
        <f>IF(Table1[[#This Row],[CGPA]]&gt;=3,"High",IF(R1267&gt;=2,"Medium","Low"))</f>
        <v>Low</v>
      </c>
      <c r="T1268" s="2" t="s">
        <v>7</v>
      </c>
      <c r="U1268" s="2" t="s">
        <v>6</v>
      </c>
      <c r="V1268" s="2" t="s">
        <v>9</v>
      </c>
      <c r="W1268" s="7">
        <v>1</v>
      </c>
      <c r="X1268" t="str">
        <f t="shared" si="39"/>
        <v>Dropped Out</v>
      </c>
    </row>
    <row r="1269" spans="1:24" x14ac:dyDescent="0.3">
      <c r="A1269" s="2">
        <v>1268</v>
      </c>
      <c r="B1269" s="7">
        <v>19</v>
      </c>
      <c r="C1269" s="2" t="s">
        <v>5</v>
      </c>
      <c r="D1269" s="7">
        <f>IF(ISBLANK('Raw sheet'!D1269),AVERAGE('Raw sheet'!$D$2:'Raw sheet'!$D$1500),'Raw sheet'!D1269)</f>
        <v>27917</v>
      </c>
      <c r="E1269" s="7" t="str">
        <f>IF(Table1[[#This Row],[Family_Income]]&gt;=100000,"Upper",IF(D1269&gt;=50000,"Middle","Lower"))</f>
        <v>Lower</v>
      </c>
      <c r="F1269" s="2" t="s">
        <v>4</v>
      </c>
      <c r="G1269" s="3">
        <f>IF(ISBLANK('Raw sheet'!F1269),AVERAGE('Raw sheet'!$F$2:'Raw sheet'!$F$1500),'Raw sheet'!F1269)</f>
        <v>1.87</v>
      </c>
      <c r="H1269" s="18">
        <v>78.900000000000006</v>
      </c>
      <c r="I1269" s="9" t="str">
        <f t="shared" si="38"/>
        <v>Good</v>
      </c>
      <c r="J1269" s="2">
        <v>1</v>
      </c>
      <c r="K1269" s="2">
        <v>35</v>
      </c>
      <c r="L1269" s="2" t="s">
        <v>3</v>
      </c>
      <c r="M1269" s="2" t="s">
        <v>4</v>
      </c>
      <c r="N1269" s="5">
        <f>IF(ISBLANK('Raw sheet'!L1269),AVERAGE('Raw sheet'!$L$2:'Raw sheet'!$L$1500),'Raw sheet'!L1269)</f>
        <v>6</v>
      </c>
      <c r="O1269" s="5" t="str">
        <f>IF(Table1[[#This Row],[Stress_Index]]&gt;=8,"High",IF(N1269&gt;=5,"Medium","Low"))</f>
        <v>Medium</v>
      </c>
      <c r="P1269" s="3">
        <v>0.51</v>
      </c>
      <c r="Q1269" s="2">
        <v>0.81</v>
      </c>
      <c r="R1269" s="3">
        <v>0.76</v>
      </c>
      <c r="S1269" s="3" t="str">
        <f>IF(Table1[[#This Row],[CGPA]]&gt;=3,"High",IF(R1268&gt;=2,"Medium","Low"))</f>
        <v>Low</v>
      </c>
      <c r="T1269" s="2" t="s">
        <v>12</v>
      </c>
      <c r="U1269" s="2" t="s">
        <v>14</v>
      </c>
      <c r="V1269" s="2" t="s">
        <v>9</v>
      </c>
      <c r="W1269" s="7">
        <v>1</v>
      </c>
      <c r="X1269" t="str">
        <f t="shared" si="39"/>
        <v>Dropped Out</v>
      </c>
    </row>
    <row r="1270" spans="1:24" x14ac:dyDescent="0.3">
      <c r="A1270" s="2">
        <v>1269</v>
      </c>
      <c r="B1270" s="7">
        <v>19.399999999999999</v>
      </c>
      <c r="C1270" s="2" t="s">
        <v>11</v>
      </c>
      <c r="D1270" s="7">
        <f>IF(ISBLANK('Raw sheet'!D1270),AVERAGE('Raw sheet'!$D$2:'Raw sheet'!$D$1500),'Raw sheet'!D1270)</f>
        <v>25000</v>
      </c>
      <c r="E1270" s="7" t="str">
        <f>IF(Table1[[#This Row],[Family_Income]]&gt;=100000,"Upper",IF(D1270&gt;=50000,"Middle","Lower"))</f>
        <v>Lower</v>
      </c>
      <c r="F1270" s="2" t="s">
        <v>4</v>
      </c>
      <c r="G1270" s="3">
        <f>IF(ISBLANK('Raw sheet'!F1270),AVERAGE('Raw sheet'!$F$2:'Raw sheet'!$F$1500),'Raw sheet'!F1270)</f>
        <v>7.66</v>
      </c>
      <c r="H1270" s="18">
        <v>78.099999999999994</v>
      </c>
      <c r="I1270" s="9" t="str">
        <f t="shared" si="38"/>
        <v>Good</v>
      </c>
      <c r="J1270" s="2">
        <v>4</v>
      </c>
      <c r="K1270" s="2">
        <v>28.1</v>
      </c>
      <c r="L1270" s="2" t="s">
        <v>4</v>
      </c>
      <c r="M1270" s="2" t="s">
        <v>3</v>
      </c>
      <c r="N1270" s="5">
        <f>IF(ISBLANK('Raw sheet'!L1270),AVERAGE('Raw sheet'!$L$2:'Raw sheet'!$L$1500),'Raw sheet'!L1270)</f>
        <v>3</v>
      </c>
      <c r="O1270" s="5" t="str">
        <f>IF(Table1[[#This Row],[Stress_Index]]&gt;=8,"High",IF(N1270&gt;=5,"Medium","Low"))</f>
        <v>Low</v>
      </c>
      <c r="P1270" s="3">
        <v>3.11</v>
      </c>
      <c r="Q1270" s="2">
        <v>3.16</v>
      </c>
      <c r="R1270" s="3">
        <v>3.16</v>
      </c>
      <c r="S1270" s="3" t="str">
        <f>IF(Table1[[#This Row],[CGPA]]&gt;=3,"High",IF(R1269&gt;=2,"Medium","Low"))</f>
        <v>High</v>
      </c>
      <c r="T1270" s="2" t="s">
        <v>12</v>
      </c>
      <c r="U1270" s="2" t="s">
        <v>14</v>
      </c>
      <c r="V1270" s="2" t="s">
        <v>17</v>
      </c>
      <c r="W1270" s="7">
        <v>0</v>
      </c>
      <c r="X1270" t="str">
        <f t="shared" si="39"/>
        <v>Active</v>
      </c>
    </row>
    <row r="1271" spans="1:24" x14ac:dyDescent="0.3">
      <c r="A1271" s="2">
        <v>1270</v>
      </c>
      <c r="B1271" s="7">
        <v>23.7</v>
      </c>
      <c r="C1271" s="2" t="s">
        <v>11</v>
      </c>
      <c r="D1271" s="7">
        <f>IF(ISBLANK('Raw sheet'!D1271),AVERAGE('Raw sheet'!$D$2:'Raw sheet'!$D$1500),'Raw sheet'!D1271)</f>
        <v>57674</v>
      </c>
      <c r="E1271" s="7" t="str">
        <f>IF(Table1[[#This Row],[Family_Income]]&gt;=100000,"Upper",IF(D1271&gt;=50000,"Middle","Lower"))</f>
        <v>Middle</v>
      </c>
      <c r="F1271" s="2" t="s">
        <v>4</v>
      </c>
      <c r="G1271" s="3">
        <f>IF(ISBLANK('Raw sheet'!F1271),AVERAGE('Raw sheet'!$F$2:'Raw sheet'!$F$1500),'Raw sheet'!F1271)</f>
        <v>4.42</v>
      </c>
      <c r="H1271" s="18">
        <v>89.5</v>
      </c>
      <c r="I1271" s="9" t="str">
        <f t="shared" si="38"/>
        <v>Good</v>
      </c>
      <c r="J1271" s="2">
        <v>0</v>
      </c>
      <c r="K1271" s="2">
        <v>19.3</v>
      </c>
      <c r="L1271" s="2" t="s">
        <v>3</v>
      </c>
      <c r="M1271" s="2" t="s">
        <v>3</v>
      </c>
      <c r="N1271" s="5">
        <f>IF(ISBLANK('Raw sheet'!L1271),AVERAGE('Raw sheet'!$L$2:'Raw sheet'!$L$1500),'Raw sheet'!L1271)</f>
        <v>4.4000000000000004</v>
      </c>
      <c r="O1271" s="5" t="str">
        <f>IF(Table1[[#This Row],[Stress_Index]]&gt;=8,"High",IF(N1271&gt;=5,"Medium","Low"))</f>
        <v>Low</v>
      </c>
      <c r="P1271" s="3">
        <v>2.77</v>
      </c>
      <c r="Q1271" s="2">
        <v>2.97</v>
      </c>
      <c r="R1271" s="3">
        <v>3</v>
      </c>
      <c r="S1271" s="3" t="str">
        <f>IF(Table1[[#This Row],[CGPA]]&gt;=3,"High",IF(R1270&gt;=2,"Medium","Low"))</f>
        <v>High</v>
      </c>
      <c r="T1271" s="2" t="s">
        <v>12</v>
      </c>
      <c r="U1271" s="2" t="s">
        <v>14</v>
      </c>
      <c r="V1271" s="2" t="s">
        <v>0</v>
      </c>
      <c r="W1271" s="7">
        <v>0</v>
      </c>
      <c r="X1271" t="str">
        <f t="shared" si="39"/>
        <v>Active</v>
      </c>
    </row>
    <row r="1272" spans="1:24" x14ac:dyDescent="0.3">
      <c r="A1272" s="2">
        <v>1271</v>
      </c>
      <c r="B1272" s="7">
        <v>23.4</v>
      </c>
      <c r="C1272" s="2" t="s">
        <v>5</v>
      </c>
      <c r="D1272" s="7">
        <f>IF(ISBLANK('Raw sheet'!D1272),AVERAGE('Raw sheet'!$D$2:'Raw sheet'!$D$1500),'Raw sheet'!D1272)</f>
        <v>32346</v>
      </c>
      <c r="E1272" s="7" t="str">
        <f>IF(Table1[[#This Row],[Family_Income]]&gt;=100000,"Upper",IF(D1272&gt;=50000,"Middle","Lower"))</f>
        <v>Lower</v>
      </c>
      <c r="F1272" s="2" t="s">
        <v>4</v>
      </c>
      <c r="G1272" s="3">
        <f>IF(ISBLANK('Raw sheet'!F1272),AVERAGE('Raw sheet'!$F$2:'Raw sheet'!$F$1500),'Raw sheet'!F1272)</f>
        <v>4.42</v>
      </c>
      <c r="H1272" s="18">
        <v>92.1</v>
      </c>
      <c r="I1272" s="9" t="str">
        <f t="shared" si="38"/>
        <v>Good</v>
      </c>
      <c r="J1272" s="2">
        <v>3</v>
      </c>
      <c r="K1272" s="2">
        <v>24.8</v>
      </c>
      <c r="L1272" s="2" t="s">
        <v>4</v>
      </c>
      <c r="M1272" s="2" t="s">
        <v>4</v>
      </c>
      <c r="N1272" s="5">
        <f>IF(ISBLANK('Raw sheet'!L1272),AVERAGE('Raw sheet'!$L$2:'Raw sheet'!$L$1500),'Raw sheet'!L1272)</f>
        <v>1.5</v>
      </c>
      <c r="O1272" s="5" t="str">
        <f>IF(Table1[[#This Row],[Stress_Index]]&gt;=8,"High",IF(N1272&gt;=5,"Medium","Low"))</f>
        <v>Low</v>
      </c>
      <c r="P1272" s="3">
        <v>3.92</v>
      </c>
      <c r="Q1272" s="2">
        <v>4</v>
      </c>
      <c r="R1272" s="3">
        <v>3.98</v>
      </c>
      <c r="S1272" s="3" t="str">
        <f>IF(Table1[[#This Row],[CGPA]]&gt;=3,"High",IF(R1271&gt;=2,"Medium","Low"))</f>
        <v>High</v>
      </c>
      <c r="T1272" s="2" t="s">
        <v>12</v>
      </c>
      <c r="U1272" s="2" t="s">
        <v>13</v>
      </c>
      <c r="V1272" s="2" t="s">
        <v>15</v>
      </c>
      <c r="W1272" s="7">
        <v>0</v>
      </c>
      <c r="X1272" t="str">
        <f t="shared" si="39"/>
        <v>Active</v>
      </c>
    </row>
    <row r="1273" spans="1:24" x14ac:dyDescent="0.3">
      <c r="A1273" s="2">
        <v>1272</v>
      </c>
      <c r="B1273" s="7">
        <v>22.3</v>
      </c>
      <c r="C1273" s="2" t="s">
        <v>11</v>
      </c>
      <c r="D1273" s="7">
        <f>IF(ISBLANK('Raw sheet'!D1273),AVERAGE('Raw sheet'!$D$2:'Raw sheet'!$D$1500),'Raw sheet'!D1273)</f>
        <v>38609</v>
      </c>
      <c r="E1273" s="7" t="str">
        <f>IF(Table1[[#This Row],[Family_Income]]&gt;=100000,"Upper",IF(D1273&gt;=50000,"Middle","Lower"))</f>
        <v>Lower</v>
      </c>
      <c r="F1273" s="2" t="s">
        <v>4</v>
      </c>
      <c r="G1273" s="3">
        <f>IF(ISBLANK('Raw sheet'!F1273),AVERAGE('Raw sheet'!$F$2:'Raw sheet'!$F$1500),'Raw sheet'!F1273)</f>
        <v>1.56</v>
      </c>
      <c r="H1273" s="18">
        <v>64.099999999999994</v>
      </c>
      <c r="I1273" s="9" t="str">
        <f t="shared" si="38"/>
        <v>Low</v>
      </c>
      <c r="J1273" s="2">
        <v>1</v>
      </c>
      <c r="K1273" s="2">
        <v>36.9</v>
      </c>
      <c r="L1273" s="2" t="s">
        <v>4</v>
      </c>
      <c r="M1273" s="2" t="s">
        <v>3</v>
      </c>
      <c r="N1273" s="5">
        <f>IF(ISBLANK('Raw sheet'!L1273),AVERAGE('Raw sheet'!$L$2:'Raw sheet'!$L$1500),'Raw sheet'!L1273)</f>
        <v>4.7</v>
      </c>
      <c r="O1273" s="5" t="str">
        <f>IF(Table1[[#This Row],[Stress_Index]]&gt;=8,"High",IF(N1273&gt;=5,"Medium","Low"))</f>
        <v>Low</v>
      </c>
      <c r="P1273" s="3">
        <v>2.2400000000000002</v>
      </c>
      <c r="Q1273" s="2">
        <v>2.21</v>
      </c>
      <c r="R1273" s="3">
        <v>2.21</v>
      </c>
      <c r="S1273" s="3" t="str">
        <f>IF(Table1[[#This Row],[CGPA]]&gt;=3,"High",IF(R1272&gt;=2,"Medium","Low"))</f>
        <v>Medium</v>
      </c>
      <c r="T1273" s="2" t="s">
        <v>2</v>
      </c>
      <c r="U1273" s="2" t="s">
        <v>14</v>
      </c>
      <c r="V1273" s="2" t="s">
        <v>9</v>
      </c>
      <c r="W1273" s="7">
        <v>0</v>
      </c>
      <c r="X1273" t="str">
        <f t="shared" si="39"/>
        <v>Active</v>
      </c>
    </row>
    <row r="1274" spans="1:24" x14ac:dyDescent="0.3">
      <c r="A1274" s="2">
        <v>1273</v>
      </c>
      <c r="B1274" s="7">
        <v>18.600000000000001</v>
      </c>
      <c r="C1274" s="2" t="s">
        <v>5</v>
      </c>
      <c r="D1274" s="7">
        <f>IF(ISBLANK('Raw sheet'!D1274),AVERAGE('Raw sheet'!$D$2:'Raw sheet'!$D$1500),'Raw sheet'!D1274)</f>
        <v>25000</v>
      </c>
      <c r="E1274" s="7" t="str">
        <f>IF(Table1[[#This Row],[Family_Income]]&gt;=100000,"Upper",IF(D1274&gt;=50000,"Middle","Lower"))</f>
        <v>Lower</v>
      </c>
      <c r="F1274" s="2" t="s">
        <v>4</v>
      </c>
      <c r="G1274" s="3">
        <f>IF(ISBLANK('Raw sheet'!F1274),AVERAGE('Raw sheet'!$F$2:'Raw sheet'!$F$1500),'Raw sheet'!F1274)</f>
        <v>4.9400000000000004</v>
      </c>
      <c r="H1274" s="18">
        <v>81</v>
      </c>
      <c r="I1274" s="9" t="str">
        <f t="shared" si="38"/>
        <v>Good</v>
      </c>
      <c r="J1274" s="2">
        <v>3</v>
      </c>
      <c r="K1274" s="2">
        <v>28.4</v>
      </c>
      <c r="L1274" s="2" t="s">
        <v>3</v>
      </c>
      <c r="M1274" s="2" t="s">
        <v>3</v>
      </c>
      <c r="N1274" s="5">
        <f>IF(ISBLANK('Raw sheet'!L1274),AVERAGE('Raw sheet'!$L$2:'Raw sheet'!$L$1500),'Raw sheet'!L1274)</f>
        <v>6.4</v>
      </c>
      <c r="O1274" s="5" t="str">
        <f>IF(Table1[[#This Row],[Stress_Index]]&gt;=8,"High",IF(N1274&gt;=5,"Medium","Low"))</f>
        <v>Medium</v>
      </c>
      <c r="P1274" s="3">
        <v>2.2400000000000002</v>
      </c>
      <c r="Q1274" s="2">
        <v>1.77</v>
      </c>
      <c r="R1274" s="3">
        <v>1.71</v>
      </c>
      <c r="S1274" s="3" t="str">
        <f>IF(Table1[[#This Row],[CGPA]]&gt;=3,"High",IF(R1273&gt;=2,"Medium","Low"))</f>
        <v>Medium</v>
      </c>
      <c r="T1274" s="2" t="s">
        <v>12</v>
      </c>
      <c r="U1274" s="2" t="s">
        <v>13</v>
      </c>
      <c r="V1274" s="2" t="s">
        <v>9</v>
      </c>
      <c r="W1274" s="7">
        <v>0</v>
      </c>
      <c r="X1274" t="str">
        <f t="shared" si="39"/>
        <v>Active</v>
      </c>
    </row>
    <row r="1275" spans="1:24" x14ac:dyDescent="0.3">
      <c r="A1275" s="2">
        <v>1274</v>
      </c>
      <c r="B1275" s="7">
        <v>20.3</v>
      </c>
      <c r="C1275" s="2" t="s">
        <v>5</v>
      </c>
      <c r="D1275" s="7">
        <f>IF(ISBLANK('Raw sheet'!D1275),AVERAGE('Raw sheet'!$D$2:'Raw sheet'!$D$1500),'Raw sheet'!D1275)</f>
        <v>25000</v>
      </c>
      <c r="E1275" s="7" t="str">
        <f>IF(Table1[[#This Row],[Family_Income]]&gt;=100000,"Upper",IF(D1275&gt;=50000,"Middle","Lower"))</f>
        <v>Lower</v>
      </c>
      <c r="F1275" s="2" t="s">
        <v>4</v>
      </c>
      <c r="G1275" s="3">
        <f>IF(ISBLANK('Raw sheet'!F1275),AVERAGE('Raw sheet'!$F$2:'Raw sheet'!$F$1500),'Raw sheet'!F1275)</f>
        <v>5.38</v>
      </c>
      <c r="H1275" s="18">
        <v>82.9</v>
      </c>
      <c r="I1275" s="9" t="str">
        <f t="shared" si="38"/>
        <v>Good</v>
      </c>
      <c r="J1275" s="2">
        <v>3</v>
      </c>
      <c r="K1275" s="2">
        <v>15.2</v>
      </c>
      <c r="L1275" s="2" t="s">
        <v>4</v>
      </c>
      <c r="M1275" s="2" t="s">
        <v>3</v>
      </c>
      <c r="N1275" s="5">
        <f>IF(ISBLANK('Raw sheet'!L1275),AVERAGE('Raw sheet'!$L$2:'Raw sheet'!$L$1500),'Raw sheet'!L1275)</f>
        <v>4.0999999999999996</v>
      </c>
      <c r="O1275" s="5" t="str">
        <f>IF(Table1[[#This Row],[Stress_Index]]&gt;=8,"High",IF(N1275&gt;=5,"Medium","Low"))</f>
        <v>Low</v>
      </c>
      <c r="P1275" s="3">
        <v>3.69</v>
      </c>
      <c r="Q1275" s="2">
        <v>3.54</v>
      </c>
      <c r="R1275" s="3">
        <v>3.54</v>
      </c>
      <c r="S1275" s="3" t="str">
        <f>IF(Table1[[#This Row],[CGPA]]&gt;=3,"High",IF(R1274&gt;=2,"Medium","Low"))</f>
        <v>High</v>
      </c>
      <c r="T1275" s="2" t="s">
        <v>2</v>
      </c>
      <c r="U1275" s="2" t="s">
        <v>8</v>
      </c>
      <c r="V1275" s="2" t="s">
        <v>17</v>
      </c>
      <c r="W1275" s="7">
        <v>0</v>
      </c>
      <c r="X1275" t="str">
        <f t="shared" si="39"/>
        <v>Active</v>
      </c>
    </row>
    <row r="1276" spans="1:24" x14ac:dyDescent="0.3">
      <c r="A1276" s="2">
        <v>1275</v>
      </c>
      <c r="B1276" s="7">
        <v>23.7</v>
      </c>
      <c r="C1276" s="2" t="s">
        <v>5</v>
      </c>
      <c r="D1276" s="7">
        <f>IF(ISBLANK('Raw sheet'!D1276),AVERAGE('Raw sheet'!$D$2:'Raw sheet'!$D$1500),'Raw sheet'!D1276)</f>
        <v>25000</v>
      </c>
      <c r="E1276" s="7" t="str">
        <f>IF(Table1[[#This Row],[Family_Income]]&gt;=100000,"Upper",IF(D1276&gt;=50000,"Middle","Lower"))</f>
        <v>Lower</v>
      </c>
      <c r="F1276" s="2" t="s">
        <v>4</v>
      </c>
      <c r="G1276" s="3">
        <f>IF(ISBLANK('Raw sheet'!F1276),AVERAGE('Raw sheet'!$F$2:'Raw sheet'!$F$1500),'Raw sheet'!F1276)</f>
        <v>4.4400000000000004</v>
      </c>
      <c r="H1276" s="18">
        <v>70.099999999999994</v>
      </c>
      <c r="I1276" s="9" t="str">
        <f t="shared" si="38"/>
        <v>Low</v>
      </c>
      <c r="J1276" s="2">
        <v>1</v>
      </c>
      <c r="K1276" s="2">
        <v>19.399999999999999</v>
      </c>
      <c r="L1276" s="2" t="s">
        <v>3</v>
      </c>
      <c r="M1276" s="2" t="s">
        <v>3</v>
      </c>
      <c r="N1276" s="5">
        <f>IF(ISBLANK('Raw sheet'!L1276),AVERAGE('Raw sheet'!$L$2:'Raw sheet'!$L$1500),'Raw sheet'!L1276)</f>
        <v>5</v>
      </c>
      <c r="O1276" s="5" t="str">
        <f>IF(Table1[[#This Row],[Stress_Index]]&gt;=8,"High",IF(N1276&gt;=5,"Medium","Low"))</f>
        <v>Medium</v>
      </c>
      <c r="P1276" s="3">
        <v>1.57</v>
      </c>
      <c r="Q1276" s="2">
        <v>1.71</v>
      </c>
      <c r="R1276" s="3">
        <v>1.7</v>
      </c>
      <c r="S1276" s="3" t="str">
        <f>IF(Table1[[#This Row],[CGPA]]&gt;=3,"High",IF(R1275&gt;=2,"Medium","Low"))</f>
        <v>Medium</v>
      </c>
      <c r="T1276" s="2" t="s">
        <v>7</v>
      </c>
      <c r="U1276" s="2" t="s">
        <v>6</v>
      </c>
      <c r="V1276" s="2" t="s">
        <v>0</v>
      </c>
      <c r="W1276" s="7">
        <v>0</v>
      </c>
      <c r="X1276" t="str">
        <f t="shared" si="39"/>
        <v>Active</v>
      </c>
    </row>
    <row r="1277" spans="1:24" x14ac:dyDescent="0.3">
      <c r="A1277" s="2">
        <v>1276</v>
      </c>
      <c r="B1277" s="7">
        <v>21.3</v>
      </c>
      <c r="C1277" s="2" t="s">
        <v>5</v>
      </c>
      <c r="D1277" s="7">
        <f>IF(ISBLANK('Raw sheet'!D1277),AVERAGE('Raw sheet'!$D$2:'Raw sheet'!$D$1500),'Raw sheet'!D1277)</f>
        <v>25000</v>
      </c>
      <c r="E1277" s="7" t="str">
        <f>IF(Table1[[#This Row],[Family_Income]]&gt;=100000,"Upper",IF(D1277&gt;=50000,"Middle","Lower"))</f>
        <v>Lower</v>
      </c>
      <c r="F1277" s="2" t="s">
        <v>4</v>
      </c>
      <c r="G1277" s="3">
        <f>IF(ISBLANK('Raw sheet'!F1277),AVERAGE('Raw sheet'!$F$2:'Raw sheet'!$F$1500),'Raw sheet'!F1277)</f>
        <v>4.17</v>
      </c>
      <c r="H1277" s="18">
        <v>92</v>
      </c>
      <c r="I1277" s="9" t="str">
        <f t="shared" si="38"/>
        <v>Good</v>
      </c>
      <c r="J1277" s="2">
        <v>3</v>
      </c>
      <c r="K1277" s="2">
        <v>24.8</v>
      </c>
      <c r="L1277" s="2" t="s">
        <v>4</v>
      </c>
      <c r="M1277" s="2" t="s">
        <v>3</v>
      </c>
      <c r="N1277" s="5">
        <f>IF(ISBLANK('Raw sheet'!L1277),AVERAGE('Raw sheet'!$L$2:'Raw sheet'!$L$1500),'Raw sheet'!L1277)</f>
        <v>6.2</v>
      </c>
      <c r="O1277" s="5" t="str">
        <f>IF(Table1[[#This Row],[Stress_Index]]&gt;=8,"High",IF(N1277&gt;=5,"Medium","Low"))</f>
        <v>Medium</v>
      </c>
      <c r="P1277" s="3">
        <v>3.19</v>
      </c>
      <c r="Q1277" s="2">
        <v>3.5</v>
      </c>
      <c r="R1277" s="3">
        <v>3.5</v>
      </c>
      <c r="S1277" s="3" t="str">
        <f>IF(Table1[[#This Row],[CGPA]]&gt;=3,"High",IF(R1276&gt;=2,"Medium","Low"))</f>
        <v>High</v>
      </c>
      <c r="T1277" s="2" t="s">
        <v>2</v>
      </c>
      <c r="U1277" s="2" t="s">
        <v>6</v>
      </c>
      <c r="V1277" s="2" t="s">
        <v>9</v>
      </c>
      <c r="W1277" s="7">
        <v>0</v>
      </c>
      <c r="X1277" t="str">
        <f t="shared" si="39"/>
        <v>Active</v>
      </c>
    </row>
    <row r="1278" spans="1:24" x14ac:dyDescent="0.3">
      <c r="A1278" s="2">
        <v>1277</v>
      </c>
      <c r="B1278" s="7">
        <v>26.1</v>
      </c>
      <c r="C1278" s="2" t="s">
        <v>5</v>
      </c>
      <c r="D1278" s="7">
        <f>IF(ISBLANK('Raw sheet'!D1278),AVERAGE('Raw sheet'!$D$2:'Raw sheet'!$D$1500),'Raw sheet'!D1278)</f>
        <v>42016</v>
      </c>
      <c r="E1278" s="7" t="str">
        <f>IF(Table1[[#This Row],[Family_Income]]&gt;=100000,"Upper",IF(D1278&gt;=50000,"Middle","Lower"))</f>
        <v>Lower</v>
      </c>
      <c r="F1278" s="2" t="s">
        <v>4</v>
      </c>
      <c r="G1278" s="3">
        <f>IF(ISBLANK('Raw sheet'!F1278),AVERAGE('Raw sheet'!$F$2:'Raw sheet'!$F$1500),'Raw sheet'!F1278)</f>
        <v>4.18</v>
      </c>
      <c r="H1278" s="18">
        <v>85</v>
      </c>
      <c r="I1278" s="9" t="str">
        <f t="shared" si="38"/>
        <v>Good</v>
      </c>
      <c r="J1278" s="2">
        <v>3</v>
      </c>
      <c r="K1278" s="2">
        <v>34.4</v>
      </c>
      <c r="L1278" s="2" t="s">
        <v>4</v>
      </c>
      <c r="M1278" s="2" t="s">
        <v>4</v>
      </c>
      <c r="N1278" s="5">
        <f>IF(ISBLANK('Raw sheet'!L1278),AVERAGE('Raw sheet'!$L$2:'Raw sheet'!$L$1500),'Raw sheet'!L1278)</f>
        <v>10</v>
      </c>
      <c r="O1278" s="5" t="str">
        <f>IF(Table1[[#This Row],[Stress_Index]]&gt;=8,"High",IF(N1278&gt;=5,"Medium","Low"))</f>
        <v>High</v>
      </c>
      <c r="P1278" s="3">
        <v>0</v>
      </c>
      <c r="Q1278" s="2">
        <v>0.57999999999999996</v>
      </c>
      <c r="R1278" s="3">
        <v>0.57999999999999996</v>
      </c>
      <c r="S1278" s="3" t="str">
        <f>IF(Table1[[#This Row],[CGPA]]&gt;=3,"High",IF(R1277&gt;=2,"Medium","Low"))</f>
        <v>Medium</v>
      </c>
      <c r="T1278" s="2" t="s">
        <v>2</v>
      </c>
      <c r="U1278" s="2" t="s">
        <v>14</v>
      </c>
      <c r="V1278" s="2" t="s">
        <v>15</v>
      </c>
      <c r="W1278" s="7">
        <v>1</v>
      </c>
      <c r="X1278" t="str">
        <f t="shared" si="39"/>
        <v>Dropped Out</v>
      </c>
    </row>
    <row r="1279" spans="1:24" x14ac:dyDescent="0.3">
      <c r="A1279" s="2">
        <v>1278</v>
      </c>
      <c r="B1279" s="7">
        <v>21.9</v>
      </c>
      <c r="C1279" s="2" t="s">
        <v>11</v>
      </c>
      <c r="D1279" s="7">
        <f>IF(ISBLANK('Raw sheet'!D1279),AVERAGE('Raw sheet'!$D$2:'Raw sheet'!$D$1500),'Raw sheet'!D1279)</f>
        <v>25000</v>
      </c>
      <c r="E1279" s="7" t="str">
        <f>IF(Table1[[#This Row],[Family_Income]]&gt;=100000,"Upper",IF(D1279&gt;=50000,"Middle","Lower"))</f>
        <v>Lower</v>
      </c>
      <c r="F1279" s="2" t="s">
        <v>4</v>
      </c>
      <c r="G1279" s="3">
        <f>IF(ISBLANK('Raw sheet'!F1279),AVERAGE('Raw sheet'!$F$2:'Raw sheet'!$F$1500),'Raw sheet'!F1279)</f>
        <v>2.85</v>
      </c>
      <c r="H1279" s="18">
        <v>88.8</v>
      </c>
      <c r="I1279" s="9" t="str">
        <f t="shared" si="38"/>
        <v>Good</v>
      </c>
      <c r="J1279" s="2">
        <v>4</v>
      </c>
      <c r="K1279" s="2">
        <v>31.3</v>
      </c>
      <c r="L1279" s="2" t="s">
        <v>3</v>
      </c>
      <c r="M1279" s="2" t="s">
        <v>3</v>
      </c>
      <c r="N1279" s="5">
        <f>IF(ISBLANK('Raw sheet'!L1279),AVERAGE('Raw sheet'!$L$2:'Raw sheet'!$L$1500),'Raw sheet'!L1279)</f>
        <v>5.4</v>
      </c>
      <c r="O1279" s="5" t="str">
        <f>IF(Table1[[#This Row],[Stress_Index]]&gt;=8,"High",IF(N1279&gt;=5,"Medium","Low"))</f>
        <v>Medium</v>
      </c>
      <c r="P1279" s="3">
        <v>3.94</v>
      </c>
      <c r="Q1279" s="2">
        <v>3.8</v>
      </c>
      <c r="R1279" s="3">
        <v>3.71</v>
      </c>
      <c r="S1279" s="3" t="str">
        <f>IF(Table1[[#This Row],[CGPA]]&gt;=3,"High",IF(R1278&gt;=2,"Medium","Low"))</f>
        <v>High</v>
      </c>
      <c r="T1279" s="2" t="s">
        <v>7</v>
      </c>
      <c r="U1279" s="2" t="s">
        <v>13</v>
      </c>
      <c r="V1279" s="2" t="s">
        <v>9</v>
      </c>
      <c r="W1279" s="7">
        <v>0</v>
      </c>
      <c r="X1279" t="str">
        <f t="shared" si="39"/>
        <v>Active</v>
      </c>
    </row>
    <row r="1280" spans="1:24" x14ac:dyDescent="0.3">
      <c r="A1280" s="2">
        <v>1279</v>
      </c>
      <c r="B1280" s="7">
        <v>21.4</v>
      </c>
      <c r="C1280" s="2" t="s">
        <v>5</v>
      </c>
      <c r="D1280" s="7">
        <f>IF(ISBLANK('Raw sheet'!D1280),AVERAGE('Raw sheet'!$D$2:'Raw sheet'!$D$1500),'Raw sheet'!D1280)</f>
        <v>77320</v>
      </c>
      <c r="E1280" s="7" t="str">
        <f>IF(Table1[[#This Row],[Family_Income]]&gt;=100000,"Upper",IF(D1280&gt;=50000,"Middle","Lower"))</f>
        <v>Middle</v>
      </c>
      <c r="F1280" s="2" t="s">
        <v>4</v>
      </c>
      <c r="G1280" s="3">
        <f>IF(ISBLANK('Raw sheet'!F1280),AVERAGE('Raw sheet'!$F$2:'Raw sheet'!$F$1500),'Raw sheet'!F1280)</f>
        <v>3.09</v>
      </c>
      <c r="H1280" s="18">
        <v>78.400000000000006</v>
      </c>
      <c r="I1280" s="9" t="str">
        <f t="shared" si="38"/>
        <v>Good</v>
      </c>
      <c r="J1280" s="2">
        <v>4</v>
      </c>
      <c r="K1280" s="2">
        <v>15</v>
      </c>
      <c r="L1280" s="2" t="s">
        <v>3</v>
      </c>
      <c r="M1280" s="2" t="s">
        <v>3</v>
      </c>
      <c r="N1280" s="5">
        <f>IF(ISBLANK('Raw sheet'!L1280),AVERAGE('Raw sheet'!$L$2:'Raw sheet'!$L$1500),'Raw sheet'!L1280)</f>
        <v>6.8</v>
      </c>
      <c r="O1280" s="5" t="str">
        <f>IF(Table1[[#This Row],[Stress_Index]]&gt;=8,"High",IF(N1280&gt;=5,"Medium","Low"))</f>
        <v>Medium</v>
      </c>
      <c r="P1280" s="3">
        <v>1.37</v>
      </c>
      <c r="Q1280" s="2">
        <v>1.52</v>
      </c>
      <c r="R1280" s="3">
        <v>1.52</v>
      </c>
      <c r="S1280" s="3" t="str">
        <f>IF(Table1[[#This Row],[CGPA]]&gt;=3,"High",IF(R1279&gt;=2,"Medium","Low"))</f>
        <v>Medium</v>
      </c>
      <c r="T1280" s="2" t="s">
        <v>2</v>
      </c>
      <c r="U1280" s="2" t="s">
        <v>1</v>
      </c>
      <c r="V1280" s="2" t="s">
        <v>15</v>
      </c>
      <c r="W1280" s="7">
        <v>1</v>
      </c>
      <c r="X1280" t="str">
        <f t="shared" si="39"/>
        <v>Dropped Out</v>
      </c>
    </row>
    <row r="1281" spans="1:24" x14ac:dyDescent="0.3">
      <c r="A1281" s="2">
        <v>1280</v>
      </c>
      <c r="B1281" s="7">
        <v>20.3</v>
      </c>
      <c r="C1281" s="2" t="s">
        <v>5</v>
      </c>
      <c r="D1281" s="7">
        <f>IF(ISBLANK('Raw sheet'!D1281),AVERAGE('Raw sheet'!$D$2:'Raw sheet'!$D$1500),'Raw sheet'!D1281)</f>
        <v>32937</v>
      </c>
      <c r="E1281" s="7" t="str">
        <f>IF(Table1[[#This Row],[Family_Income]]&gt;=100000,"Upper",IF(D1281&gt;=50000,"Middle","Lower"))</f>
        <v>Lower</v>
      </c>
      <c r="F1281" s="2" t="s">
        <v>4</v>
      </c>
      <c r="G1281" s="3">
        <f>IF(ISBLANK('Raw sheet'!F1281),AVERAGE('Raw sheet'!$F$2:'Raw sheet'!$F$1500),'Raw sheet'!F1281)</f>
        <v>3.7</v>
      </c>
      <c r="H1281" s="18">
        <v>75.8</v>
      </c>
      <c r="I1281" s="9" t="str">
        <f t="shared" si="38"/>
        <v>Good</v>
      </c>
      <c r="J1281" s="2">
        <v>2</v>
      </c>
      <c r="K1281" s="2">
        <v>46.2</v>
      </c>
      <c r="L1281" s="2" t="s">
        <v>3</v>
      </c>
      <c r="M1281" s="2" t="s">
        <v>3</v>
      </c>
      <c r="N1281" s="5">
        <f>IF(ISBLANK('Raw sheet'!L1281),AVERAGE('Raw sheet'!$L$2:'Raw sheet'!$L$1500),'Raw sheet'!L1281)</f>
        <v>5.2</v>
      </c>
      <c r="O1281" s="5" t="str">
        <f>IF(Table1[[#This Row],[Stress_Index]]&gt;=8,"High",IF(N1281&gt;=5,"Medium","Low"))</f>
        <v>Medium</v>
      </c>
      <c r="P1281" s="3">
        <v>2.4300000000000002</v>
      </c>
      <c r="Q1281" s="2">
        <v>2.54</v>
      </c>
      <c r="R1281" s="3">
        <v>2.54</v>
      </c>
      <c r="S1281" s="3" t="str">
        <f>IF(Table1[[#This Row],[CGPA]]&gt;=3,"High",IF(R1280&gt;=2,"Medium","Low"))</f>
        <v>Low</v>
      </c>
      <c r="T1281" s="2" t="s">
        <v>2</v>
      </c>
      <c r="U1281" s="2" t="s">
        <v>6</v>
      </c>
      <c r="V1281" s="2" t="s">
        <v>15</v>
      </c>
      <c r="W1281" s="7">
        <v>0</v>
      </c>
      <c r="X1281" t="str">
        <f t="shared" si="39"/>
        <v>Active</v>
      </c>
    </row>
    <row r="1282" spans="1:24" x14ac:dyDescent="0.3">
      <c r="A1282" s="2">
        <v>1281</v>
      </c>
      <c r="B1282" s="7">
        <v>21.3</v>
      </c>
      <c r="C1282" s="2" t="s">
        <v>11</v>
      </c>
      <c r="D1282" s="7">
        <f>IF(ISBLANK('Raw sheet'!D1282),AVERAGE('Raw sheet'!$D$2:'Raw sheet'!$D$1500),'Raw sheet'!D1282)</f>
        <v>67250</v>
      </c>
      <c r="E1282" s="7" t="str">
        <f>IF(Table1[[#This Row],[Family_Income]]&gt;=100000,"Upper",IF(D1282&gt;=50000,"Middle","Lower"))</f>
        <v>Middle</v>
      </c>
      <c r="F1282" s="2" t="s">
        <v>4</v>
      </c>
      <c r="G1282" s="3">
        <f>IF(ISBLANK('Raw sheet'!F1282),AVERAGE('Raw sheet'!$F$2:'Raw sheet'!$F$1500),'Raw sheet'!F1282)</f>
        <v>5.43</v>
      </c>
      <c r="H1282" s="18">
        <v>77.400000000000006</v>
      </c>
      <c r="I1282" s="9" t="str">
        <f t="shared" ref="I1282:I1345" si="40">IF(H1282&gt;=75,"Good","Low")</f>
        <v>Good</v>
      </c>
      <c r="J1282" s="2">
        <v>2</v>
      </c>
      <c r="K1282" s="2">
        <v>21.1</v>
      </c>
      <c r="L1282" s="2" t="s">
        <v>3</v>
      </c>
      <c r="M1282" s="2" t="s">
        <v>4</v>
      </c>
      <c r="N1282" s="5">
        <f>IF(ISBLANK('Raw sheet'!L1282),AVERAGE('Raw sheet'!$L$2:'Raw sheet'!$L$1500),'Raw sheet'!L1282)</f>
        <v>6.1</v>
      </c>
      <c r="O1282" s="5" t="str">
        <f>IF(Table1[[#This Row],[Stress_Index]]&gt;=8,"High",IF(N1282&gt;=5,"Medium","Low"))</f>
        <v>Medium</v>
      </c>
      <c r="P1282" s="3">
        <v>1.72</v>
      </c>
      <c r="Q1282" s="2">
        <v>1.52</v>
      </c>
      <c r="R1282" s="3">
        <v>1.53</v>
      </c>
      <c r="S1282" s="3" t="str">
        <f>IF(Table1[[#This Row],[CGPA]]&gt;=3,"High",IF(R1281&gt;=2,"Medium","Low"))</f>
        <v>Medium</v>
      </c>
      <c r="T1282" s="2" t="s">
        <v>12</v>
      </c>
      <c r="U1282" s="2" t="s">
        <v>6</v>
      </c>
      <c r="V1282" s="2" t="s">
        <v>15</v>
      </c>
      <c r="W1282" s="7">
        <v>0</v>
      </c>
      <c r="X1282" t="str">
        <f t="shared" ref="X1282:X1345" si="41">IF(W1282=1,"Dropped Out","Active")</f>
        <v>Active</v>
      </c>
    </row>
    <row r="1283" spans="1:24" x14ac:dyDescent="0.3">
      <c r="A1283" s="2">
        <v>1282</v>
      </c>
      <c r="B1283" s="7">
        <v>20.7</v>
      </c>
      <c r="C1283" s="2" t="s">
        <v>11</v>
      </c>
      <c r="D1283" s="7">
        <f>IF(ISBLANK('Raw sheet'!D1283),AVERAGE('Raw sheet'!$D$2:'Raw sheet'!$D$1500),'Raw sheet'!D1283)</f>
        <v>25000</v>
      </c>
      <c r="E1283" s="7" t="str">
        <f>IF(Table1[[#This Row],[Family_Income]]&gt;=100000,"Upper",IF(D1283&gt;=50000,"Middle","Lower"))</f>
        <v>Lower</v>
      </c>
      <c r="F1283" s="2" t="s">
        <v>4</v>
      </c>
      <c r="G1283" s="3">
        <f>IF(ISBLANK('Raw sheet'!F1283),AVERAGE('Raw sheet'!$F$2:'Raw sheet'!$F$1500),'Raw sheet'!F1283)</f>
        <v>4.3499999999999996</v>
      </c>
      <c r="H1283" s="18">
        <v>81.099999999999994</v>
      </c>
      <c r="I1283" s="9" t="str">
        <f t="shared" si="40"/>
        <v>Good</v>
      </c>
      <c r="J1283" s="2">
        <v>1</v>
      </c>
      <c r="K1283" s="2">
        <v>35.299999999999997</v>
      </c>
      <c r="L1283" s="2" t="s">
        <v>4</v>
      </c>
      <c r="M1283" s="2" t="s">
        <v>4</v>
      </c>
      <c r="N1283" s="5">
        <f>IF(ISBLANK('Raw sheet'!L1283),AVERAGE('Raw sheet'!$L$2:'Raw sheet'!$L$1500),'Raw sheet'!L1283)</f>
        <v>5.4</v>
      </c>
      <c r="O1283" s="5" t="str">
        <f>IF(Table1[[#This Row],[Stress_Index]]&gt;=8,"High",IF(N1283&gt;=5,"Medium","Low"))</f>
        <v>Medium</v>
      </c>
      <c r="P1283" s="3">
        <v>2.36</v>
      </c>
      <c r="Q1283" s="2">
        <v>2.31</v>
      </c>
      <c r="R1283" s="3">
        <v>2.31</v>
      </c>
      <c r="S1283" s="3" t="str">
        <f>IF(Table1[[#This Row],[CGPA]]&gt;=3,"High",IF(R1282&gt;=2,"Medium","Low"))</f>
        <v>Low</v>
      </c>
      <c r="T1283" s="2" t="s">
        <v>2</v>
      </c>
      <c r="U1283" s="2" t="s">
        <v>14</v>
      </c>
      <c r="V1283" s="2" t="s">
        <v>15</v>
      </c>
      <c r="W1283" s="7">
        <v>1</v>
      </c>
      <c r="X1283" t="str">
        <f t="shared" si="41"/>
        <v>Dropped Out</v>
      </c>
    </row>
    <row r="1284" spans="1:24" x14ac:dyDescent="0.3">
      <c r="A1284" s="2">
        <v>1283</v>
      </c>
      <c r="B1284" s="7">
        <v>22.6</v>
      </c>
      <c r="C1284" s="2" t="s">
        <v>11</v>
      </c>
      <c r="D1284" s="7">
        <f>IF(ISBLANK('Raw sheet'!D1284),AVERAGE('Raw sheet'!$D$2:'Raw sheet'!$D$1500),'Raw sheet'!D1284)</f>
        <v>40228</v>
      </c>
      <c r="E1284" s="7" t="str">
        <f>IF(Table1[[#This Row],[Family_Income]]&gt;=100000,"Upper",IF(D1284&gt;=50000,"Middle","Lower"))</f>
        <v>Lower</v>
      </c>
      <c r="F1284" s="2" t="s">
        <v>4</v>
      </c>
      <c r="G1284" s="3">
        <f>IF(ISBLANK('Raw sheet'!F1284),AVERAGE('Raw sheet'!$F$2:'Raw sheet'!$F$1500),'Raw sheet'!F1284)</f>
        <v>3.04</v>
      </c>
      <c r="H1284" s="18">
        <v>78.599999999999994</v>
      </c>
      <c r="I1284" s="9" t="str">
        <f t="shared" si="40"/>
        <v>Good</v>
      </c>
      <c r="J1284" s="2">
        <v>0</v>
      </c>
      <c r="K1284" s="2">
        <v>18.600000000000001</v>
      </c>
      <c r="L1284" s="2" t="s">
        <v>3</v>
      </c>
      <c r="M1284" s="2" t="s">
        <v>3</v>
      </c>
      <c r="N1284" s="5">
        <f>IF(ISBLANK('Raw sheet'!L1284),AVERAGE('Raw sheet'!$L$2:'Raw sheet'!$L$1500),'Raw sheet'!L1284)</f>
        <v>4.7</v>
      </c>
      <c r="O1284" s="5" t="str">
        <f>IF(Table1[[#This Row],[Stress_Index]]&gt;=8,"High",IF(N1284&gt;=5,"Medium","Low"))</f>
        <v>Low</v>
      </c>
      <c r="P1284" s="3">
        <v>1.26</v>
      </c>
      <c r="Q1284" s="2">
        <v>2.11</v>
      </c>
      <c r="R1284" s="3">
        <v>2.11</v>
      </c>
      <c r="S1284" s="3" t="str">
        <f>IF(Table1[[#This Row],[CGPA]]&gt;=3,"High",IF(R1283&gt;=2,"Medium","Low"))</f>
        <v>Medium</v>
      </c>
      <c r="T1284" s="2" t="s">
        <v>2</v>
      </c>
      <c r="U1284" s="2" t="s">
        <v>8</v>
      </c>
      <c r="V1284" s="2" t="s">
        <v>9</v>
      </c>
      <c r="W1284" s="7">
        <v>0</v>
      </c>
      <c r="X1284" t="str">
        <f t="shared" si="41"/>
        <v>Active</v>
      </c>
    </row>
    <row r="1285" spans="1:24" x14ac:dyDescent="0.3">
      <c r="A1285" s="2">
        <v>1284</v>
      </c>
      <c r="B1285" s="7">
        <v>23.1</v>
      </c>
      <c r="C1285" s="2" t="s">
        <v>11</v>
      </c>
      <c r="D1285" s="7">
        <f>IF(ISBLANK('Raw sheet'!D1285),AVERAGE('Raw sheet'!$D$2:'Raw sheet'!$D$1500),'Raw sheet'!D1285)</f>
        <v>31292</v>
      </c>
      <c r="E1285" s="7" t="str">
        <f>IF(Table1[[#This Row],[Family_Income]]&gt;=100000,"Upper",IF(D1285&gt;=50000,"Middle","Lower"))</f>
        <v>Lower</v>
      </c>
      <c r="F1285" s="2" t="s">
        <v>4</v>
      </c>
      <c r="G1285" s="3">
        <f>IF(ISBLANK('Raw sheet'!F1285),AVERAGE('Raw sheet'!$F$2:'Raw sheet'!$F$1500),'Raw sheet'!F1285)</f>
        <v>3.16</v>
      </c>
      <c r="H1285" s="18">
        <v>89.2</v>
      </c>
      <c r="I1285" s="9" t="str">
        <f t="shared" si="40"/>
        <v>Good</v>
      </c>
      <c r="J1285" s="2">
        <v>0</v>
      </c>
      <c r="K1285" s="2">
        <v>59.8</v>
      </c>
      <c r="L1285" s="2" t="s">
        <v>4</v>
      </c>
      <c r="M1285" s="2" t="s">
        <v>3</v>
      </c>
      <c r="N1285" s="5">
        <f>IF(ISBLANK('Raw sheet'!L1285),AVERAGE('Raw sheet'!$L$2:'Raw sheet'!$L$1500),'Raw sheet'!L1285)</f>
        <v>5.0999999999999996</v>
      </c>
      <c r="O1285" s="5" t="str">
        <f>IF(Table1[[#This Row],[Stress_Index]]&gt;=8,"High",IF(N1285&gt;=5,"Medium","Low"))</f>
        <v>Medium</v>
      </c>
      <c r="P1285" s="3">
        <v>2.4500000000000002</v>
      </c>
      <c r="Q1285" s="2">
        <v>2.56</v>
      </c>
      <c r="R1285" s="3">
        <v>2.5499999999999998</v>
      </c>
      <c r="S1285" s="3" t="str">
        <f>IF(Table1[[#This Row],[CGPA]]&gt;=3,"High",IF(R1284&gt;=2,"Medium","Low"))</f>
        <v>Medium</v>
      </c>
      <c r="T1285" s="2" t="s">
        <v>10</v>
      </c>
      <c r="U1285" s="2" t="s">
        <v>8</v>
      </c>
      <c r="V1285" s="2" t="s">
        <v>9</v>
      </c>
      <c r="W1285" s="7">
        <v>0</v>
      </c>
      <c r="X1285" t="str">
        <f t="shared" si="41"/>
        <v>Active</v>
      </c>
    </row>
    <row r="1286" spans="1:24" x14ac:dyDescent="0.3">
      <c r="A1286" s="2">
        <v>1285</v>
      </c>
      <c r="B1286" s="7">
        <v>19.3</v>
      </c>
      <c r="C1286" s="2" t="s">
        <v>11</v>
      </c>
      <c r="D1286" s="7">
        <f>IF(ISBLANK('Raw sheet'!D1286),AVERAGE('Raw sheet'!$D$2:'Raw sheet'!$D$1500),'Raw sheet'!D1286)</f>
        <v>48563</v>
      </c>
      <c r="E1286" s="7" t="str">
        <f>IF(Table1[[#This Row],[Family_Income]]&gt;=100000,"Upper",IF(D1286&gt;=50000,"Middle","Lower"))</f>
        <v>Lower</v>
      </c>
      <c r="F1286" s="2" t="s">
        <v>4</v>
      </c>
      <c r="G1286" s="3">
        <f>IF(ISBLANK('Raw sheet'!F1286),AVERAGE('Raw sheet'!$F$2:'Raw sheet'!$F$1500),'Raw sheet'!F1286)</f>
        <v>1.19</v>
      </c>
      <c r="H1286" s="18">
        <v>100</v>
      </c>
      <c r="I1286" s="9" t="str">
        <f t="shared" si="40"/>
        <v>Good</v>
      </c>
      <c r="J1286" s="2">
        <v>2</v>
      </c>
      <c r="K1286" s="2">
        <v>45.9</v>
      </c>
      <c r="L1286" s="2" t="s">
        <v>3</v>
      </c>
      <c r="M1286" s="2" t="s">
        <v>4</v>
      </c>
      <c r="N1286" s="5">
        <f>IF(ISBLANK('Raw sheet'!L1286),AVERAGE('Raw sheet'!$L$2:'Raw sheet'!$L$1500),'Raw sheet'!L1286)</f>
        <v>7.7</v>
      </c>
      <c r="O1286" s="5" t="str">
        <f>IF(Table1[[#This Row],[Stress_Index]]&gt;=8,"High",IF(N1286&gt;=5,"Medium","Low"))</f>
        <v>Medium</v>
      </c>
      <c r="P1286" s="3">
        <v>1.79</v>
      </c>
      <c r="Q1286" s="2">
        <v>1.54</v>
      </c>
      <c r="R1286" s="3">
        <v>1.51</v>
      </c>
      <c r="S1286" s="3" t="str">
        <f>IF(Table1[[#This Row],[CGPA]]&gt;=3,"High",IF(R1285&gt;=2,"Medium","Low"))</f>
        <v>Medium</v>
      </c>
      <c r="T1286" s="2" t="s">
        <v>7</v>
      </c>
      <c r="U1286" s="2" t="s">
        <v>13</v>
      </c>
      <c r="V1286" s="2" t="s">
        <v>16</v>
      </c>
      <c r="W1286" s="7">
        <v>0</v>
      </c>
      <c r="X1286" t="str">
        <f t="shared" si="41"/>
        <v>Active</v>
      </c>
    </row>
    <row r="1287" spans="1:24" x14ac:dyDescent="0.3">
      <c r="A1287" s="2">
        <v>1286</v>
      </c>
      <c r="B1287" s="7">
        <v>18.100000000000001</v>
      </c>
      <c r="C1287" s="2" t="s">
        <v>11</v>
      </c>
      <c r="D1287" s="7">
        <f>IF(ISBLANK('Raw sheet'!D1287),AVERAGE('Raw sheet'!$D$2:'Raw sheet'!$D$1500),'Raw sheet'!D1287)</f>
        <v>25841</v>
      </c>
      <c r="E1287" s="7" t="str">
        <f>IF(Table1[[#This Row],[Family_Income]]&gt;=100000,"Upper",IF(D1287&gt;=50000,"Middle","Lower"))</f>
        <v>Lower</v>
      </c>
      <c r="F1287" s="2" t="s">
        <v>4</v>
      </c>
      <c r="G1287" s="3">
        <f>IF(ISBLANK('Raw sheet'!F1287),AVERAGE('Raw sheet'!$F$2:'Raw sheet'!$F$1500),'Raw sheet'!F1287)</f>
        <v>4.58</v>
      </c>
      <c r="H1287" s="18">
        <v>86.7</v>
      </c>
      <c r="I1287" s="9" t="str">
        <f t="shared" si="40"/>
        <v>Good</v>
      </c>
      <c r="J1287" s="2">
        <v>0</v>
      </c>
      <c r="K1287" s="2">
        <v>20.7</v>
      </c>
      <c r="L1287" s="2" t="s">
        <v>3</v>
      </c>
      <c r="M1287" s="2" t="s">
        <v>4</v>
      </c>
      <c r="N1287" s="5">
        <f>IF(ISBLANK('Raw sheet'!L1287),AVERAGE('Raw sheet'!$L$2:'Raw sheet'!$L$1500),'Raw sheet'!L1287)</f>
        <v>6</v>
      </c>
      <c r="O1287" s="5" t="str">
        <f>IF(Table1[[#This Row],[Stress_Index]]&gt;=8,"High",IF(N1287&gt;=5,"Medium","Low"))</f>
        <v>Medium</v>
      </c>
      <c r="P1287" s="3">
        <v>2.3199999999999998</v>
      </c>
      <c r="Q1287" s="2">
        <v>2.3199999999999998</v>
      </c>
      <c r="R1287" s="3">
        <v>2.2200000000000002</v>
      </c>
      <c r="S1287" s="3" t="str">
        <f>IF(Table1[[#This Row],[CGPA]]&gt;=3,"High",IF(R1286&gt;=2,"Medium","Low"))</f>
        <v>Low</v>
      </c>
      <c r="T1287" s="2" t="s">
        <v>10</v>
      </c>
      <c r="U1287" s="2" t="s">
        <v>13</v>
      </c>
      <c r="V1287" s="2" t="s">
        <v>9</v>
      </c>
      <c r="W1287" s="7">
        <v>0</v>
      </c>
      <c r="X1287" t="str">
        <f t="shared" si="41"/>
        <v>Active</v>
      </c>
    </row>
    <row r="1288" spans="1:24" x14ac:dyDescent="0.3">
      <c r="A1288" s="2">
        <v>1287</v>
      </c>
      <c r="B1288" s="7">
        <v>17</v>
      </c>
      <c r="C1288" s="2" t="s">
        <v>11</v>
      </c>
      <c r="D1288" s="7">
        <f>IF(ISBLANK('Raw sheet'!D1288),AVERAGE('Raw sheet'!$D$2:'Raw sheet'!$D$1500),'Raw sheet'!D1288)</f>
        <v>39495</v>
      </c>
      <c r="E1288" s="7" t="str">
        <f>IF(Table1[[#This Row],[Family_Income]]&gt;=100000,"Upper",IF(D1288&gt;=50000,"Middle","Lower"))</f>
        <v>Lower</v>
      </c>
      <c r="F1288" s="2" t="s">
        <v>4</v>
      </c>
      <c r="G1288" s="3">
        <f>IF(ISBLANK('Raw sheet'!F1288),AVERAGE('Raw sheet'!$F$2:'Raw sheet'!$F$1500),'Raw sheet'!F1288)</f>
        <v>3.73</v>
      </c>
      <c r="H1288" s="18">
        <v>66.400000000000006</v>
      </c>
      <c r="I1288" s="9" t="str">
        <f t="shared" si="40"/>
        <v>Low</v>
      </c>
      <c r="J1288" s="2">
        <v>1</v>
      </c>
      <c r="K1288" s="2">
        <v>31.1</v>
      </c>
      <c r="L1288" s="2" t="s">
        <v>4</v>
      </c>
      <c r="M1288" s="2" t="s">
        <v>3</v>
      </c>
      <c r="N1288" s="5">
        <f>IF(ISBLANK('Raw sheet'!L1288),AVERAGE('Raw sheet'!$L$2:'Raw sheet'!$L$1500),'Raw sheet'!L1288)</f>
        <v>3.3</v>
      </c>
      <c r="O1288" s="5" t="str">
        <f>IF(Table1[[#This Row],[Stress_Index]]&gt;=8,"High",IF(N1288&gt;=5,"Medium","Low"))</f>
        <v>Low</v>
      </c>
      <c r="P1288" s="3">
        <v>1.9</v>
      </c>
      <c r="Q1288" s="2">
        <v>1.67</v>
      </c>
      <c r="R1288" s="3">
        <v>1.72</v>
      </c>
      <c r="S1288" s="3" t="str">
        <f>IF(Table1[[#This Row],[CGPA]]&gt;=3,"High",IF(R1287&gt;=2,"Medium","Low"))</f>
        <v>Medium</v>
      </c>
      <c r="T1288" s="2" t="s">
        <v>12</v>
      </c>
      <c r="U1288" s="2" t="s">
        <v>8</v>
      </c>
      <c r="V1288" s="2" t="s">
        <v>15</v>
      </c>
      <c r="W1288" s="7">
        <v>1</v>
      </c>
      <c r="X1288" t="str">
        <f t="shared" si="41"/>
        <v>Dropped Out</v>
      </c>
    </row>
    <row r="1289" spans="1:24" x14ac:dyDescent="0.3">
      <c r="A1289" s="2">
        <v>1288</v>
      </c>
      <c r="B1289" s="7">
        <v>22.1</v>
      </c>
      <c r="C1289" s="2" t="s">
        <v>11</v>
      </c>
      <c r="D1289" s="7">
        <f>IF(ISBLANK('Raw sheet'!D1289),AVERAGE('Raw sheet'!$D$2:'Raw sheet'!$D$1500),'Raw sheet'!D1289)</f>
        <v>57602</v>
      </c>
      <c r="E1289" s="7" t="str">
        <f>IF(Table1[[#This Row],[Family_Income]]&gt;=100000,"Upper",IF(D1289&gt;=50000,"Middle","Lower"))</f>
        <v>Middle</v>
      </c>
      <c r="F1289" s="2" t="s">
        <v>4</v>
      </c>
      <c r="G1289" s="3">
        <f>IF(ISBLANK('Raw sheet'!F1289),AVERAGE('Raw sheet'!$F$2:'Raw sheet'!$F$1500),'Raw sheet'!F1289)</f>
        <v>4.24</v>
      </c>
      <c r="H1289" s="18">
        <v>83.2</v>
      </c>
      <c r="I1289" s="9" t="str">
        <f t="shared" si="40"/>
        <v>Good</v>
      </c>
      <c r="J1289" s="2">
        <v>0</v>
      </c>
      <c r="K1289" s="2">
        <v>17.600000000000001</v>
      </c>
      <c r="L1289" s="2" t="s">
        <v>3</v>
      </c>
      <c r="M1289" s="2" t="s">
        <v>3</v>
      </c>
      <c r="N1289" s="5">
        <f>IF(ISBLANK('Raw sheet'!L1289),AVERAGE('Raw sheet'!$L$2:'Raw sheet'!$L$1500),'Raw sheet'!L1289)</f>
        <v>4.7</v>
      </c>
      <c r="O1289" s="5" t="str">
        <f>IF(Table1[[#This Row],[Stress_Index]]&gt;=8,"High",IF(N1289&gt;=5,"Medium","Low"))</f>
        <v>Low</v>
      </c>
      <c r="P1289" s="3">
        <v>2.87</v>
      </c>
      <c r="Q1289" s="2">
        <v>2.8</v>
      </c>
      <c r="R1289" s="3">
        <v>2.71</v>
      </c>
      <c r="S1289" s="3" t="str">
        <f>IF(Table1[[#This Row],[CGPA]]&gt;=3,"High",IF(R1288&gt;=2,"Medium","Low"))</f>
        <v>Low</v>
      </c>
      <c r="T1289" s="2" t="s">
        <v>10</v>
      </c>
      <c r="U1289" s="2" t="s">
        <v>13</v>
      </c>
      <c r="V1289" s="2" t="s">
        <v>15</v>
      </c>
      <c r="W1289" s="7">
        <v>0</v>
      </c>
      <c r="X1289" t="str">
        <f t="shared" si="41"/>
        <v>Active</v>
      </c>
    </row>
    <row r="1290" spans="1:24" x14ac:dyDescent="0.3">
      <c r="A1290" s="2">
        <v>1289</v>
      </c>
      <c r="B1290" s="7">
        <v>18.600000000000001</v>
      </c>
      <c r="C1290" s="2" t="s">
        <v>5</v>
      </c>
      <c r="D1290" s="7">
        <f>IF(ISBLANK('Raw sheet'!D1290),AVERAGE('Raw sheet'!$D$2:'Raw sheet'!$D$1500),'Raw sheet'!D1290)</f>
        <v>25000</v>
      </c>
      <c r="E1290" s="7" t="str">
        <f>IF(Table1[[#This Row],[Family_Income]]&gt;=100000,"Upper",IF(D1290&gt;=50000,"Middle","Lower"))</f>
        <v>Lower</v>
      </c>
      <c r="F1290" s="2" t="s">
        <v>4</v>
      </c>
      <c r="G1290" s="3">
        <f>IF(ISBLANK('Raw sheet'!F1290),AVERAGE('Raw sheet'!$F$2:'Raw sheet'!$F$1500),'Raw sheet'!F1290)</f>
        <v>7.94</v>
      </c>
      <c r="H1290" s="18">
        <v>72.5</v>
      </c>
      <c r="I1290" s="9" t="str">
        <f t="shared" si="40"/>
        <v>Low</v>
      </c>
      <c r="J1290" s="2">
        <v>1</v>
      </c>
      <c r="K1290" s="2">
        <v>25.7</v>
      </c>
      <c r="L1290" s="2" t="s">
        <v>3</v>
      </c>
      <c r="M1290" s="2" t="s">
        <v>3</v>
      </c>
      <c r="N1290" s="5">
        <f>IF(ISBLANK('Raw sheet'!L1290),AVERAGE('Raw sheet'!$L$2:'Raw sheet'!$L$1500),'Raw sheet'!L1290)</f>
        <v>3.9</v>
      </c>
      <c r="O1290" s="5" t="str">
        <f>IF(Table1[[#This Row],[Stress_Index]]&gt;=8,"High",IF(N1290&gt;=5,"Medium","Low"))</f>
        <v>Low</v>
      </c>
      <c r="P1290" s="3">
        <v>2.35</v>
      </c>
      <c r="Q1290" s="2">
        <v>2.09</v>
      </c>
      <c r="R1290" s="3">
        <v>2.02</v>
      </c>
      <c r="S1290" s="3" t="str">
        <f>IF(Table1[[#This Row],[CGPA]]&gt;=3,"High",IF(R1289&gt;=2,"Medium","Low"))</f>
        <v>Medium</v>
      </c>
      <c r="T1290" s="2" t="s">
        <v>7</v>
      </c>
      <c r="U1290" s="2" t="s">
        <v>6</v>
      </c>
      <c r="V1290" s="2" t="s">
        <v>15</v>
      </c>
      <c r="W1290" s="7">
        <v>0</v>
      </c>
      <c r="X1290" t="str">
        <f t="shared" si="41"/>
        <v>Active</v>
      </c>
    </row>
    <row r="1291" spans="1:24" x14ac:dyDescent="0.3">
      <c r="A1291" s="2">
        <v>1290</v>
      </c>
      <c r="B1291" s="7">
        <v>17</v>
      </c>
      <c r="C1291" s="2" t="s">
        <v>5</v>
      </c>
      <c r="D1291" s="7">
        <f>IF(ISBLANK('Raw sheet'!D1291),AVERAGE('Raw sheet'!$D$2:'Raw sheet'!$D$1500),'Raw sheet'!D1291)</f>
        <v>34384</v>
      </c>
      <c r="E1291" s="7" t="str">
        <f>IF(Table1[[#This Row],[Family_Income]]&gt;=100000,"Upper",IF(D1291&gt;=50000,"Middle","Lower"))</f>
        <v>Lower</v>
      </c>
      <c r="F1291" s="2" t="s">
        <v>4</v>
      </c>
      <c r="G1291" s="3">
        <f>IF(ISBLANK('Raw sheet'!F1291),AVERAGE('Raw sheet'!$F$2:'Raw sheet'!$F$1500),'Raw sheet'!F1291)</f>
        <v>3.42</v>
      </c>
      <c r="H1291" s="18">
        <v>78.7</v>
      </c>
      <c r="I1291" s="9" t="str">
        <f t="shared" si="40"/>
        <v>Good</v>
      </c>
      <c r="J1291" s="2">
        <v>2</v>
      </c>
      <c r="K1291" s="2">
        <v>35.1</v>
      </c>
      <c r="L1291" s="2" t="s">
        <v>3</v>
      </c>
      <c r="M1291" s="2" t="s">
        <v>4</v>
      </c>
      <c r="N1291" s="5">
        <f>IF(ISBLANK('Raw sheet'!L1291),AVERAGE('Raw sheet'!$L$2:'Raw sheet'!$L$1500),'Raw sheet'!L1291)</f>
        <v>7.2</v>
      </c>
      <c r="O1291" s="5" t="str">
        <f>IF(Table1[[#This Row],[Stress_Index]]&gt;=8,"High",IF(N1291&gt;=5,"Medium","Low"))</f>
        <v>Medium</v>
      </c>
      <c r="P1291" s="3">
        <v>1.73</v>
      </c>
      <c r="Q1291" s="2">
        <v>1.44</v>
      </c>
      <c r="R1291" s="3">
        <v>1.37</v>
      </c>
      <c r="S1291" s="3" t="str">
        <f>IF(Table1[[#This Row],[CGPA]]&gt;=3,"High",IF(R1290&gt;=2,"Medium","Low"))</f>
        <v>Medium</v>
      </c>
      <c r="T1291" s="2" t="s">
        <v>10</v>
      </c>
      <c r="U1291" s="2" t="s">
        <v>6</v>
      </c>
      <c r="V1291" s="2" t="s">
        <v>15</v>
      </c>
      <c r="W1291" s="7">
        <v>0</v>
      </c>
      <c r="X1291" t="str">
        <f t="shared" si="41"/>
        <v>Active</v>
      </c>
    </row>
    <row r="1292" spans="1:24" x14ac:dyDescent="0.3">
      <c r="A1292" s="2">
        <v>1291</v>
      </c>
      <c r="B1292" s="7">
        <v>21.9</v>
      </c>
      <c r="C1292" s="2" t="s">
        <v>11</v>
      </c>
      <c r="D1292" s="7">
        <f>IF(ISBLANK('Raw sheet'!D1292),AVERAGE('Raw sheet'!$D$2:'Raw sheet'!$D$1500),'Raw sheet'!D1292)</f>
        <v>25000</v>
      </c>
      <c r="E1292" s="7" t="str">
        <f>IF(Table1[[#This Row],[Family_Income]]&gt;=100000,"Upper",IF(D1292&gt;=50000,"Middle","Lower"))</f>
        <v>Lower</v>
      </c>
      <c r="F1292" s="2" t="s">
        <v>4</v>
      </c>
      <c r="G1292" s="3">
        <f>IF(ISBLANK('Raw sheet'!F1292),AVERAGE('Raw sheet'!$F$2:'Raw sheet'!$F$1500),'Raw sheet'!F1292)</f>
        <v>4.28</v>
      </c>
      <c r="H1292" s="18">
        <v>81.7</v>
      </c>
      <c r="I1292" s="9" t="str">
        <f t="shared" si="40"/>
        <v>Good</v>
      </c>
      <c r="J1292" s="2">
        <v>1</v>
      </c>
      <c r="K1292" s="2">
        <v>40.1</v>
      </c>
      <c r="L1292" s="2" t="s">
        <v>4</v>
      </c>
      <c r="M1292" s="2" t="s">
        <v>3</v>
      </c>
      <c r="N1292" s="5">
        <f>IF(ISBLANK('Raw sheet'!L1292),AVERAGE('Raw sheet'!$L$2:'Raw sheet'!$L$1500),'Raw sheet'!L1292)</f>
        <v>4.0999999999999996</v>
      </c>
      <c r="O1292" s="5" t="str">
        <f>IF(Table1[[#This Row],[Stress_Index]]&gt;=8,"High",IF(N1292&gt;=5,"Medium","Low"))</f>
        <v>Low</v>
      </c>
      <c r="P1292" s="3">
        <v>1.04</v>
      </c>
      <c r="Q1292" s="2">
        <v>1.45</v>
      </c>
      <c r="R1292" s="3">
        <v>1.48</v>
      </c>
      <c r="S1292" s="3" t="str">
        <f>IF(Table1[[#This Row],[CGPA]]&gt;=3,"High",IF(R1291&gt;=2,"Medium","Low"))</f>
        <v>Low</v>
      </c>
      <c r="T1292" s="2" t="s">
        <v>10</v>
      </c>
      <c r="U1292" s="2" t="s">
        <v>1</v>
      </c>
      <c r="V1292" s="2" t="s">
        <v>15</v>
      </c>
      <c r="W1292" s="7">
        <v>0</v>
      </c>
      <c r="X1292" t="str">
        <f t="shared" si="41"/>
        <v>Active</v>
      </c>
    </row>
    <row r="1293" spans="1:24" x14ac:dyDescent="0.3">
      <c r="A1293" s="2">
        <v>1292</v>
      </c>
      <c r="B1293" s="7">
        <v>26.5</v>
      </c>
      <c r="C1293" s="2" t="s">
        <v>5</v>
      </c>
      <c r="D1293" s="7">
        <f>IF(ISBLANK('Raw sheet'!D1293),AVERAGE('Raw sheet'!$D$2:'Raw sheet'!$D$1500),'Raw sheet'!D1293)</f>
        <v>45320</v>
      </c>
      <c r="E1293" s="7" t="str">
        <f>IF(Table1[[#This Row],[Family_Income]]&gt;=100000,"Upper",IF(D1293&gt;=50000,"Middle","Lower"))</f>
        <v>Lower</v>
      </c>
      <c r="F1293" s="2" t="s">
        <v>4</v>
      </c>
      <c r="G1293" s="3">
        <f>IF(ISBLANK('Raw sheet'!F1293),AVERAGE('Raw sheet'!$F$2:'Raw sheet'!$F$1500),'Raw sheet'!F1293)</f>
        <v>3.18</v>
      </c>
      <c r="H1293" s="18">
        <v>79.900000000000006</v>
      </c>
      <c r="I1293" s="9" t="str">
        <f t="shared" si="40"/>
        <v>Good</v>
      </c>
      <c r="J1293" s="2">
        <v>3</v>
      </c>
      <c r="K1293" s="2">
        <v>15.1</v>
      </c>
      <c r="L1293" s="2" t="s">
        <v>3</v>
      </c>
      <c r="M1293" s="2" t="s">
        <v>3</v>
      </c>
      <c r="N1293" s="5">
        <f>IF(ISBLANK('Raw sheet'!L1293),AVERAGE('Raw sheet'!$L$2:'Raw sheet'!$L$1500),'Raw sheet'!L1293)</f>
        <v>7.1</v>
      </c>
      <c r="O1293" s="5" t="str">
        <f>IF(Table1[[#This Row],[Stress_Index]]&gt;=8,"High",IF(N1293&gt;=5,"Medium","Low"))</f>
        <v>Medium</v>
      </c>
      <c r="P1293" s="3">
        <v>3.71</v>
      </c>
      <c r="Q1293" s="2">
        <v>3.55</v>
      </c>
      <c r="R1293" s="3">
        <v>3.59</v>
      </c>
      <c r="S1293" s="3" t="str">
        <f>IF(Table1[[#This Row],[CGPA]]&gt;=3,"High",IF(R1292&gt;=2,"Medium","Low"))</f>
        <v>High</v>
      </c>
      <c r="T1293" s="2" t="s">
        <v>12</v>
      </c>
      <c r="U1293" s="2" t="s">
        <v>14</v>
      </c>
      <c r="V1293" s="2" t="s">
        <v>15</v>
      </c>
      <c r="W1293" s="7">
        <v>0</v>
      </c>
      <c r="X1293" t="str">
        <f t="shared" si="41"/>
        <v>Active</v>
      </c>
    </row>
    <row r="1294" spans="1:24" x14ac:dyDescent="0.3">
      <c r="A1294" s="2">
        <v>1293</v>
      </c>
      <c r="B1294" s="7">
        <v>21</v>
      </c>
      <c r="C1294" s="2" t="s">
        <v>5</v>
      </c>
      <c r="D1294" s="7">
        <f>IF(ISBLANK('Raw sheet'!D1294),AVERAGE('Raw sheet'!$D$2:'Raw sheet'!$D$1500),'Raw sheet'!D1294)</f>
        <v>96067</v>
      </c>
      <c r="E1294" s="7" t="str">
        <f>IF(Table1[[#This Row],[Family_Income]]&gt;=100000,"Upper",IF(D1294&gt;=50000,"Middle","Lower"))</f>
        <v>Middle</v>
      </c>
      <c r="F1294" s="2" t="s">
        <v>3</v>
      </c>
      <c r="G1294" s="3">
        <f>IF(ISBLANK('Raw sheet'!F1294),AVERAGE('Raw sheet'!$F$2:'Raw sheet'!$F$1500),'Raw sheet'!F1294)</f>
        <v>3.78</v>
      </c>
      <c r="H1294" s="18">
        <v>73.7</v>
      </c>
      <c r="I1294" s="9" t="str">
        <f t="shared" si="40"/>
        <v>Low</v>
      </c>
      <c r="J1294" s="2">
        <v>1</v>
      </c>
      <c r="K1294" s="2">
        <v>21</v>
      </c>
      <c r="L1294" s="2" t="s">
        <v>3</v>
      </c>
      <c r="M1294" s="2" t="s">
        <v>3</v>
      </c>
      <c r="N1294" s="5">
        <f>IF(ISBLANK('Raw sheet'!L1294),AVERAGE('Raw sheet'!$L$2:'Raw sheet'!$L$1500),'Raw sheet'!L1294)</f>
        <v>7.3</v>
      </c>
      <c r="O1294" s="5" t="str">
        <f>IF(Table1[[#This Row],[Stress_Index]]&gt;=8,"High",IF(N1294&gt;=5,"Medium","Low"))</f>
        <v>Medium</v>
      </c>
      <c r="P1294" s="3">
        <v>2.0099999999999998</v>
      </c>
      <c r="Q1294" s="2">
        <v>2.23</v>
      </c>
      <c r="R1294" s="3">
        <v>2.29</v>
      </c>
      <c r="S1294" s="3" t="str">
        <f>IF(Table1[[#This Row],[CGPA]]&gt;=3,"High",IF(R1293&gt;=2,"Medium","Low"))</f>
        <v>Medium</v>
      </c>
      <c r="T1294" s="2" t="s">
        <v>12</v>
      </c>
      <c r="U1294" s="2" t="s">
        <v>13</v>
      </c>
      <c r="V1294" s="2" t="s">
        <v>9</v>
      </c>
      <c r="W1294" s="7">
        <v>0</v>
      </c>
      <c r="X1294" t="str">
        <f t="shared" si="41"/>
        <v>Active</v>
      </c>
    </row>
    <row r="1295" spans="1:24" x14ac:dyDescent="0.3">
      <c r="A1295" s="2">
        <v>1294</v>
      </c>
      <c r="B1295" s="7">
        <v>22.8</v>
      </c>
      <c r="C1295" s="2" t="s">
        <v>11</v>
      </c>
      <c r="D1295" s="7">
        <f>IF(ISBLANK('Raw sheet'!D1295),AVERAGE('Raw sheet'!$D$2:'Raw sheet'!$D$1500),'Raw sheet'!D1295)</f>
        <v>25000</v>
      </c>
      <c r="E1295" s="7" t="str">
        <f>IF(Table1[[#This Row],[Family_Income]]&gt;=100000,"Upper",IF(D1295&gt;=50000,"Middle","Lower"))</f>
        <v>Lower</v>
      </c>
      <c r="F1295" s="2" t="s">
        <v>4</v>
      </c>
      <c r="G1295" s="3">
        <f>IF(ISBLANK('Raw sheet'!F1295),AVERAGE('Raw sheet'!$F$2:'Raw sheet'!$F$1500),'Raw sheet'!F1295)</f>
        <v>2.73</v>
      </c>
      <c r="H1295" s="18">
        <v>86.2</v>
      </c>
      <c r="I1295" s="9" t="str">
        <f t="shared" si="40"/>
        <v>Good</v>
      </c>
      <c r="J1295" s="2">
        <v>2</v>
      </c>
      <c r="K1295" s="2">
        <v>41.3</v>
      </c>
      <c r="L1295" s="2" t="s">
        <v>3</v>
      </c>
      <c r="M1295" s="2" t="s">
        <v>4</v>
      </c>
      <c r="N1295" s="5">
        <f>IF(ISBLANK('Raw sheet'!L1295),AVERAGE('Raw sheet'!$L$2:'Raw sheet'!$L$1500),'Raw sheet'!L1295)</f>
        <v>5.8</v>
      </c>
      <c r="O1295" s="5" t="str">
        <f>IF(Table1[[#This Row],[Stress_Index]]&gt;=8,"High",IF(N1295&gt;=5,"Medium","Low"))</f>
        <v>Medium</v>
      </c>
      <c r="P1295" s="3">
        <v>2.15</v>
      </c>
      <c r="Q1295" s="2">
        <v>1.98</v>
      </c>
      <c r="R1295" s="3">
        <v>1.96</v>
      </c>
      <c r="S1295" s="3" t="str">
        <f>IF(Table1[[#This Row],[CGPA]]&gt;=3,"High",IF(R1294&gt;=2,"Medium","Low"))</f>
        <v>Medium</v>
      </c>
      <c r="T1295" s="2" t="s">
        <v>10</v>
      </c>
      <c r="U1295" s="2" t="s">
        <v>6</v>
      </c>
      <c r="V1295" s="2" t="s">
        <v>16</v>
      </c>
      <c r="W1295" s="7">
        <v>1</v>
      </c>
      <c r="X1295" t="str">
        <f t="shared" si="41"/>
        <v>Dropped Out</v>
      </c>
    </row>
    <row r="1296" spans="1:24" x14ac:dyDescent="0.3">
      <c r="A1296" s="2">
        <v>1295</v>
      </c>
      <c r="B1296" s="7">
        <v>21.2</v>
      </c>
      <c r="C1296" s="2" t="s">
        <v>11</v>
      </c>
      <c r="D1296" s="7">
        <f>IF(ISBLANK('Raw sheet'!D1296),AVERAGE('Raw sheet'!$D$2:'Raw sheet'!$D$1500),'Raw sheet'!D1296)</f>
        <v>28146</v>
      </c>
      <c r="E1296" s="7" t="str">
        <f>IF(Table1[[#This Row],[Family_Income]]&gt;=100000,"Upper",IF(D1296&gt;=50000,"Middle","Lower"))</f>
        <v>Lower</v>
      </c>
      <c r="F1296" s="2" t="s">
        <v>3</v>
      </c>
      <c r="G1296" s="3">
        <f>IF(ISBLANK('Raw sheet'!F1296),AVERAGE('Raw sheet'!$F$2:'Raw sheet'!$F$1500),'Raw sheet'!F1296)</f>
        <v>2.57</v>
      </c>
      <c r="H1296" s="18">
        <v>66</v>
      </c>
      <c r="I1296" s="9" t="str">
        <f t="shared" si="40"/>
        <v>Low</v>
      </c>
      <c r="J1296" s="2">
        <v>0</v>
      </c>
      <c r="K1296" s="2">
        <v>45.9</v>
      </c>
      <c r="L1296" s="2" t="s">
        <v>3</v>
      </c>
      <c r="M1296" s="2" t="s">
        <v>3</v>
      </c>
      <c r="N1296" s="5">
        <f>IF(ISBLANK('Raw sheet'!L1296),AVERAGE('Raw sheet'!$L$2:'Raw sheet'!$L$1500),'Raw sheet'!L1296)</f>
        <v>6.5</v>
      </c>
      <c r="O1296" s="5" t="str">
        <f>IF(Table1[[#This Row],[Stress_Index]]&gt;=8,"High",IF(N1296&gt;=5,"Medium","Low"))</f>
        <v>Medium</v>
      </c>
      <c r="P1296" s="3">
        <v>1.88</v>
      </c>
      <c r="Q1296" s="2">
        <v>1.92</v>
      </c>
      <c r="R1296" s="3">
        <v>1.82</v>
      </c>
      <c r="S1296" s="3" t="str">
        <f>IF(Table1[[#This Row],[CGPA]]&gt;=3,"High",IF(R1295&gt;=2,"Medium","Low"))</f>
        <v>Low</v>
      </c>
      <c r="T1296" s="2" t="s">
        <v>10</v>
      </c>
      <c r="U1296" s="2" t="s">
        <v>14</v>
      </c>
      <c r="V1296" s="2" t="s">
        <v>9</v>
      </c>
      <c r="W1296" s="7">
        <v>1</v>
      </c>
      <c r="X1296" t="str">
        <f t="shared" si="41"/>
        <v>Dropped Out</v>
      </c>
    </row>
    <row r="1297" spans="1:24" x14ac:dyDescent="0.3">
      <c r="A1297" s="2">
        <v>1296</v>
      </c>
      <c r="B1297" s="7">
        <v>20.8</v>
      </c>
      <c r="C1297" s="2" t="s">
        <v>5</v>
      </c>
      <c r="D1297" s="7">
        <f>IF(ISBLANK('Raw sheet'!D1297),AVERAGE('Raw sheet'!$D$2:'Raw sheet'!$D$1500),'Raw sheet'!D1297)</f>
        <v>50427</v>
      </c>
      <c r="E1297" s="7" t="str">
        <f>IF(Table1[[#This Row],[Family_Income]]&gt;=100000,"Upper",IF(D1297&gt;=50000,"Middle","Lower"))</f>
        <v>Middle</v>
      </c>
      <c r="F1297" s="2" t="s">
        <v>4</v>
      </c>
      <c r="G1297" s="3">
        <f>IF(ISBLANK('Raw sheet'!F1297),AVERAGE('Raw sheet'!$F$2:'Raw sheet'!$F$1500),'Raw sheet'!F1297)</f>
        <v>1.65</v>
      </c>
      <c r="H1297" s="18">
        <v>85.1</v>
      </c>
      <c r="I1297" s="9" t="str">
        <f t="shared" si="40"/>
        <v>Good</v>
      </c>
      <c r="J1297" s="2">
        <v>2</v>
      </c>
      <c r="K1297" s="2">
        <v>20.7</v>
      </c>
      <c r="L1297" s="2" t="s">
        <v>4</v>
      </c>
      <c r="M1297" s="2" t="s">
        <v>4</v>
      </c>
      <c r="N1297" s="5">
        <f>IF(ISBLANK('Raw sheet'!L1297),AVERAGE('Raw sheet'!$L$2:'Raw sheet'!$L$1500),'Raw sheet'!L1297)</f>
        <v>4.5999999999999996</v>
      </c>
      <c r="O1297" s="5" t="str">
        <f>IF(Table1[[#This Row],[Stress_Index]]&gt;=8,"High",IF(N1297&gt;=5,"Medium","Low"))</f>
        <v>Low</v>
      </c>
      <c r="P1297" s="3">
        <v>2.77</v>
      </c>
      <c r="Q1297" s="2">
        <v>2.7</v>
      </c>
      <c r="R1297" s="3">
        <v>2.7</v>
      </c>
      <c r="S1297" s="3" t="str">
        <f>IF(Table1[[#This Row],[CGPA]]&gt;=3,"High",IF(R1296&gt;=2,"Medium","Low"))</f>
        <v>Low</v>
      </c>
      <c r="T1297" s="2" t="s">
        <v>2</v>
      </c>
      <c r="U1297" s="2" t="s">
        <v>1</v>
      </c>
      <c r="V1297" s="2" t="s">
        <v>9</v>
      </c>
      <c r="W1297" s="7">
        <v>0</v>
      </c>
      <c r="X1297" t="str">
        <f t="shared" si="41"/>
        <v>Active</v>
      </c>
    </row>
    <row r="1298" spans="1:24" x14ac:dyDescent="0.3">
      <c r="A1298" s="2">
        <v>1297</v>
      </c>
      <c r="B1298" s="7">
        <v>23</v>
      </c>
      <c r="C1298" s="2" t="s">
        <v>11</v>
      </c>
      <c r="D1298" s="7">
        <f>IF(ISBLANK('Raw sheet'!D1298),AVERAGE('Raw sheet'!$D$2:'Raw sheet'!$D$1500),'Raw sheet'!D1298)</f>
        <v>30298</v>
      </c>
      <c r="E1298" s="7" t="str">
        <f>IF(Table1[[#This Row],[Family_Income]]&gt;=100000,"Upper",IF(D1298&gt;=50000,"Middle","Lower"))</f>
        <v>Lower</v>
      </c>
      <c r="F1298" s="2" t="s">
        <v>4</v>
      </c>
      <c r="G1298" s="3">
        <f>IF(ISBLANK('Raw sheet'!F1298),AVERAGE('Raw sheet'!$F$2:'Raw sheet'!$F$1500),'Raw sheet'!F1298)</f>
        <v>2.59</v>
      </c>
      <c r="H1298" s="18">
        <v>74.8</v>
      </c>
      <c r="I1298" s="9" t="str">
        <f t="shared" si="40"/>
        <v>Low</v>
      </c>
      <c r="J1298" s="2">
        <v>1</v>
      </c>
      <c r="K1298" s="2">
        <v>41.5</v>
      </c>
      <c r="L1298" s="2" t="s">
        <v>4</v>
      </c>
      <c r="M1298" s="2" t="s">
        <v>3</v>
      </c>
      <c r="N1298" s="5">
        <f>IF(ISBLANK('Raw sheet'!L1298),AVERAGE('Raw sheet'!$L$2:'Raw sheet'!$L$1500),'Raw sheet'!L1298)</f>
        <v>7</v>
      </c>
      <c r="O1298" s="5" t="str">
        <f>IF(Table1[[#This Row],[Stress_Index]]&gt;=8,"High",IF(N1298&gt;=5,"Medium","Low"))</f>
        <v>Medium</v>
      </c>
      <c r="P1298" s="3">
        <v>0.65</v>
      </c>
      <c r="Q1298" s="2">
        <v>0.51</v>
      </c>
      <c r="R1298" s="3">
        <v>0.52</v>
      </c>
      <c r="S1298" s="3" t="str">
        <f>IF(Table1[[#This Row],[CGPA]]&gt;=3,"High",IF(R1297&gt;=2,"Medium","Low"))</f>
        <v>Medium</v>
      </c>
      <c r="T1298" s="2" t="s">
        <v>7</v>
      </c>
      <c r="U1298" s="2" t="s">
        <v>14</v>
      </c>
      <c r="V1298" s="2" t="s">
        <v>0</v>
      </c>
      <c r="W1298" s="7">
        <v>1</v>
      </c>
      <c r="X1298" t="str">
        <f t="shared" si="41"/>
        <v>Dropped Out</v>
      </c>
    </row>
    <row r="1299" spans="1:24" x14ac:dyDescent="0.3">
      <c r="A1299" s="2">
        <v>1298</v>
      </c>
      <c r="B1299" s="7">
        <v>20.399999999999999</v>
      </c>
      <c r="C1299" s="2" t="s">
        <v>11</v>
      </c>
      <c r="D1299" s="7">
        <f>IF(ISBLANK('Raw sheet'!D1299),AVERAGE('Raw sheet'!$D$2:'Raw sheet'!$D$1500),'Raw sheet'!D1299)</f>
        <v>32829</v>
      </c>
      <c r="E1299" s="7" t="str">
        <f>IF(Table1[[#This Row],[Family_Income]]&gt;=100000,"Upper",IF(D1299&gt;=50000,"Middle","Lower"))</f>
        <v>Lower</v>
      </c>
      <c r="F1299" s="2" t="s">
        <v>4</v>
      </c>
      <c r="G1299" s="3">
        <f>IF(ISBLANK('Raw sheet'!F1299),AVERAGE('Raw sheet'!$F$2:'Raw sheet'!$F$1500),'Raw sheet'!F1299)</f>
        <v>4.3</v>
      </c>
      <c r="H1299" s="18">
        <v>84.2</v>
      </c>
      <c r="I1299" s="9" t="str">
        <f t="shared" si="40"/>
        <v>Good</v>
      </c>
      <c r="J1299" s="2">
        <v>1</v>
      </c>
      <c r="K1299" s="2">
        <v>15.2</v>
      </c>
      <c r="L1299" s="2" t="s">
        <v>3</v>
      </c>
      <c r="M1299" s="2" t="s">
        <v>3</v>
      </c>
      <c r="N1299" s="5">
        <f>IF(ISBLANK('Raw sheet'!L1299),AVERAGE('Raw sheet'!$L$2:'Raw sheet'!$L$1500),'Raw sheet'!L1299)</f>
        <v>3.3</v>
      </c>
      <c r="O1299" s="5" t="str">
        <f>IF(Table1[[#This Row],[Stress_Index]]&gt;=8,"High",IF(N1299&gt;=5,"Medium","Low"))</f>
        <v>Low</v>
      </c>
      <c r="P1299" s="3">
        <v>1.59</v>
      </c>
      <c r="Q1299" s="2">
        <v>1.22</v>
      </c>
      <c r="R1299" s="3">
        <v>1.27</v>
      </c>
      <c r="S1299" s="3" t="str">
        <f>IF(Table1[[#This Row],[CGPA]]&gt;=3,"High",IF(R1298&gt;=2,"Medium","Low"))</f>
        <v>Low</v>
      </c>
      <c r="T1299" s="2" t="s">
        <v>12</v>
      </c>
      <c r="U1299" s="2" t="s">
        <v>13</v>
      </c>
      <c r="V1299" s="2" t="s">
        <v>9</v>
      </c>
      <c r="W1299" s="7">
        <v>0</v>
      </c>
      <c r="X1299" t="str">
        <f t="shared" si="41"/>
        <v>Active</v>
      </c>
    </row>
    <row r="1300" spans="1:24" x14ac:dyDescent="0.3">
      <c r="A1300" s="2">
        <v>1299</v>
      </c>
      <c r="B1300" s="7">
        <v>21.6</v>
      </c>
      <c r="C1300" s="2" t="s">
        <v>11</v>
      </c>
      <c r="D1300" s="7">
        <f>IF(ISBLANK('Raw sheet'!D1300),AVERAGE('Raw sheet'!$D$2:'Raw sheet'!$D$1500),'Raw sheet'!D1300)</f>
        <v>25000</v>
      </c>
      <c r="E1300" s="7" t="str">
        <f>IF(Table1[[#This Row],[Family_Income]]&gt;=100000,"Upper",IF(D1300&gt;=50000,"Middle","Lower"))</f>
        <v>Lower</v>
      </c>
      <c r="F1300" s="2" t="s">
        <v>4</v>
      </c>
      <c r="G1300" s="3">
        <f>IF(ISBLANK('Raw sheet'!F1300),AVERAGE('Raw sheet'!$F$2:'Raw sheet'!$F$1500),'Raw sheet'!F1300)</f>
        <v>3.59</v>
      </c>
      <c r="H1300" s="18">
        <v>71.2</v>
      </c>
      <c r="I1300" s="9" t="str">
        <f t="shared" si="40"/>
        <v>Low</v>
      </c>
      <c r="J1300" s="2">
        <v>0</v>
      </c>
      <c r="K1300" s="2">
        <v>26.4</v>
      </c>
      <c r="L1300" s="2" t="s">
        <v>4</v>
      </c>
      <c r="M1300" s="2" t="s">
        <v>3</v>
      </c>
      <c r="N1300" s="5">
        <f>IF(ISBLANK('Raw sheet'!L1300),AVERAGE('Raw sheet'!$L$2:'Raw sheet'!$L$1500),'Raw sheet'!L1300)</f>
        <v>4.7</v>
      </c>
      <c r="O1300" s="5" t="str">
        <f>IF(Table1[[#This Row],[Stress_Index]]&gt;=8,"High",IF(N1300&gt;=5,"Medium","Low"))</f>
        <v>Low</v>
      </c>
      <c r="P1300" s="3">
        <v>1.72</v>
      </c>
      <c r="Q1300" s="2">
        <v>1.84</v>
      </c>
      <c r="R1300" s="3">
        <v>1.89</v>
      </c>
      <c r="S1300" s="3" t="str">
        <f>IF(Table1[[#This Row],[CGPA]]&gt;=3,"High",IF(R1299&gt;=2,"Medium","Low"))</f>
        <v>Low</v>
      </c>
      <c r="T1300" s="2" t="s">
        <v>10</v>
      </c>
      <c r="U1300" s="2" t="s">
        <v>13</v>
      </c>
      <c r="V1300" s="2" t="s">
        <v>0</v>
      </c>
      <c r="W1300" s="7">
        <v>1</v>
      </c>
      <c r="X1300" t="str">
        <f t="shared" si="41"/>
        <v>Dropped Out</v>
      </c>
    </row>
    <row r="1301" spans="1:24" x14ac:dyDescent="0.3">
      <c r="A1301" s="2">
        <v>1300</v>
      </c>
      <c r="B1301" s="7">
        <v>21.7</v>
      </c>
      <c r="C1301" s="2" t="s">
        <v>11</v>
      </c>
      <c r="D1301" s="7">
        <f>IF(ISBLANK('Raw sheet'!D1301),AVERAGE('Raw sheet'!$D$2:'Raw sheet'!$D$1500),'Raw sheet'!D1301)</f>
        <v>25000</v>
      </c>
      <c r="E1301" s="7" t="str">
        <f>IF(Table1[[#This Row],[Family_Income]]&gt;=100000,"Upper",IF(D1301&gt;=50000,"Middle","Lower"))</f>
        <v>Lower</v>
      </c>
      <c r="F1301" s="2" t="s">
        <v>4</v>
      </c>
      <c r="G1301" s="3">
        <f>IF(ISBLANK('Raw sheet'!F1301),AVERAGE('Raw sheet'!$F$2:'Raw sheet'!$F$1500),'Raw sheet'!F1301)</f>
        <v>3.71</v>
      </c>
      <c r="H1301" s="18">
        <v>83.9</v>
      </c>
      <c r="I1301" s="9" t="str">
        <f t="shared" si="40"/>
        <v>Good</v>
      </c>
      <c r="J1301" s="2">
        <v>0</v>
      </c>
      <c r="K1301" s="2">
        <v>16.3</v>
      </c>
      <c r="L1301" s="2" t="s">
        <v>3</v>
      </c>
      <c r="M1301" s="2" t="s">
        <v>3</v>
      </c>
      <c r="N1301" s="5">
        <f>IF(ISBLANK('Raw sheet'!L1301),AVERAGE('Raw sheet'!$L$2:'Raw sheet'!$L$1500),'Raw sheet'!L1301)</f>
        <v>4.9000000000000004</v>
      </c>
      <c r="O1301" s="5" t="str">
        <f>IF(Table1[[#This Row],[Stress_Index]]&gt;=8,"High",IF(N1301&gt;=5,"Medium","Low"))</f>
        <v>Low</v>
      </c>
      <c r="P1301" s="3">
        <v>2.44</v>
      </c>
      <c r="Q1301" s="2">
        <v>2.34</v>
      </c>
      <c r="R1301" s="3">
        <v>2.35</v>
      </c>
      <c r="S1301" s="3" t="str">
        <f>IF(Table1[[#This Row],[CGPA]]&gt;=3,"High",IF(R1300&gt;=2,"Medium","Low"))</f>
        <v>Low</v>
      </c>
      <c r="T1301" s="2" t="s">
        <v>10</v>
      </c>
      <c r="U1301" s="2" t="s">
        <v>14</v>
      </c>
      <c r="V1301" s="2" t="s">
        <v>15</v>
      </c>
      <c r="W1301" s="7">
        <v>1</v>
      </c>
      <c r="X1301" t="str">
        <f t="shared" si="41"/>
        <v>Dropped Out</v>
      </c>
    </row>
    <row r="1302" spans="1:24" x14ac:dyDescent="0.3">
      <c r="A1302" s="2">
        <v>1301</v>
      </c>
      <c r="B1302" s="7">
        <v>19.5</v>
      </c>
      <c r="C1302" s="2" t="s">
        <v>11</v>
      </c>
      <c r="D1302" s="7">
        <f>IF(ISBLANK('Raw sheet'!D1302),AVERAGE('Raw sheet'!$D$2:'Raw sheet'!$D$1500),'Raw sheet'!D1302)</f>
        <v>28226</v>
      </c>
      <c r="E1302" s="7" t="str">
        <f>IF(Table1[[#This Row],[Family_Income]]&gt;=100000,"Upper",IF(D1302&gt;=50000,"Middle","Lower"))</f>
        <v>Lower</v>
      </c>
      <c r="F1302" s="2" t="s">
        <v>4</v>
      </c>
      <c r="G1302" s="3">
        <f>IF(ISBLANK('Raw sheet'!F1302),AVERAGE('Raw sheet'!$F$2:'Raw sheet'!$F$1500),'Raw sheet'!F1302)</f>
        <v>3.41</v>
      </c>
      <c r="H1302" s="18">
        <v>93</v>
      </c>
      <c r="I1302" s="9" t="str">
        <f t="shared" si="40"/>
        <v>Good</v>
      </c>
      <c r="J1302" s="2">
        <v>3</v>
      </c>
      <c r="K1302" s="2">
        <v>25.1</v>
      </c>
      <c r="L1302" s="2" t="s">
        <v>4</v>
      </c>
      <c r="M1302" s="2" t="s">
        <v>3</v>
      </c>
      <c r="N1302" s="5">
        <f>IF(ISBLANK('Raw sheet'!L1302),AVERAGE('Raw sheet'!$L$2:'Raw sheet'!$L$1500),'Raw sheet'!L1302)</f>
        <v>7.3</v>
      </c>
      <c r="O1302" s="5" t="str">
        <f>IF(Table1[[#This Row],[Stress_Index]]&gt;=8,"High",IF(N1302&gt;=5,"Medium","Low"))</f>
        <v>Medium</v>
      </c>
      <c r="P1302" s="3">
        <v>2.81</v>
      </c>
      <c r="Q1302" s="2">
        <v>2.57</v>
      </c>
      <c r="R1302" s="3">
        <v>2.4900000000000002</v>
      </c>
      <c r="S1302" s="3" t="str">
        <f>IF(Table1[[#This Row],[CGPA]]&gt;=3,"High",IF(R1301&gt;=2,"Medium","Low"))</f>
        <v>Medium</v>
      </c>
      <c r="T1302" s="2" t="s">
        <v>12</v>
      </c>
      <c r="U1302" s="2" t="s">
        <v>13</v>
      </c>
      <c r="V1302" s="2" t="s">
        <v>15</v>
      </c>
      <c r="W1302" s="7">
        <v>0</v>
      </c>
      <c r="X1302" t="str">
        <f t="shared" si="41"/>
        <v>Active</v>
      </c>
    </row>
    <row r="1303" spans="1:24" x14ac:dyDescent="0.3">
      <c r="A1303" s="2">
        <v>1302</v>
      </c>
      <c r="B1303" s="7">
        <v>23.2</v>
      </c>
      <c r="C1303" s="2" t="s">
        <v>11</v>
      </c>
      <c r="D1303" s="7">
        <f>IF(ISBLANK('Raw sheet'!D1303),AVERAGE('Raw sheet'!$D$2:'Raw sheet'!$D$1500),'Raw sheet'!D1303)</f>
        <v>30485</v>
      </c>
      <c r="E1303" s="7" t="str">
        <f>IF(Table1[[#This Row],[Family_Income]]&gt;=100000,"Upper",IF(D1303&gt;=50000,"Middle","Lower"))</f>
        <v>Lower</v>
      </c>
      <c r="F1303" s="2" t="s">
        <v>4</v>
      </c>
      <c r="G1303" s="3">
        <f>IF(ISBLANK('Raw sheet'!F1303),AVERAGE('Raw sheet'!$F$2:'Raw sheet'!$F$1500),'Raw sheet'!F1303)</f>
        <v>4.2</v>
      </c>
      <c r="H1303" s="18">
        <v>77.2</v>
      </c>
      <c r="I1303" s="9" t="str">
        <f t="shared" si="40"/>
        <v>Good</v>
      </c>
      <c r="J1303" s="2">
        <v>3</v>
      </c>
      <c r="K1303" s="2">
        <v>52.9</v>
      </c>
      <c r="L1303" s="2" t="s">
        <v>3</v>
      </c>
      <c r="M1303" s="2" t="s">
        <v>3</v>
      </c>
      <c r="N1303" s="5">
        <f>IF(ISBLANK('Raw sheet'!L1303),AVERAGE('Raw sheet'!$L$2:'Raw sheet'!$L$1500),'Raw sheet'!L1303)</f>
        <v>8.6</v>
      </c>
      <c r="O1303" s="5" t="str">
        <f>IF(Table1[[#This Row],[Stress_Index]]&gt;=8,"High",IF(N1303&gt;=5,"Medium","Low"))</f>
        <v>High</v>
      </c>
      <c r="P1303" s="3">
        <v>0.67</v>
      </c>
      <c r="Q1303" s="2">
        <v>0.49</v>
      </c>
      <c r="R1303" s="3">
        <v>0.48</v>
      </c>
      <c r="S1303" s="3" t="str">
        <f>IF(Table1[[#This Row],[CGPA]]&gt;=3,"High",IF(R1302&gt;=2,"Medium","Low"))</f>
        <v>Medium</v>
      </c>
      <c r="T1303" s="2" t="s">
        <v>12</v>
      </c>
      <c r="U1303" s="2" t="s">
        <v>6</v>
      </c>
      <c r="V1303" s="2" t="s">
        <v>9</v>
      </c>
      <c r="W1303" s="7">
        <v>0</v>
      </c>
      <c r="X1303" t="str">
        <f t="shared" si="41"/>
        <v>Active</v>
      </c>
    </row>
    <row r="1304" spans="1:24" x14ac:dyDescent="0.3">
      <c r="A1304" s="2">
        <v>1303</v>
      </c>
      <c r="B1304" s="7">
        <v>20.6</v>
      </c>
      <c r="C1304" s="2" t="s">
        <v>5</v>
      </c>
      <c r="D1304" s="7">
        <f>IF(ISBLANK('Raw sheet'!D1304),AVERAGE('Raw sheet'!$D$2:'Raw sheet'!$D$1500),'Raw sheet'!D1304)</f>
        <v>25000</v>
      </c>
      <c r="E1304" s="7" t="str">
        <f>IF(Table1[[#This Row],[Family_Income]]&gt;=100000,"Upper",IF(D1304&gt;=50000,"Middle","Lower"))</f>
        <v>Lower</v>
      </c>
      <c r="F1304" s="2" t="s">
        <v>4</v>
      </c>
      <c r="G1304" s="3">
        <f>IF(ISBLANK('Raw sheet'!F1304),AVERAGE('Raw sheet'!$F$2:'Raw sheet'!$F$1500),'Raw sheet'!F1304)</f>
        <v>4.12</v>
      </c>
      <c r="H1304" s="18">
        <v>77.099999999999994</v>
      </c>
      <c r="I1304" s="9" t="str">
        <f t="shared" si="40"/>
        <v>Good</v>
      </c>
      <c r="J1304" s="2">
        <v>2</v>
      </c>
      <c r="K1304" s="2">
        <v>29.3</v>
      </c>
      <c r="L1304" s="2" t="s">
        <v>4</v>
      </c>
      <c r="M1304" s="2" t="s">
        <v>3</v>
      </c>
      <c r="N1304" s="5">
        <f>IF(ISBLANK('Raw sheet'!L1304),AVERAGE('Raw sheet'!$L$2:'Raw sheet'!$L$1500),'Raw sheet'!L1304)</f>
        <v>4.7</v>
      </c>
      <c r="O1304" s="5" t="str">
        <f>IF(Table1[[#This Row],[Stress_Index]]&gt;=8,"High",IF(N1304&gt;=5,"Medium","Low"))</f>
        <v>Low</v>
      </c>
      <c r="P1304" s="3">
        <v>3.49</v>
      </c>
      <c r="Q1304" s="2">
        <v>3.63</v>
      </c>
      <c r="R1304" s="3">
        <v>3.61</v>
      </c>
      <c r="S1304" s="3" t="str">
        <f>IF(Table1[[#This Row],[CGPA]]&gt;=3,"High",IF(R1303&gt;=2,"Medium","Low"))</f>
        <v>High</v>
      </c>
      <c r="T1304" s="2" t="s">
        <v>10</v>
      </c>
      <c r="U1304" s="2" t="s">
        <v>1</v>
      </c>
      <c r="V1304" s="2" t="s">
        <v>17</v>
      </c>
      <c r="W1304" s="7">
        <v>0</v>
      </c>
      <c r="X1304" t="str">
        <f t="shared" si="41"/>
        <v>Active</v>
      </c>
    </row>
    <row r="1305" spans="1:24" x14ac:dyDescent="0.3">
      <c r="A1305" s="2">
        <v>1304</v>
      </c>
      <c r="B1305" s="7">
        <v>19.3</v>
      </c>
      <c r="C1305" s="2" t="s">
        <v>11</v>
      </c>
      <c r="D1305" s="7">
        <f>IF(ISBLANK('Raw sheet'!D1305),AVERAGE('Raw sheet'!$D$2:'Raw sheet'!$D$1500),'Raw sheet'!D1305)</f>
        <v>28578</v>
      </c>
      <c r="E1305" s="7" t="str">
        <f>IF(Table1[[#This Row],[Family_Income]]&gt;=100000,"Upper",IF(D1305&gt;=50000,"Middle","Lower"))</f>
        <v>Lower</v>
      </c>
      <c r="F1305" s="2" t="s">
        <v>4</v>
      </c>
      <c r="G1305" s="3">
        <f>IF(ISBLANK('Raw sheet'!F1305),AVERAGE('Raw sheet'!$F$2:'Raw sheet'!$F$1500),'Raw sheet'!F1305)</f>
        <v>4.04</v>
      </c>
      <c r="H1305" s="18">
        <v>85.5</v>
      </c>
      <c r="I1305" s="9" t="str">
        <f t="shared" si="40"/>
        <v>Good</v>
      </c>
      <c r="J1305" s="2">
        <v>5</v>
      </c>
      <c r="K1305" s="2">
        <v>26.6</v>
      </c>
      <c r="L1305" s="2" t="s">
        <v>4</v>
      </c>
      <c r="M1305" s="2" t="s">
        <v>3</v>
      </c>
      <c r="N1305" s="5">
        <f>IF(ISBLANK('Raw sheet'!L1305),AVERAGE('Raw sheet'!$L$2:'Raw sheet'!$L$1500),'Raw sheet'!L1305)</f>
        <v>5.3</v>
      </c>
      <c r="O1305" s="5" t="str">
        <f>IF(Table1[[#This Row],[Stress_Index]]&gt;=8,"High",IF(N1305&gt;=5,"Medium","Low"))</f>
        <v>Medium</v>
      </c>
      <c r="P1305" s="3">
        <v>1.48</v>
      </c>
      <c r="Q1305" s="2">
        <v>1.26</v>
      </c>
      <c r="R1305" s="3">
        <v>1.26</v>
      </c>
      <c r="S1305" s="3" t="str">
        <f>IF(Table1[[#This Row],[CGPA]]&gt;=3,"High",IF(R1304&gt;=2,"Medium","Low"))</f>
        <v>Medium</v>
      </c>
      <c r="T1305" s="2" t="s">
        <v>2</v>
      </c>
      <c r="U1305" s="2" t="s">
        <v>8</v>
      </c>
      <c r="V1305" s="2" t="s">
        <v>15</v>
      </c>
      <c r="W1305" s="7">
        <v>0</v>
      </c>
      <c r="X1305" t="str">
        <f t="shared" si="41"/>
        <v>Active</v>
      </c>
    </row>
    <row r="1306" spans="1:24" x14ac:dyDescent="0.3">
      <c r="A1306" s="2">
        <v>1305</v>
      </c>
      <c r="B1306" s="7">
        <v>22.2</v>
      </c>
      <c r="C1306" s="2" t="s">
        <v>11</v>
      </c>
      <c r="D1306" s="7">
        <f>IF(ISBLANK('Raw sheet'!D1306),AVERAGE('Raw sheet'!$D$2:'Raw sheet'!$D$1500),'Raw sheet'!D1306)</f>
        <v>76200</v>
      </c>
      <c r="E1306" s="7" t="str">
        <f>IF(Table1[[#This Row],[Family_Income]]&gt;=100000,"Upper",IF(D1306&gt;=50000,"Middle","Lower"))</f>
        <v>Middle</v>
      </c>
      <c r="F1306" s="2" t="s">
        <v>4</v>
      </c>
      <c r="G1306" s="3">
        <f>IF(ISBLANK('Raw sheet'!F1306),AVERAGE('Raw sheet'!$F$2:'Raw sheet'!$F$1500),'Raw sheet'!F1306)</f>
        <v>3.58</v>
      </c>
      <c r="H1306" s="18">
        <v>83.7</v>
      </c>
      <c r="I1306" s="9" t="str">
        <f t="shared" si="40"/>
        <v>Good</v>
      </c>
      <c r="J1306" s="2">
        <v>2</v>
      </c>
      <c r="K1306" s="2">
        <v>23.2</v>
      </c>
      <c r="L1306" s="2" t="s">
        <v>3</v>
      </c>
      <c r="M1306" s="2" t="s">
        <v>3</v>
      </c>
      <c r="N1306" s="5">
        <f>IF(ISBLANK('Raw sheet'!L1306),AVERAGE('Raw sheet'!$L$2:'Raw sheet'!$L$1500),'Raw sheet'!L1306)</f>
        <v>3.4</v>
      </c>
      <c r="O1306" s="5" t="str">
        <f>IF(Table1[[#This Row],[Stress_Index]]&gt;=8,"High",IF(N1306&gt;=5,"Medium","Low"))</f>
        <v>Low</v>
      </c>
      <c r="P1306" s="3">
        <v>1.82</v>
      </c>
      <c r="Q1306" s="2">
        <v>1.92</v>
      </c>
      <c r="R1306" s="3">
        <v>1.94</v>
      </c>
      <c r="S1306" s="3" t="str">
        <f>IF(Table1[[#This Row],[CGPA]]&gt;=3,"High",IF(R1305&gt;=2,"Medium","Low"))</f>
        <v>Low</v>
      </c>
      <c r="T1306" s="2" t="s">
        <v>10</v>
      </c>
      <c r="U1306" s="2" t="s">
        <v>8</v>
      </c>
      <c r="V1306" s="2" t="s">
        <v>9</v>
      </c>
      <c r="W1306" s="7">
        <v>0</v>
      </c>
      <c r="X1306" t="str">
        <f t="shared" si="41"/>
        <v>Active</v>
      </c>
    </row>
    <row r="1307" spans="1:24" x14ac:dyDescent="0.3">
      <c r="A1307" s="2">
        <v>1306</v>
      </c>
      <c r="B1307" s="7">
        <v>19</v>
      </c>
      <c r="C1307" s="2" t="s">
        <v>11</v>
      </c>
      <c r="D1307" s="7">
        <f>IF(ISBLANK('Raw sheet'!D1307),AVERAGE('Raw sheet'!$D$2:'Raw sheet'!$D$1500),'Raw sheet'!D1307)</f>
        <v>25000</v>
      </c>
      <c r="E1307" s="7" t="str">
        <f>IF(Table1[[#This Row],[Family_Income]]&gt;=100000,"Upper",IF(D1307&gt;=50000,"Middle","Lower"))</f>
        <v>Lower</v>
      </c>
      <c r="F1307" s="2" t="s">
        <v>4</v>
      </c>
      <c r="G1307" s="3">
        <f>IF(ISBLANK('Raw sheet'!F1307),AVERAGE('Raw sheet'!$F$2:'Raw sheet'!$F$1500),'Raw sheet'!F1307)</f>
        <v>4.95</v>
      </c>
      <c r="H1307" s="18">
        <v>70.900000000000006</v>
      </c>
      <c r="I1307" s="9" t="str">
        <f t="shared" si="40"/>
        <v>Low</v>
      </c>
      <c r="J1307" s="2">
        <v>2</v>
      </c>
      <c r="K1307" s="2">
        <v>26.4</v>
      </c>
      <c r="L1307" s="2" t="s">
        <v>3</v>
      </c>
      <c r="M1307" s="2" t="s">
        <v>3</v>
      </c>
      <c r="N1307" s="5">
        <f>IF(ISBLANK('Raw sheet'!L1307),AVERAGE('Raw sheet'!$L$2:'Raw sheet'!$L$1500),'Raw sheet'!L1307)</f>
        <v>5.4</v>
      </c>
      <c r="O1307" s="5" t="str">
        <f>IF(Table1[[#This Row],[Stress_Index]]&gt;=8,"High",IF(N1307&gt;=5,"Medium","Low"))</f>
        <v>Medium</v>
      </c>
      <c r="P1307" s="3">
        <v>0.59</v>
      </c>
      <c r="Q1307" s="2">
        <v>0.41</v>
      </c>
      <c r="R1307" s="3">
        <v>0.41</v>
      </c>
      <c r="S1307" s="3" t="str">
        <f>IF(Table1[[#This Row],[CGPA]]&gt;=3,"High",IF(R1306&gt;=2,"Medium","Low"))</f>
        <v>Low</v>
      </c>
      <c r="T1307" s="2" t="s">
        <v>2</v>
      </c>
      <c r="U1307" s="2" t="s">
        <v>8</v>
      </c>
      <c r="V1307" s="2" t="s">
        <v>9</v>
      </c>
      <c r="W1307" s="7">
        <v>1</v>
      </c>
      <c r="X1307" t="str">
        <f t="shared" si="41"/>
        <v>Dropped Out</v>
      </c>
    </row>
    <row r="1308" spans="1:24" x14ac:dyDescent="0.3">
      <c r="A1308" s="2">
        <v>1307</v>
      </c>
      <c r="B1308" s="7">
        <v>21.1</v>
      </c>
      <c r="C1308" s="2" t="s">
        <v>11</v>
      </c>
      <c r="D1308" s="7">
        <f>IF(ISBLANK('Raw sheet'!D1308),AVERAGE('Raw sheet'!$D$2:'Raw sheet'!$D$1500),'Raw sheet'!D1308)</f>
        <v>25000</v>
      </c>
      <c r="E1308" s="7" t="str">
        <f>IF(Table1[[#This Row],[Family_Income]]&gt;=100000,"Upper",IF(D1308&gt;=50000,"Middle","Lower"))</f>
        <v>Lower</v>
      </c>
      <c r="F1308" s="2" t="s">
        <v>3</v>
      </c>
      <c r="G1308" s="3">
        <f>IF(ISBLANK('Raw sheet'!F1308),AVERAGE('Raw sheet'!$F$2:'Raw sheet'!$F$1500),'Raw sheet'!F1308)</f>
        <v>1.39</v>
      </c>
      <c r="H1308" s="18">
        <v>90.9</v>
      </c>
      <c r="I1308" s="9" t="str">
        <f t="shared" si="40"/>
        <v>Good</v>
      </c>
      <c r="J1308" s="2">
        <v>0</v>
      </c>
      <c r="K1308" s="2">
        <v>20.3</v>
      </c>
      <c r="L1308" s="2" t="s">
        <v>3</v>
      </c>
      <c r="M1308" s="2" t="s">
        <v>3</v>
      </c>
      <c r="N1308" s="5">
        <f>IF(ISBLANK('Raw sheet'!L1308),AVERAGE('Raw sheet'!$L$2:'Raw sheet'!$L$1500),'Raw sheet'!L1308)</f>
        <v>7.5</v>
      </c>
      <c r="O1308" s="5" t="str">
        <f>IF(Table1[[#This Row],[Stress_Index]]&gt;=8,"High",IF(N1308&gt;=5,"Medium","Low"))</f>
        <v>Medium</v>
      </c>
      <c r="P1308" s="3">
        <v>0</v>
      </c>
      <c r="Q1308" s="2">
        <v>0</v>
      </c>
      <c r="R1308" s="3">
        <v>0</v>
      </c>
      <c r="S1308" s="3" t="str">
        <f>IF(Table1[[#This Row],[CGPA]]&gt;=3,"High",IF(R1307&gt;=2,"Medium","Low"))</f>
        <v>Low</v>
      </c>
      <c r="T1308" s="2" t="s">
        <v>10</v>
      </c>
      <c r="U1308" s="2" t="s">
        <v>13</v>
      </c>
      <c r="V1308" s="2" t="s">
        <v>15</v>
      </c>
      <c r="W1308" s="7">
        <v>0</v>
      </c>
      <c r="X1308" t="str">
        <f t="shared" si="41"/>
        <v>Active</v>
      </c>
    </row>
    <row r="1309" spans="1:24" x14ac:dyDescent="0.3">
      <c r="A1309" s="2">
        <v>1308</v>
      </c>
      <c r="B1309" s="7">
        <v>21</v>
      </c>
      <c r="C1309" s="2" t="s">
        <v>5</v>
      </c>
      <c r="D1309" s="7">
        <f>IF(ISBLANK('Raw sheet'!D1309),AVERAGE('Raw sheet'!$D$2:'Raw sheet'!$D$1500),'Raw sheet'!D1309)</f>
        <v>27150</v>
      </c>
      <c r="E1309" s="7" t="str">
        <f>IF(Table1[[#This Row],[Family_Income]]&gt;=100000,"Upper",IF(D1309&gt;=50000,"Middle","Lower"))</f>
        <v>Lower</v>
      </c>
      <c r="F1309" s="2" t="s">
        <v>4</v>
      </c>
      <c r="G1309" s="3">
        <f>IF(ISBLANK('Raw sheet'!F1309),AVERAGE('Raw sheet'!$F$2:'Raw sheet'!$F$1500),'Raw sheet'!F1309)</f>
        <v>3.01</v>
      </c>
      <c r="H1309" s="18">
        <v>88.5</v>
      </c>
      <c r="I1309" s="9" t="str">
        <f t="shared" si="40"/>
        <v>Good</v>
      </c>
      <c r="J1309" s="2">
        <v>1</v>
      </c>
      <c r="K1309" s="2">
        <v>31.6</v>
      </c>
      <c r="L1309" s="2" t="s">
        <v>4</v>
      </c>
      <c r="M1309" s="2" t="s">
        <v>4</v>
      </c>
      <c r="N1309" s="5">
        <f>IF(ISBLANK('Raw sheet'!L1309),AVERAGE('Raw sheet'!$L$2:'Raw sheet'!$L$1500),'Raw sheet'!L1309)</f>
        <v>2.2999999999999998</v>
      </c>
      <c r="O1309" s="5" t="str">
        <f>IF(Table1[[#This Row],[Stress_Index]]&gt;=8,"High",IF(N1309&gt;=5,"Medium","Low"))</f>
        <v>Low</v>
      </c>
      <c r="P1309" s="3">
        <v>4</v>
      </c>
      <c r="Q1309" s="2">
        <v>4</v>
      </c>
      <c r="R1309" s="3">
        <v>4</v>
      </c>
      <c r="S1309" s="3" t="str">
        <f>IF(Table1[[#This Row],[CGPA]]&gt;=3,"High",IF(R1308&gt;=2,"Medium","Low"))</f>
        <v>High</v>
      </c>
      <c r="T1309" s="2" t="s">
        <v>2</v>
      </c>
      <c r="U1309" s="2" t="s">
        <v>8</v>
      </c>
      <c r="V1309" s="2" t="s">
        <v>9</v>
      </c>
      <c r="W1309" s="7">
        <v>0</v>
      </c>
      <c r="X1309" t="str">
        <f t="shared" si="41"/>
        <v>Active</v>
      </c>
    </row>
    <row r="1310" spans="1:24" x14ac:dyDescent="0.3">
      <c r="A1310" s="2">
        <v>1309</v>
      </c>
      <c r="B1310" s="7">
        <v>23.4</v>
      </c>
      <c r="C1310" s="2" t="s">
        <v>11</v>
      </c>
      <c r="D1310" s="7">
        <f>IF(ISBLANK('Raw sheet'!D1310),AVERAGE('Raw sheet'!$D$2:'Raw sheet'!$D$1500),'Raw sheet'!D1310)</f>
        <v>25000</v>
      </c>
      <c r="E1310" s="7" t="str">
        <f>IF(Table1[[#This Row],[Family_Income]]&gt;=100000,"Upper",IF(D1310&gt;=50000,"Middle","Lower"))</f>
        <v>Lower</v>
      </c>
      <c r="F1310" s="2" t="s">
        <v>4</v>
      </c>
      <c r="G1310" s="3">
        <f>IF(ISBLANK('Raw sheet'!F1310),AVERAGE('Raw sheet'!$F$2:'Raw sheet'!$F$1500),'Raw sheet'!F1310)</f>
        <v>2.96</v>
      </c>
      <c r="H1310" s="18">
        <v>92.3</v>
      </c>
      <c r="I1310" s="9" t="str">
        <f t="shared" si="40"/>
        <v>Good</v>
      </c>
      <c r="J1310" s="2">
        <v>3</v>
      </c>
      <c r="K1310" s="2">
        <v>29.6</v>
      </c>
      <c r="L1310" s="2" t="s">
        <v>4</v>
      </c>
      <c r="M1310" s="2" t="s">
        <v>3</v>
      </c>
      <c r="N1310" s="5">
        <f>IF(ISBLANK('Raw sheet'!L1310),AVERAGE('Raw sheet'!$L$2:'Raw sheet'!$L$1500),'Raw sheet'!L1310)</f>
        <v>5.5</v>
      </c>
      <c r="O1310" s="5" t="str">
        <f>IF(Table1[[#This Row],[Stress_Index]]&gt;=8,"High",IF(N1310&gt;=5,"Medium","Low"))</f>
        <v>Medium</v>
      </c>
      <c r="P1310" s="3">
        <v>3.4</v>
      </c>
      <c r="Q1310" s="2">
        <v>3.46</v>
      </c>
      <c r="R1310" s="3">
        <v>3.46</v>
      </c>
      <c r="S1310" s="3" t="str">
        <f>IF(Table1[[#This Row],[CGPA]]&gt;=3,"High",IF(R1309&gt;=2,"Medium","Low"))</f>
        <v>High</v>
      </c>
      <c r="T1310" s="2" t="s">
        <v>2</v>
      </c>
      <c r="U1310" s="2" t="s">
        <v>1</v>
      </c>
      <c r="V1310" s="2" t="s">
        <v>15</v>
      </c>
      <c r="W1310" s="7">
        <v>0</v>
      </c>
      <c r="X1310" t="str">
        <f t="shared" si="41"/>
        <v>Active</v>
      </c>
    </row>
    <row r="1311" spans="1:24" x14ac:dyDescent="0.3">
      <c r="A1311" s="2">
        <v>1310</v>
      </c>
      <c r="B1311" s="7">
        <v>22</v>
      </c>
      <c r="C1311" s="2" t="s">
        <v>5</v>
      </c>
      <c r="D1311" s="7">
        <f>IF(ISBLANK('Raw sheet'!D1311),AVERAGE('Raw sheet'!$D$2:'Raw sheet'!$D$1500),'Raw sheet'!D1311)</f>
        <v>25000</v>
      </c>
      <c r="E1311" s="7" t="str">
        <f>IF(Table1[[#This Row],[Family_Income]]&gt;=100000,"Upper",IF(D1311&gt;=50000,"Middle","Lower"))</f>
        <v>Lower</v>
      </c>
      <c r="F1311" s="2" t="s">
        <v>4</v>
      </c>
      <c r="G1311" s="3">
        <f>IF(ISBLANK('Raw sheet'!F1311),AVERAGE('Raw sheet'!$F$2:'Raw sheet'!$F$1500),'Raw sheet'!F1311)</f>
        <v>4.84</v>
      </c>
      <c r="H1311" s="18">
        <v>86.4</v>
      </c>
      <c r="I1311" s="9" t="str">
        <f t="shared" si="40"/>
        <v>Good</v>
      </c>
      <c r="J1311" s="2">
        <v>5</v>
      </c>
      <c r="K1311" s="2">
        <v>24.5</v>
      </c>
      <c r="L1311" s="2" t="s">
        <v>3</v>
      </c>
      <c r="M1311" s="2" t="s">
        <v>4</v>
      </c>
      <c r="N1311" s="5">
        <f>IF(ISBLANK('Raw sheet'!L1311),AVERAGE('Raw sheet'!$L$2:'Raw sheet'!$L$1500),'Raw sheet'!L1311)</f>
        <v>6.8</v>
      </c>
      <c r="O1311" s="5" t="str">
        <f>IF(Table1[[#This Row],[Stress_Index]]&gt;=8,"High",IF(N1311&gt;=5,"Medium","Low"))</f>
        <v>Medium</v>
      </c>
      <c r="P1311" s="3">
        <v>2.2000000000000002</v>
      </c>
      <c r="Q1311" s="2">
        <v>2.4900000000000002</v>
      </c>
      <c r="R1311" s="3">
        <v>2.46</v>
      </c>
      <c r="S1311" s="3" t="str">
        <f>IF(Table1[[#This Row],[CGPA]]&gt;=3,"High",IF(R1310&gt;=2,"Medium","Low"))</f>
        <v>Medium</v>
      </c>
      <c r="T1311" s="2" t="s">
        <v>12</v>
      </c>
      <c r="U1311" s="2" t="s">
        <v>13</v>
      </c>
      <c r="V1311" s="2" t="s">
        <v>9</v>
      </c>
      <c r="W1311" s="7">
        <v>0</v>
      </c>
      <c r="X1311" t="str">
        <f t="shared" si="41"/>
        <v>Active</v>
      </c>
    </row>
    <row r="1312" spans="1:24" x14ac:dyDescent="0.3">
      <c r="A1312" s="2">
        <v>1311</v>
      </c>
      <c r="B1312" s="7">
        <v>20.9</v>
      </c>
      <c r="C1312" s="2" t="s">
        <v>5</v>
      </c>
      <c r="D1312" s="7">
        <f>IF(ISBLANK('Raw sheet'!D1312),AVERAGE('Raw sheet'!$D$2:'Raw sheet'!$D$1500),'Raw sheet'!D1312)</f>
        <v>32322</v>
      </c>
      <c r="E1312" s="7" t="str">
        <f>IF(Table1[[#This Row],[Family_Income]]&gt;=100000,"Upper",IF(D1312&gt;=50000,"Middle","Lower"))</f>
        <v>Lower</v>
      </c>
      <c r="F1312" s="2" t="s">
        <v>4</v>
      </c>
      <c r="G1312" s="3">
        <f>IF(ISBLANK('Raw sheet'!F1312),AVERAGE('Raw sheet'!$F$2:'Raw sheet'!$F$1500),'Raw sheet'!F1312)</f>
        <v>3.3</v>
      </c>
      <c r="H1312" s="18">
        <v>97.1</v>
      </c>
      <c r="I1312" s="9" t="str">
        <f t="shared" si="40"/>
        <v>Good</v>
      </c>
      <c r="J1312" s="2">
        <v>0</v>
      </c>
      <c r="K1312" s="2">
        <v>23.5</v>
      </c>
      <c r="L1312" s="2" t="s">
        <v>3</v>
      </c>
      <c r="M1312" s="2" t="s">
        <v>3</v>
      </c>
      <c r="N1312" s="5">
        <f>IF(ISBLANK('Raw sheet'!L1312),AVERAGE('Raw sheet'!$L$2:'Raw sheet'!$L$1500),'Raw sheet'!L1312)</f>
        <v>5.6</v>
      </c>
      <c r="O1312" s="5" t="str">
        <f>IF(Table1[[#This Row],[Stress_Index]]&gt;=8,"High",IF(N1312&gt;=5,"Medium","Low"))</f>
        <v>Medium</v>
      </c>
      <c r="P1312" s="3">
        <v>4</v>
      </c>
      <c r="Q1312" s="2">
        <v>4</v>
      </c>
      <c r="R1312" s="3">
        <v>4</v>
      </c>
      <c r="S1312" s="3" t="str">
        <f>IF(Table1[[#This Row],[CGPA]]&gt;=3,"High",IF(R1311&gt;=2,"Medium","Low"))</f>
        <v>High</v>
      </c>
      <c r="T1312" s="2" t="s">
        <v>7</v>
      </c>
      <c r="U1312" s="2" t="s">
        <v>8</v>
      </c>
      <c r="V1312" s="2" t="s">
        <v>15</v>
      </c>
      <c r="W1312" s="7">
        <v>0</v>
      </c>
      <c r="X1312" t="str">
        <f t="shared" si="41"/>
        <v>Active</v>
      </c>
    </row>
    <row r="1313" spans="1:24" x14ac:dyDescent="0.3">
      <c r="A1313" s="2">
        <v>1312</v>
      </c>
      <c r="B1313" s="7">
        <v>22.8</v>
      </c>
      <c r="C1313" s="2" t="s">
        <v>5</v>
      </c>
      <c r="D1313" s="7">
        <f>IF(ISBLANK('Raw sheet'!D1313),AVERAGE('Raw sheet'!$D$2:'Raw sheet'!$D$1500),'Raw sheet'!D1313)</f>
        <v>25000</v>
      </c>
      <c r="E1313" s="7" t="str">
        <f>IF(Table1[[#This Row],[Family_Income]]&gt;=100000,"Upper",IF(D1313&gt;=50000,"Middle","Lower"))</f>
        <v>Lower</v>
      </c>
      <c r="F1313" s="2" t="s">
        <v>4</v>
      </c>
      <c r="G1313" s="3">
        <f>IF(ISBLANK('Raw sheet'!F1313),AVERAGE('Raw sheet'!$F$2:'Raw sheet'!$F$1500),'Raw sheet'!F1313)</f>
        <v>2.73</v>
      </c>
      <c r="H1313" s="18">
        <v>67</v>
      </c>
      <c r="I1313" s="9" t="str">
        <f t="shared" si="40"/>
        <v>Low</v>
      </c>
      <c r="J1313" s="2">
        <v>2</v>
      </c>
      <c r="K1313" s="2">
        <v>32.200000000000003</v>
      </c>
      <c r="L1313" s="2" t="s">
        <v>3</v>
      </c>
      <c r="M1313" s="2" t="s">
        <v>3</v>
      </c>
      <c r="N1313" s="5">
        <f>IF(ISBLANK('Raw sheet'!L1313),AVERAGE('Raw sheet'!$L$2:'Raw sheet'!$L$1500),'Raw sheet'!L1313)</f>
        <v>5.2</v>
      </c>
      <c r="O1313" s="5" t="str">
        <f>IF(Table1[[#This Row],[Stress_Index]]&gt;=8,"High",IF(N1313&gt;=5,"Medium","Low"))</f>
        <v>Medium</v>
      </c>
      <c r="P1313" s="3">
        <v>2.0699999999999998</v>
      </c>
      <c r="Q1313" s="2">
        <v>1.48</v>
      </c>
      <c r="R1313" s="3">
        <v>1.48</v>
      </c>
      <c r="S1313" s="3" t="str">
        <f>IF(Table1[[#This Row],[CGPA]]&gt;=3,"High",IF(R1312&gt;=2,"Medium","Low"))</f>
        <v>Medium</v>
      </c>
      <c r="T1313" s="2" t="s">
        <v>2</v>
      </c>
      <c r="U1313" s="2" t="s">
        <v>8</v>
      </c>
      <c r="V1313" s="2" t="s">
        <v>15</v>
      </c>
      <c r="W1313" s="7">
        <v>0</v>
      </c>
      <c r="X1313" t="str">
        <f t="shared" si="41"/>
        <v>Active</v>
      </c>
    </row>
    <row r="1314" spans="1:24" x14ac:dyDescent="0.3">
      <c r="A1314" s="2">
        <v>1313</v>
      </c>
      <c r="B1314" s="7">
        <v>24.1</v>
      </c>
      <c r="C1314" s="2" t="s">
        <v>5</v>
      </c>
      <c r="D1314" s="7">
        <f>IF(ISBLANK('Raw sheet'!D1314),AVERAGE('Raw sheet'!$D$2:'Raw sheet'!$D$1500),'Raw sheet'!D1314)</f>
        <v>25000</v>
      </c>
      <c r="E1314" s="7" t="str">
        <f>IF(Table1[[#This Row],[Family_Income]]&gt;=100000,"Upper",IF(D1314&gt;=50000,"Middle","Lower"))</f>
        <v>Lower</v>
      </c>
      <c r="F1314" s="2" t="s">
        <v>4</v>
      </c>
      <c r="G1314" s="3">
        <f>IF(ISBLANK('Raw sheet'!F1314),AVERAGE('Raw sheet'!$F$2:'Raw sheet'!$F$1500),'Raw sheet'!F1314)</f>
        <v>4.22</v>
      </c>
      <c r="H1314" s="18">
        <v>94.2</v>
      </c>
      <c r="I1314" s="9" t="str">
        <f t="shared" si="40"/>
        <v>Good</v>
      </c>
      <c r="J1314" s="2">
        <v>1</v>
      </c>
      <c r="K1314" s="2">
        <v>21.2</v>
      </c>
      <c r="L1314" s="2" t="s">
        <v>4</v>
      </c>
      <c r="M1314" s="2" t="s">
        <v>4</v>
      </c>
      <c r="N1314" s="5">
        <f>IF(ISBLANK('Raw sheet'!L1314),AVERAGE('Raw sheet'!$L$2:'Raw sheet'!$L$1500),'Raw sheet'!L1314)</f>
        <v>7.1</v>
      </c>
      <c r="O1314" s="5" t="str">
        <f>IF(Table1[[#This Row],[Stress_Index]]&gt;=8,"High",IF(N1314&gt;=5,"Medium","Low"))</f>
        <v>Medium</v>
      </c>
      <c r="P1314" s="3">
        <v>3.82</v>
      </c>
      <c r="Q1314" s="2">
        <v>3.72</v>
      </c>
      <c r="R1314" s="3">
        <v>3.65</v>
      </c>
      <c r="S1314" s="3" t="str">
        <f>IF(Table1[[#This Row],[CGPA]]&gt;=3,"High",IF(R1313&gt;=2,"Medium","Low"))</f>
        <v>High</v>
      </c>
      <c r="T1314" s="2" t="s">
        <v>7</v>
      </c>
      <c r="U1314" s="2" t="s">
        <v>1</v>
      </c>
      <c r="V1314" s="2" t="s">
        <v>9</v>
      </c>
      <c r="W1314" s="7">
        <v>0</v>
      </c>
      <c r="X1314" t="str">
        <f t="shared" si="41"/>
        <v>Active</v>
      </c>
    </row>
    <row r="1315" spans="1:24" x14ac:dyDescent="0.3">
      <c r="A1315" s="2">
        <v>1314</v>
      </c>
      <c r="B1315" s="7">
        <v>22.2</v>
      </c>
      <c r="C1315" s="2" t="s">
        <v>11</v>
      </c>
      <c r="D1315" s="7">
        <f>IF(ISBLANK('Raw sheet'!D1315),AVERAGE('Raw sheet'!$D$2:'Raw sheet'!$D$1500),'Raw sheet'!D1315)</f>
        <v>32600</v>
      </c>
      <c r="E1315" s="7" t="str">
        <f>IF(Table1[[#This Row],[Family_Income]]&gt;=100000,"Upper",IF(D1315&gt;=50000,"Middle","Lower"))</f>
        <v>Lower</v>
      </c>
      <c r="F1315" s="2" t="s">
        <v>3</v>
      </c>
      <c r="G1315" s="3">
        <f>IF(ISBLANK('Raw sheet'!F1315),AVERAGE('Raw sheet'!$F$2:'Raw sheet'!$F$1500),'Raw sheet'!F1315)</f>
        <v>5.04</v>
      </c>
      <c r="H1315" s="18">
        <v>78.900000000000006</v>
      </c>
      <c r="I1315" s="9" t="str">
        <f t="shared" si="40"/>
        <v>Good</v>
      </c>
      <c r="J1315" s="2">
        <v>3</v>
      </c>
      <c r="K1315" s="2">
        <v>27.1</v>
      </c>
      <c r="L1315" s="2" t="s">
        <v>3</v>
      </c>
      <c r="M1315" s="2" t="s">
        <v>4</v>
      </c>
      <c r="N1315" s="5">
        <f>IF(ISBLANK('Raw sheet'!L1315),AVERAGE('Raw sheet'!$L$2:'Raw sheet'!$L$1500),'Raw sheet'!L1315)</f>
        <v>4</v>
      </c>
      <c r="O1315" s="5" t="str">
        <f>IF(Table1[[#This Row],[Stress_Index]]&gt;=8,"High",IF(N1315&gt;=5,"Medium","Low"))</f>
        <v>Low</v>
      </c>
      <c r="P1315" s="3">
        <v>3.04</v>
      </c>
      <c r="Q1315" s="2">
        <v>3.19</v>
      </c>
      <c r="R1315" s="3">
        <v>3.23</v>
      </c>
      <c r="S1315" s="3" t="str">
        <f>IF(Table1[[#This Row],[CGPA]]&gt;=3,"High",IF(R1314&gt;=2,"Medium","Low"))</f>
        <v>High</v>
      </c>
      <c r="T1315" s="2" t="s">
        <v>12</v>
      </c>
      <c r="U1315" s="2" t="s">
        <v>14</v>
      </c>
      <c r="V1315" s="2" t="s">
        <v>15</v>
      </c>
      <c r="W1315" s="7">
        <v>0</v>
      </c>
      <c r="X1315" t="str">
        <f t="shared" si="41"/>
        <v>Active</v>
      </c>
    </row>
    <row r="1316" spans="1:24" x14ac:dyDescent="0.3">
      <c r="A1316" s="2">
        <v>1315</v>
      </c>
      <c r="B1316" s="7">
        <v>21</v>
      </c>
      <c r="C1316" s="2" t="s">
        <v>5</v>
      </c>
      <c r="D1316" s="7">
        <f>IF(ISBLANK('Raw sheet'!D1316),AVERAGE('Raw sheet'!$D$2:'Raw sheet'!$D$1500),'Raw sheet'!D1316)</f>
        <v>25000</v>
      </c>
      <c r="E1316" s="7" t="str">
        <f>IF(Table1[[#This Row],[Family_Income]]&gt;=100000,"Upper",IF(D1316&gt;=50000,"Middle","Lower"))</f>
        <v>Lower</v>
      </c>
      <c r="F1316" s="2" t="s">
        <v>4</v>
      </c>
      <c r="G1316" s="3">
        <f>IF(ISBLANK('Raw sheet'!F1316),AVERAGE('Raw sheet'!$F$2:'Raw sheet'!$F$1500),'Raw sheet'!F1316)</f>
        <v>4.96</v>
      </c>
      <c r="H1316" s="18">
        <v>77.599999999999994</v>
      </c>
      <c r="I1316" s="9" t="str">
        <f t="shared" si="40"/>
        <v>Good</v>
      </c>
      <c r="J1316" s="2">
        <v>2</v>
      </c>
      <c r="K1316" s="2">
        <v>24.6</v>
      </c>
      <c r="L1316" s="2" t="s">
        <v>4</v>
      </c>
      <c r="M1316" s="2" t="s">
        <v>3</v>
      </c>
      <c r="N1316" s="5">
        <f>IF(ISBLANK('Raw sheet'!L1316),AVERAGE('Raw sheet'!$L$2:'Raw sheet'!$L$1500),'Raw sheet'!L1316)</f>
        <v>4.0999999999999996</v>
      </c>
      <c r="O1316" s="5" t="str">
        <f>IF(Table1[[#This Row],[Stress_Index]]&gt;=8,"High",IF(N1316&gt;=5,"Medium","Low"))</f>
        <v>Low</v>
      </c>
      <c r="P1316" s="3">
        <v>4</v>
      </c>
      <c r="Q1316" s="2">
        <v>3.93</v>
      </c>
      <c r="R1316" s="3">
        <v>3.95</v>
      </c>
      <c r="S1316" s="3" t="str">
        <f>IF(Table1[[#This Row],[CGPA]]&gt;=3,"High",IF(R1315&gt;=2,"Medium","Low"))</f>
        <v>High</v>
      </c>
      <c r="T1316" s="2" t="s">
        <v>12</v>
      </c>
      <c r="U1316" s="2" t="s">
        <v>1</v>
      </c>
      <c r="V1316" s="2" t="s">
        <v>15</v>
      </c>
      <c r="W1316" s="7">
        <v>0</v>
      </c>
      <c r="X1316" t="str">
        <f t="shared" si="41"/>
        <v>Active</v>
      </c>
    </row>
    <row r="1317" spans="1:24" x14ac:dyDescent="0.3">
      <c r="A1317" s="2">
        <v>1316</v>
      </c>
      <c r="B1317" s="7">
        <v>18.100000000000001</v>
      </c>
      <c r="C1317" s="2" t="s">
        <v>5</v>
      </c>
      <c r="D1317" s="7">
        <f>IF(ISBLANK('Raw sheet'!D1317),AVERAGE('Raw sheet'!$D$2:'Raw sheet'!$D$1500),'Raw sheet'!D1317)</f>
        <v>38587.00282087447</v>
      </c>
      <c r="E1317" s="7" t="str">
        <f>IF(Table1[[#This Row],[Family_Income]]&gt;=100000,"Upper",IF(D1317&gt;=50000,"Middle","Lower"))</f>
        <v>Lower</v>
      </c>
      <c r="F1317" s="2" t="s">
        <v>4</v>
      </c>
      <c r="G1317" s="3">
        <f>IF(ISBLANK('Raw sheet'!F1317),AVERAGE('Raw sheet'!$F$2:'Raw sheet'!$F$1500),'Raw sheet'!F1317)</f>
        <v>4.0178702397743278</v>
      </c>
      <c r="H1317" s="18">
        <v>61.3</v>
      </c>
      <c r="I1317" s="9" t="str">
        <f t="shared" si="40"/>
        <v>Low</v>
      </c>
      <c r="J1317" s="2">
        <v>1</v>
      </c>
      <c r="K1317" s="2">
        <v>5</v>
      </c>
      <c r="L1317" s="2" t="s">
        <v>3</v>
      </c>
      <c r="M1317" s="2" t="s">
        <v>3</v>
      </c>
      <c r="N1317" s="5">
        <f>IF(ISBLANK('Raw sheet'!L1317),AVERAGE('Raw sheet'!$L$2:'Raw sheet'!$L$1500),'Raw sheet'!L1317)</f>
        <v>5.5242595204513369</v>
      </c>
      <c r="O1317" s="5" t="str">
        <f>IF(Table1[[#This Row],[Stress_Index]]&gt;=8,"High",IF(N1317&gt;=5,"Medium","Low"))</f>
        <v>Medium</v>
      </c>
      <c r="P1317" s="3">
        <v>2.35</v>
      </c>
      <c r="Q1317" s="2">
        <v>2.25</v>
      </c>
      <c r="R1317" s="3">
        <v>2.27</v>
      </c>
      <c r="S1317" s="3" t="str">
        <f>IF(Table1[[#This Row],[CGPA]]&gt;=3,"High",IF(R1316&gt;=2,"Medium","Low"))</f>
        <v>Medium</v>
      </c>
      <c r="T1317" s="2" t="s">
        <v>7</v>
      </c>
      <c r="U1317" s="2" t="s">
        <v>13</v>
      </c>
      <c r="V1317" s="2" t="s">
        <v>16</v>
      </c>
      <c r="W1317" s="7">
        <v>0</v>
      </c>
      <c r="X1317" t="str">
        <f t="shared" si="41"/>
        <v>Active</v>
      </c>
    </row>
    <row r="1318" spans="1:24" x14ac:dyDescent="0.3">
      <c r="A1318" s="2">
        <v>1317</v>
      </c>
      <c r="B1318" s="7">
        <v>18.7</v>
      </c>
      <c r="C1318" s="2" t="s">
        <v>11</v>
      </c>
      <c r="D1318" s="7">
        <f>IF(ISBLANK('Raw sheet'!D1318),AVERAGE('Raw sheet'!$D$2:'Raw sheet'!$D$1500),'Raw sheet'!D1318)</f>
        <v>44468</v>
      </c>
      <c r="E1318" s="7" t="str">
        <f>IF(Table1[[#This Row],[Family_Income]]&gt;=100000,"Upper",IF(D1318&gt;=50000,"Middle","Lower"))</f>
        <v>Lower</v>
      </c>
      <c r="F1318" s="2" t="s">
        <v>4</v>
      </c>
      <c r="G1318" s="3">
        <f>IF(ISBLANK('Raw sheet'!F1318),AVERAGE('Raw sheet'!$F$2:'Raw sheet'!$F$1500),'Raw sheet'!F1318)</f>
        <v>4.1500000000000004</v>
      </c>
      <c r="H1318" s="18">
        <v>86.1</v>
      </c>
      <c r="I1318" s="9" t="str">
        <f t="shared" si="40"/>
        <v>Good</v>
      </c>
      <c r="J1318" s="2">
        <v>0</v>
      </c>
      <c r="K1318" s="2">
        <v>40.299999999999997</v>
      </c>
      <c r="L1318" s="2" t="s">
        <v>4</v>
      </c>
      <c r="M1318" s="2" t="s">
        <v>3</v>
      </c>
      <c r="N1318" s="5">
        <f>IF(ISBLANK('Raw sheet'!L1318),AVERAGE('Raw sheet'!$L$2:'Raw sheet'!$L$1500),'Raw sheet'!L1318)</f>
        <v>6.1</v>
      </c>
      <c r="O1318" s="5" t="str">
        <f>IF(Table1[[#This Row],[Stress_Index]]&gt;=8,"High",IF(N1318&gt;=5,"Medium","Low"))</f>
        <v>Medium</v>
      </c>
      <c r="P1318" s="3">
        <v>1.39</v>
      </c>
      <c r="Q1318" s="2">
        <v>1.38</v>
      </c>
      <c r="R1318" s="3">
        <v>1.38</v>
      </c>
      <c r="S1318" s="3" t="str">
        <f>IF(Table1[[#This Row],[CGPA]]&gt;=3,"High",IF(R1317&gt;=2,"Medium","Low"))</f>
        <v>Medium</v>
      </c>
      <c r="T1318" s="2" t="s">
        <v>12</v>
      </c>
      <c r="U1318" s="2" t="s">
        <v>8</v>
      </c>
      <c r="V1318" s="2" t="s">
        <v>15</v>
      </c>
      <c r="W1318" s="7">
        <v>1</v>
      </c>
      <c r="X1318" t="str">
        <f t="shared" si="41"/>
        <v>Dropped Out</v>
      </c>
    </row>
    <row r="1319" spans="1:24" x14ac:dyDescent="0.3">
      <c r="A1319" s="2">
        <v>1318</v>
      </c>
      <c r="B1319" s="7">
        <v>20.3</v>
      </c>
      <c r="C1319" s="2" t="s">
        <v>5</v>
      </c>
      <c r="D1319" s="7">
        <f>IF(ISBLANK('Raw sheet'!D1319),AVERAGE('Raw sheet'!$D$2:'Raw sheet'!$D$1500),'Raw sheet'!D1319)</f>
        <v>25000</v>
      </c>
      <c r="E1319" s="7" t="str">
        <f>IF(Table1[[#This Row],[Family_Income]]&gt;=100000,"Upper",IF(D1319&gt;=50000,"Middle","Lower"))</f>
        <v>Lower</v>
      </c>
      <c r="F1319" s="2" t="s">
        <v>4</v>
      </c>
      <c r="G1319" s="3">
        <f>IF(ISBLANK('Raw sheet'!F1319),AVERAGE('Raw sheet'!$F$2:'Raw sheet'!$F$1500),'Raw sheet'!F1319)</f>
        <v>4.3600000000000003</v>
      </c>
      <c r="H1319" s="18">
        <v>88.4</v>
      </c>
      <c r="I1319" s="9" t="str">
        <f t="shared" si="40"/>
        <v>Good</v>
      </c>
      <c r="J1319" s="2">
        <v>0</v>
      </c>
      <c r="K1319" s="2">
        <v>8</v>
      </c>
      <c r="L1319" s="2" t="s">
        <v>4</v>
      </c>
      <c r="M1319" s="2" t="s">
        <v>4</v>
      </c>
      <c r="N1319" s="5">
        <f>IF(ISBLANK('Raw sheet'!L1319),AVERAGE('Raw sheet'!$L$2:'Raw sheet'!$L$1500),'Raw sheet'!L1319)</f>
        <v>5.9</v>
      </c>
      <c r="O1319" s="5" t="str">
        <f>IF(Table1[[#This Row],[Stress_Index]]&gt;=8,"High",IF(N1319&gt;=5,"Medium","Low"))</f>
        <v>Medium</v>
      </c>
      <c r="P1319" s="3">
        <v>2.76</v>
      </c>
      <c r="Q1319" s="2">
        <v>2.46</v>
      </c>
      <c r="R1319" s="3">
        <v>2.46</v>
      </c>
      <c r="S1319" s="3" t="str">
        <f>IF(Table1[[#This Row],[CGPA]]&gt;=3,"High",IF(R1318&gt;=2,"Medium","Low"))</f>
        <v>Low</v>
      </c>
      <c r="T1319" s="2" t="s">
        <v>2</v>
      </c>
      <c r="U1319" s="2" t="s">
        <v>13</v>
      </c>
      <c r="V1319" s="2" t="s">
        <v>9</v>
      </c>
      <c r="W1319" s="7">
        <v>0</v>
      </c>
      <c r="X1319" t="str">
        <f t="shared" si="41"/>
        <v>Active</v>
      </c>
    </row>
    <row r="1320" spans="1:24" x14ac:dyDescent="0.3">
      <c r="A1320" s="2">
        <v>1319</v>
      </c>
      <c r="B1320" s="7">
        <v>19.7</v>
      </c>
      <c r="C1320" s="2" t="s">
        <v>5</v>
      </c>
      <c r="D1320" s="7">
        <f>IF(ISBLANK('Raw sheet'!D1320),AVERAGE('Raw sheet'!$D$2:'Raw sheet'!$D$1500),'Raw sheet'!D1320)</f>
        <v>25000</v>
      </c>
      <c r="E1320" s="7" t="str">
        <f>IF(Table1[[#This Row],[Family_Income]]&gt;=100000,"Upper",IF(D1320&gt;=50000,"Middle","Lower"))</f>
        <v>Lower</v>
      </c>
      <c r="F1320" s="2" t="s">
        <v>4</v>
      </c>
      <c r="G1320" s="3">
        <f>IF(ISBLANK('Raw sheet'!F1320),AVERAGE('Raw sheet'!$F$2:'Raw sheet'!$F$1500),'Raw sheet'!F1320)</f>
        <v>3.66</v>
      </c>
      <c r="H1320" s="18">
        <v>78.3</v>
      </c>
      <c r="I1320" s="9" t="str">
        <f t="shared" si="40"/>
        <v>Good</v>
      </c>
      <c r="J1320" s="2">
        <v>1</v>
      </c>
      <c r="K1320" s="2">
        <v>8.8000000000000007</v>
      </c>
      <c r="L1320" s="2" t="s">
        <v>3</v>
      </c>
      <c r="M1320" s="2" t="s">
        <v>4</v>
      </c>
      <c r="N1320" s="5">
        <f>IF(ISBLANK('Raw sheet'!L1320),AVERAGE('Raw sheet'!$L$2:'Raw sheet'!$L$1500),'Raw sheet'!L1320)</f>
        <v>4.5</v>
      </c>
      <c r="O1320" s="5" t="str">
        <f>IF(Table1[[#This Row],[Stress_Index]]&gt;=8,"High",IF(N1320&gt;=5,"Medium","Low"))</f>
        <v>Low</v>
      </c>
      <c r="P1320" s="3">
        <v>2.94</v>
      </c>
      <c r="Q1320" s="2">
        <v>2.54</v>
      </c>
      <c r="R1320" s="3">
        <v>2.52</v>
      </c>
      <c r="S1320" s="3" t="str">
        <f>IF(Table1[[#This Row],[CGPA]]&gt;=3,"High",IF(R1319&gt;=2,"Medium","Low"))</f>
        <v>Medium</v>
      </c>
      <c r="T1320" s="2" t="s">
        <v>12</v>
      </c>
      <c r="U1320" s="2" t="s">
        <v>8</v>
      </c>
      <c r="V1320" s="2" t="s">
        <v>9</v>
      </c>
      <c r="W1320" s="7">
        <v>0</v>
      </c>
      <c r="X1320" t="str">
        <f t="shared" si="41"/>
        <v>Active</v>
      </c>
    </row>
    <row r="1321" spans="1:24" x14ac:dyDescent="0.3">
      <c r="A1321" s="2">
        <v>1320</v>
      </c>
      <c r="B1321" s="7">
        <v>20.6</v>
      </c>
      <c r="C1321" s="2" t="s">
        <v>5</v>
      </c>
      <c r="D1321" s="7">
        <f>IF(ISBLANK('Raw sheet'!D1321),AVERAGE('Raw sheet'!$D$2:'Raw sheet'!$D$1500),'Raw sheet'!D1321)</f>
        <v>25000</v>
      </c>
      <c r="E1321" s="7" t="str">
        <f>IF(Table1[[#This Row],[Family_Income]]&gt;=100000,"Upper",IF(D1321&gt;=50000,"Middle","Lower"))</f>
        <v>Lower</v>
      </c>
      <c r="F1321" s="2" t="s">
        <v>4</v>
      </c>
      <c r="G1321" s="3">
        <f>IF(ISBLANK('Raw sheet'!F1321),AVERAGE('Raw sheet'!$F$2:'Raw sheet'!$F$1500),'Raw sheet'!F1321)</f>
        <v>3.58</v>
      </c>
      <c r="H1321" s="18">
        <v>84.2</v>
      </c>
      <c r="I1321" s="9" t="str">
        <f t="shared" si="40"/>
        <v>Good</v>
      </c>
      <c r="J1321" s="2">
        <v>1</v>
      </c>
      <c r="K1321" s="2">
        <v>40.700000000000003</v>
      </c>
      <c r="L1321" s="2" t="s">
        <v>4</v>
      </c>
      <c r="M1321" s="2" t="s">
        <v>3</v>
      </c>
      <c r="N1321" s="5">
        <f>IF(ISBLANK('Raw sheet'!L1321),AVERAGE('Raw sheet'!$L$2:'Raw sheet'!$L$1500),'Raw sheet'!L1321)</f>
        <v>3.9</v>
      </c>
      <c r="O1321" s="5" t="str">
        <f>IF(Table1[[#This Row],[Stress_Index]]&gt;=8,"High",IF(N1321&gt;=5,"Medium","Low"))</f>
        <v>Low</v>
      </c>
      <c r="P1321" s="3">
        <v>1.55</v>
      </c>
      <c r="Q1321" s="2">
        <v>2.17</v>
      </c>
      <c r="R1321" s="3">
        <v>2.17</v>
      </c>
      <c r="S1321" s="3" t="str">
        <f>IF(Table1[[#This Row],[CGPA]]&gt;=3,"High",IF(R1320&gt;=2,"Medium","Low"))</f>
        <v>Medium</v>
      </c>
      <c r="T1321" s="2" t="s">
        <v>7</v>
      </c>
      <c r="U1321" s="2" t="s">
        <v>14</v>
      </c>
      <c r="V1321" s="2" t="s">
        <v>15</v>
      </c>
      <c r="W1321" s="7">
        <v>0</v>
      </c>
      <c r="X1321" t="str">
        <f t="shared" si="41"/>
        <v>Active</v>
      </c>
    </row>
    <row r="1322" spans="1:24" x14ac:dyDescent="0.3">
      <c r="A1322" s="2">
        <v>1321</v>
      </c>
      <c r="B1322" s="7">
        <v>21.1</v>
      </c>
      <c r="C1322" s="2" t="s">
        <v>5</v>
      </c>
      <c r="D1322" s="7">
        <f>IF(ISBLANK('Raw sheet'!D1322),AVERAGE('Raw sheet'!$D$2:'Raw sheet'!$D$1500),'Raw sheet'!D1322)</f>
        <v>25000</v>
      </c>
      <c r="E1322" s="7" t="str">
        <f>IF(Table1[[#This Row],[Family_Income]]&gt;=100000,"Upper",IF(D1322&gt;=50000,"Middle","Lower"))</f>
        <v>Lower</v>
      </c>
      <c r="F1322" s="2" t="s">
        <v>4</v>
      </c>
      <c r="G1322" s="3">
        <f>IF(ISBLANK('Raw sheet'!F1322),AVERAGE('Raw sheet'!$F$2:'Raw sheet'!$F$1500),'Raw sheet'!F1322)</f>
        <v>2.73</v>
      </c>
      <c r="H1322" s="18">
        <v>100</v>
      </c>
      <c r="I1322" s="9" t="str">
        <f t="shared" si="40"/>
        <v>Good</v>
      </c>
      <c r="J1322" s="2">
        <v>0</v>
      </c>
      <c r="K1322" s="2">
        <v>16.7</v>
      </c>
      <c r="L1322" s="2" t="s">
        <v>3</v>
      </c>
      <c r="M1322" s="2" t="s">
        <v>3</v>
      </c>
      <c r="N1322" s="5">
        <f>IF(ISBLANK('Raw sheet'!L1322),AVERAGE('Raw sheet'!$L$2:'Raw sheet'!$L$1500),'Raw sheet'!L1322)</f>
        <v>5.4</v>
      </c>
      <c r="O1322" s="5" t="str">
        <f>IF(Table1[[#This Row],[Stress_Index]]&gt;=8,"High",IF(N1322&gt;=5,"Medium","Low"))</f>
        <v>Medium</v>
      </c>
      <c r="P1322" s="3">
        <v>3.53</v>
      </c>
      <c r="Q1322" s="2">
        <v>3.56</v>
      </c>
      <c r="R1322" s="3">
        <v>3.56</v>
      </c>
      <c r="S1322" s="3" t="str">
        <f>IF(Table1[[#This Row],[CGPA]]&gt;=3,"High",IF(R1321&gt;=2,"Medium","Low"))</f>
        <v>High</v>
      </c>
      <c r="T1322" s="2" t="s">
        <v>2</v>
      </c>
      <c r="U1322" s="2" t="s">
        <v>6</v>
      </c>
      <c r="V1322" s="2" t="s">
        <v>15</v>
      </c>
      <c r="W1322" s="7">
        <v>0</v>
      </c>
      <c r="X1322" t="str">
        <f t="shared" si="41"/>
        <v>Active</v>
      </c>
    </row>
    <row r="1323" spans="1:24" x14ac:dyDescent="0.3">
      <c r="A1323" s="2">
        <v>1322</v>
      </c>
      <c r="B1323" s="7">
        <v>22.2</v>
      </c>
      <c r="C1323" s="2" t="s">
        <v>5</v>
      </c>
      <c r="D1323" s="7">
        <f>IF(ISBLANK('Raw sheet'!D1323),AVERAGE('Raw sheet'!$D$2:'Raw sheet'!$D$1500),'Raw sheet'!D1323)</f>
        <v>38439</v>
      </c>
      <c r="E1323" s="7" t="str">
        <f>IF(Table1[[#This Row],[Family_Income]]&gt;=100000,"Upper",IF(D1323&gt;=50000,"Middle","Lower"))</f>
        <v>Lower</v>
      </c>
      <c r="F1323" s="2" t="s">
        <v>4</v>
      </c>
      <c r="G1323" s="3">
        <f>IF(ISBLANK('Raw sheet'!F1323),AVERAGE('Raw sheet'!$F$2:'Raw sheet'!$F$1500),'Raw sheet'!F1323)</f>
        <v>4.9000000000000004</v>
      </c>
      <c r="H1323" s="18">
        <v>76.599999999999994</v>
      </c>
      <c r="I1323" s="9" t="str">
        <f t="shared" si="40"/>
        <v>Good</v>
      </c>
      <c r="J1323" s="2">
        <v>0</v>
      </c>
      <c r="K1323" s="2">
        <v>5.0999999999999996</v>
      </c>
      <c r="L1323" s="2" t="s">
        <v>3</v>
      </c>
      <c r="M1323" s="2" t="s">
        <v>3</v>
      </c>
      <c r="N1323" s="5">
        <f>IF(ISBLANK('Raw sheet'!L1323),AVERAGE('Raw sheet'!$L$2:'Raw sheet'!$L$1500),'Raw sheet'!L1323)</f>
        <v>5.7</v>
      </c>
      <c r="O1323" s="5" t="str">
        <f>IF(Table1[[#This Row],[Stress_Index]]&gt;=8,"High",IF(N1323&gt;=5,"Medium","Low"))</f>
        <v>Medium</v>
      </c>
      <c r="P1323" s="3">
        <v>0.2</v>
      </c>
      <c r="Q1323" s="2">
        <v>0</v>
      </c>
      <c r="R1323" s="3">
        <v>0</v>
      </c>
      <c r="S1323" s="3" t="str">
        <f>IF(Table1[[#This Row],[CGPA]]&gt;=3,"High",IF(R1322&gt;=2,"Medium","Low"))</f>
        <v>Medium</v>
      </c>
      <c r="T1323" s="2" t="s">
        <v>2</v>
      </c>
      <c r="U1323" s="2" t="s">
        <v>6</v>
      </c>
      <c r="V1323" s="2" t="s">
        <v>15</v>
      </c>
      <c r="W1323" s="7">
        <v>1</v>
      </c>
      <c r="X1323" t="str">
        <f t="shared" si="41"/>
        <v>Dropped Out</v>
      </c>
    </row>
    <row r="1324" spans="1:24" x14ac:dyDescent="0.3">
      <c r="A1324" s="2">
        <v>1323</v>
      </c>
      <c r="B1324" s="7">
        <v>20.8</v>
      </c>
      <c r="C1324" s="2" t="s">
        <v>5</v>
      </c>
      <c r="D1324" s="7">
        <f>IF(ISBLANK('Raw sheet'!D1324),AVERAGE('Raw sheet'!$D$2:'Raw sheet'!$D$1500),'Raw sheet'!D1324)</f>
        <v>31806</v>
      </c>
      <c r="E1324" s="7" t="str">
        <f>IF(Table1[[#This Row],[Family_Income]]&gt;=100000,"Upper",IF(D1324&gt;=50000,"Middle","Lower"))</f>
        <v>Lower</v>
      </c>
      <c r="F1324" s="2" t="s">
        <v>4</v>
      </c>
      <c r="G1324" s="3">
        <f>IF(ISBLANK('Raw sheet'!F1324),AVERAGE('Raw sheet'!$F$2:'Raw sheet'!$F$1500),'Raw sheet'!F1324)</f>
        <v>1.66</v>
      </c>
      <c r="H1324" s="18">
        <v>78.8</v>
      </c>
      <c r="I1324" s="9" t="str">
        <f t="shared" si="40"/>
        <v>Good</v>
      </c>
      <c r="J1324" s="2">
        <v>2</v>
      </c>
      <c r="K1324" s="2">
        <v>46</v>
      </c>
      <c r="L1324" s="2" t="s">
        <v>3</v>
      </c>
      <c r="M1324" s="2" t="s">
        <v>3</v>
      </c>
      <c r="N1324" s="5">
        <f>IF(ISBLANK('Raw sheet'!L1324),AVERAGE('Raw sheet'!$L$2:'Raw sheet'!$L$1500),'Raw sheet'!L1324)</f>
        <v>3.3</v>
      </c>
      <c r="O1324" s="5" t="str">
        <f>IF(Table1[[#This Row],[Stress_Index]]&gt;=8,"High",IF(N1324&gt;=5,"Medium","Low"))</f>
        <v>Low</v>
      </c>
      <c r="P1324" s="3">
        <v>2.33</v>
      </c>
      <c r="Q1324" s="2">
        <v>2.74</v>
      </c>
      <c r="R1324" s="3">
        <v>2.74</v>
      </c>
      <c r="S1324" s="3" t="str">
        <f>IF(Table1[[#This Row],[CGPA]]&gt;=3,"High",IF(R1323&gt;=2,"Medium","Low"))</f>
        <v>Low</v>
      </c>
      <c r="T1324" s="2" t="s">
        <v>10</v>
      </c>
      <c r="U1324" s="2" t="s">
        <v>1</v>
      </c>
      <c r="V1324" s="2" t="s">
        <v>9</v>
      </c>
      <c r="W1324" s="7">
        <v>0</v>
      </c>
      <c r="X1324" t="str">
        <f t="shared" si="41"/>
        <v>Active</v>
      </c>
    </row>
    <row r="1325" spans="1:24" x14ac:dyDescent="0.3">
      <c r="A1325" s="2">
        <v>1324</v>
      </c>
      <c r="B1325" s="7">
        <v>22.1</v>
      </c>
      <c r="C1325" s="2" t="s">
        <v>11</v>
      </c>
      <c r="D1325" s="7">
        <f>IF(ISBLANK('Raw sheet'!D1325),AVERAGE('Raw sheet'!$D$2:'Raw sheet'!$D$1500),'Raw sheet'!D1325)</f>
        <v>124882</v>
      </c>
      <c r="E1325" s="7" t="str">
        <f>IF(Table1[[#This Row],[Family_Income]]&gt;=100000,"Upper",IF(D1325&gt;=50000,"Middle","Lower"))</f>
        <v>Upper</v>
      </c>
      <c r="F1325" s="2" t="s">
        <v>3</v>
      </c>
      <c r="G1325" s="3">
        <f>IF(ISBLANK('Raw sheet'!F1325),AVERAGE('Raw sheet'!$F$2:'Raw sheet'!$F$1500),'Raw sheet'!F1325)</f>
        <v>2.2999999999999998</v>
      </c>
      <c r="H1325" s="18">
        <v>93.4</v>
      </c>
      <c r="I1325" s="9" t="str">
        <f t="shared" si="40"/>
        <v>Good</v>
      </c>
      <c r="J1325" s="2">
        <v>0</v>
      </c>
      <c r="K1325" s="2">
        <v>22.3</v>
      </c>
      <c r="L1325" s="2" t="s">
        <v>4</v>
      </c>
      <c r="M1325" s="2" t="s">
        <v>3</v>
      </c>
      <c r="N1325" s="5">
        <f>IF(ISBLANK('Raw sheet'!L1325),AVERAGE('Raw sheet'!$L$2:'Raw sheet'!$L$1500),'Raw sheet'!L1325)</f>
        <v>2</v>
      </c>
      <c r="O1325" s="5" t="str">
        <f>IF(Table1[[#This Row],[Stress_Index]]&gt;=8,"High",IF(N1325&gt;=5,"Medium","Low"))</f>
        <v>Low</v>
      </c>
      <c r="P1325" s="3">
        <v>3.9</v>
      </c>
      <c r="Q1325" s="2">
        <v>3.79</v>
      </c>
      <c r="R1325" s="3">
        <v>3.83</v>
      </c>
      <c r="S1325" s="3" t="str">
        <f>IF(Table1[[#This Row],[CGPA]]&gt;=3,"High",IF(R1324&gt;=2,"Medium","Low"))</f>
        <v>High</v>
      </c>
      <c r="T1325" s="2" t="s">
        <v>10</v>
      </c>
      <c r="U1325" s="2" t="s">
        <v>13</v>
      </c>
      <c r="V1325" s="2" t="s">
        <v>15</v>
      </c>
      <c r="W1325" s="7">
        <v>0</v>
      </c>
      <c r="X1325" t="str">
        <f t="shared" si="41"/>
        <v>Active</v>
      </c>
    </row>
    <row r="1326" spans="1:24" x14ac:dyDescent="0.3">
      <c r="A1326" s="2">
        <v>1325</v>
      </c>
      <c r="B1326" s="7">
        <v>21.1</v>
      </c>
      <c r="C1326" s="2" t="s">
        <v>5</v>
      </c>
      <c r="D1326" s="7">
        <f>IF(ISBLANK('Raw sheet'!D1326),AVERAGE('Raw sheet'!$D$2:'Raw sheet'!$D$1500),'Raw sheet'!D1326)</f>
        <v>57077</v>
      </c>
      <c r="E1326" s="7" t="str">
        <f>IF(Table1[[#This Row],[Family_Income]]&gt;=100000,"Upper",IF(D1326&gt;=50000,"Middle","Lower"))</f>
        <v>Middle</v>
      </c>
      <c r="F1326" s="2" t="s">
        <v>4</v>
      </c>
      <c r="G1326" s="3">
        <f>IF(ISBLANK('Raw sheet'!F1326),AVERAGE('Raw sheet'!$F$2:'Raw sheet'!$F$1500),'Raw sheet'!F1326)</f>
        <v>6.43</v>
      </c>
      <c r="H1326" s="18">
        <v>69.400000000000006</v>
      </c>
      <c r="I1326" s="9" t="str">
        <f t="shared" si="40"/>
        <v>Low</v>
      </c>
      <c r="J1326" s="2">
        <v>1</v>
      </c>
      <c r="K1326" s="2">
        <v>44.6</v>
      </c>
      <c r="L1326" s="2" t="s">
        <v>4</v>
      </c>
      <c r="M1326" s="2" t="s">
        <v>3</v>
      </c>
      <c r="N1326" s="5">
        <f>IF(ISBLANK('Raw sheet'!L1326),AVERAGE('Raw sheet'!$L$2:'Raw sheet'!$L$1500),'Raw sheet'!L1326)</f>
        <v>2.4</v>
      </c>
      <c r="O1326" s="5" t="str">
        <f>IF(Table1[[#This Row],[Stress_Index]]&gt;=8,"High",IF(N1326&gt;=5,"Medium","Low"))</f>
        <v>Low</v>
      </c>
      <c r="P1326" s="3">
        <v>3.19</v>
      </c>
      <c r="Q1326" s="2">
        <v>3.45</v>
      </c>
      <c r="R1326" s="3">
        <v>3.45</v>
      </c>
      <c r="S1326" s="3" t="str">
        <f>IF(Table1[[#This Row],[CGPA]]&gt;=3,"High",IF(R1325&gt;=2,"Medium","Low"))</f>
        <v>High</v>
      </c>
      <c r="T1326" s="2" t="s">
        <v>10</v>
      </c>
      <c r="U1326" s="2" t="s">
        <v>13</v>
      </c>
      <c r="V1326" s="2" t="s">
        <v>0</v>
      </c>
      <c r="W1326" s="7">
        <v>0</v>
      </c>
      <c r="X1326" t="str">
        <f t="shared" si="41"/>
        <v>Active</v>
      </c>
    </row>
    <row r="1327" spans="1:24" x14ac:dyDescent="0.3">
      <c r="A1327" s="2">
        <v>1326</v>
      </c>
      <c r="B1327" s="7">
        <v>17</v>
      </c>
      <c r="C1327" s="2" t="s">
        <v>5</v>
      </c>
      <c r="D1327" s="7">
        <f>IF(ISBLANK('Raw sheet'!D1327),AVERAGE('Raw sheet'!$D$2:'Raw sheet'!$D$1500),'Raw sheet'!D1327)</f>
        <v>25000</v>
      </c>
      <c r="E1327" s="7" t="str">
        <f>IF(Table1[[#This Row],[Family_Income]]&gt;=100000,"Upper",IF(D1327&gt;=50000,"Middle","Lower"))</f>
        <v>Lower</v>
      </c>
      <c r="F1327" s="2" t="s">
        <v>4</v>
      </c>
      <c r="G1327" s="3">
        <f>IF(ISBLANK('Raw sheet'!F1327),AVERAGE('Raw sheet'!$F$2:'Raw sheet'!$F$1500),'Raw sheet'!F1327)</f>
        <v>3.85</v>
      </c>
      <c r="H1327" s="18">
        <v>84</v>
      </c>
      <c r="I1327" s="9" t="str">
        <f t="shared" si="40"/>
        <v>Good</v>
      </c>
      <c r="J1327" s="2">
        <v>0</v>
      </c>
      <c r="K1327" s="2">
        <v>19</v>
      </c>
      <c r="L1327" s="2" t="s">
        <v>3</v>
      </c>
      <c r="M1327" s="2" t="s">
        <v>3</v>
      </c>
      <c r="N1327" s="5">
        <f>IF(ISBLANK('Raw sheet'!L1327),AVERAGE('Raw sheet'!$L$2:'Raw sheet'!$L$1500),'Raw sheet'!L1327)</f>
        <v>2.9</v>
      </c>
      <c r="O1327" s="5" t="str">
        <f>IF(Table1[[#This Row],[Stress_Index]]&gt;=8,"High",IF(N1327&gt;=5,"Medium","Low"))</f>
        <v>Low</v>
      </c>
      <c r="P1327" s="3">
        <v>4</v>
      </c>
      <c r="Q1327" s="2">
        <v>4</v>
      </c>
      <c r="R1327" s="3">
        <v>3.94</v>
      </c>
      <c r="S1327" s="3" t="str">
        <f>IF(Table1[[#This Row],[CGPA]]&gt;=3,"High",IF(R1326&gt;=2,"Medium","Low"))</f>
        <v>High</v>
      </c>
      <c r="T1327" s="2" t="s">
        <v>12</v>
      </c>
      <c r="U1327" s="2" t="s">
        <v>13</v>
      </c>
      <c r="V1327" s="2" t="s">
        <v>15</v>
      </c>
      <c r="W1327" s="7">
        <v>0</v>
      </c>
      <c r="X1327" t="str">
        <f t="shared" si="41"/>
        <v>Active</v>
      </c>
    </row>
    <row r="1328" spans="1:24" x14ac:dyDescent="0.3">
      <c r="A1328" s="2">
        <v>1327</v>
      </c>
      <c r="B1328" s="7">
        <v>18.899999999999999</v>
      </c>
      <c r="C1328" s="2" t="s">
        <v>11</v>
      </c>
      <c r="D1328" s="7">
        <f>IF(ISBLANK('Raw sheet'!D1328),AVERAGE('Raw sheet'!$D$2:'Raw sheet'!$D$1500),'Raw sheet'!D1328)</f>
        <v>25000</v>
      </c>
      <c r="E1328" s="7" t="str">
        <f>IF(Table1[[#This Row],[Family_Income]]&gt;=100000,"Upper",IF(D1328&gt;=50000,"Middle","Lower"))</f>
        <v>Lower</v>
      </c>
      <c r="F1328" s="2" t="s">
        <v>4</v>
      </c>
      <c r="G1328" s="3">
        <f>IF(ISBLANK('Raw sheet'!F1328),AVERAGE('Raw sheet'!$F$2:'Raw sheet'!$F$1500),'Raw sheet'!F1328)</f>
        <v>4.18</v>
      </c>
      <c r="H1328" s="18">
        <v>62.7</v>
      </c>
      <c r="I1328" s="9" t="str">
        <f t="shared" si="40"/>
        <v>Low</v>
      </c>
      <c r="J1328" s="2">
        <v>4</v>
      </c>
      <c r="K1328" s="2">
        <v>10.3</v>
      </c>
      <c r="L1328" s="2" t="s">
        <v>4</v>
      </c>
      <c r="M1328" s="2" t="s">
        <v>3</v>
      </c>
      <c r="N1328" s="5">
        <f>IF(ISBLANK('Raw sheet'!L1328),AVERAGE('Raw sheet'!$L$2:'Raw sheet'!$L$1500),'Raw sheet'!L1328)</f>
        <v>3.3</v>
      </c>
      <c r="O1328" s="5" t="str">
        <f>IF(Table1[[#This Row],[Stress_Index]]&gt;=8,"High",IF(N1328&gt;=5,"Medium","Low"))</f>
        <v>Low</v>
      </c>
      <c r="P1328" s="3">
        <v>2.57</v>
      </c>
      <c r="Q1328" s="2">
        <v>3</v>
      </c>
      <c r="R1328" s="3">
        <v>3</v>
      </c>
      <c r="S1328" s="3" t="str">
        <f>IF(Table1[[#This Row],[CGPA]]&gt;=3,"High",IF(R1327&gt;=2,"Medium","Low"))</f>
        <v>High</v>
      </c>
      <c r="T1328" s="2" t="s">
        <v>7</v>
      </c>
      <c r="U1328" s="2" t="s">
        <v>13</v>
      </c>
      <c r="V1328" s="2" t="s">
        <v>15</v>
      </c>
      <c r="W1328" s="7">
        <v>0</v>
      </c>
      <c r="X1328" t="str">
        <f t="shared" si="41"/>
        <v>Active</v>
      </c>
    </row>
    <row r="1329" spans="1:24" x14ac:dyDescent="0.3">
      <c r="A1329" s="2">
        <v>1328</v>
      </c>
      <c r="B1329" s="7">
        <v>20.7</v>
      </c>
      <c r="C1329" s="2" t="s">
        <v>5</v>
      </c>
      <c r="D1329" s="7">
        <f>IF(ISBLANK('Raw sheet'!D1329),AVERAGE('Raw sheet'!$D$2:'Raw sheet'!$D$1500),'Raw sheet'!D1329)</f>
        <v>150846</v>
      </c>
      <c r="E1329" s="7" t="str">
        <f>IF(Table1[[#This Row],[Family_Income]]&gt;=100000,"Upper",IF(D1329&gt;=50000,"Middle","Lower"))</f>
        <v>Upper</v>
      </c>
      <c r="F1329" s="2" t="s">
        <v>4</v>
      </c>
      <c r="G1329" s="3">
        <f>IF(ISBLANK('Raw sheet'!F1329),AVERAGE('Raw sheet'!$F$2:'Raw sheet'!$F$1500),'Raw sheet'!F1329)</f>
        <v>2.42</v>
      </c>
      <c r="H1329" s="18">
        <v>71</v>
      </c>
      <c r="I1329" s="9" t="str">
        <f t="shared" si="40"/>
        <v>Low</v>
      </c>
      <c r="J1329" s="2">
        <v>3</v>
      </c>
      <c r="K1329" s="2">
        <v>26.1</v>
      </c>
      <c r="L1329" s="2" t="s">
        <v>4</v>
      </c>
      <c r="M1329" s="2" t="s">
        <v>4</v>
      </c>
      <c r="N1329" s="5">
        <f>IF(ISBLANK('Raw sheet'!L1329),AVERAGE('Raw sheet'!$L$2:'Raw sheet'!$L$1500),'Raw sheet'!L1329)</f>
        <v>5.3</v>
      </c>
      <c r="O1329" s="5" t="str">
        <f>IF(Table1[[#This Row],[Stress_Index]]&gt;=8,"High",IF(N1329&gt;=5,"Medium","Low"))</f>
        <v>Medium</v>
      </c>
      <c r="P1329" s="3">
        <v>0.92</v>
      </c>
      <c r="Q1329" s="2">
        <v>0.75</v>
      </c>
      <c r="R1329" s="3">
        <v>0.73</v>
      </c>
      <c r="S1329" s="3" t="str">
        <f>IF(Table1[[#This Row],[CGPA]]&gt;=3,"High",IF(R1328&gt;=2,"Medium","Low"))</f>
        <v>Medium</v>
      </c>
      <c r="T1329" s="2" t="s">
        <v>7</v>
      </c>
      <c r="U1329" s="2" t="s">
        <v>13</v>
      </c>
      <c r="V1329" s="2" t="s">
        <v>9</v>
      </c>
      <c r="W1329" s="7">
        <v>1</v>
      </c>
      <c r="X1329" t="str">
        <f t="shared" si="41"/>
        <v>Dropped Out</v>
      </c>
    </row>
    <row r="1330" spans="1:24" x14ac:dyDescent="0.3">
      <c r="A1330" s="2">
        <v>1329</v>
      </c>
      <c r="B1330" s="7">
        <v>18.3</v>
      </c>
      <c r="C1330" s="2" t="s">
        <v>11</v>
      </c>
      <c r="D1330" s="7">
        <f>IF(ISBLANK('Raw sheet'!D1330),AVERAGE('Raw sheet'!$D$2:'Raw sheet'!$D$1500),'Raw sheet'!D1330)</f>
        <v>56249</v>
      </c>
      <c r="E1330" s="7" t="str">
        <f>IF(Table1[[#This Row],[Family_Income]]&gt;=100000,"Upper",IF(D1330&gt;=50000,"Middle","Lower"))</f>
        <v>Middle</v>
      </c>
      <c r="F1330" s="2" t="s">
        <v>3</v>
      </c>
      <c r="G1330" s="3">
        <f>IF(ISBLANK('Raw sheet'!F1330),AVERAGE('Raw sheet'!$F$2:'Raw sheet'!$F$1500),'Raw sheet'!F1330)</f>
        <v>4.63</v>
      </c>
      <c r="H1330" s="18">
        <v>72.5</v>
      </c>
      <c r="I1330" s="9" t="str">
        <f t="shared" si="40"/>
        <v>Low</v>
      </c>
      <c r="J1330" s="2">
        <v>2</v>
      </c>
      <c r="K1330" s="2">
        <v>15.5</v>
      </c>
      <c r="L1330" s="2" t="s">
        <v>3</v>
      </c>
      <c r="M1330" s="2" t="s">
        <v>3</v>
      </c>
      <c r="N1330" s="5">
        <f>IF(ISBLANK('Raw sheet'!L1330),AVERAGE('Raw sheet'!$L$2:'Raw sheet'!$L$1500),'Raw sheet'!L1330)</f>
        <v>5.7</v>
      </c>
      <c r="O1330" s="5" t="str">
        <f>IF(Table1[[#This Row],[Stress_Index]]&gt;=8,"High",IF(N1330&gt;=5,"Medium","Low"))</f>
        <v>Medium</v>
      </c>
      <c r="P1330" s="3">
        <v>3.2</v>
      </c>
      <c r="Q1330" s="2">
        <v>3.31</v>
      </c>
      <c r="R1330" s="3">
        <v>3.31</v>
      </c>
      <c r="S1330" s="3" t="str">
        <f>IF(Table1[[#This Row],[CGPA]]&gt;=3,"High",IF(R1329&gt;=2,"Medium","Low"))</f>
        <v>High</v>
      </c>
      <c r="T1330" s="2" t="s">
        <v>2</v>
      </c>
      <c r="U1330" s="2" t="s">
        <v>14</v>
      </c>
      <c r="V1330" s="2" t="s">
        <v>15</v>
      </c>
      <c r="W1330" s="7">
        <v>0</v>
      </c>
      <c r="X1330" t="str">
        <f t="shared" si="41"/>
        <v>Active</v>
      </c>
    </row>
    <row r="1331" spans="1:24" x14ac:dyDescent="0.3">
      <c r="A1331" s="2">
        <v>1330</v>
      </c>
      <c r="B1331" s="7">
        <v>22.3</v>
      </c>
      <c r="C1331" s="2" t="s">
        <v>5</v>
      </c>
      <c r="D1331" s="7">
        <f>IF(ISBLANK('Raw sheet'!D1331),AVERAGE('Raw sheet'!$D$2:'Raw sheet'!$D$1500),'Raw sheet'!D1331)</f>
        <v>42346</v>
      </c>
      <c r="E1331" s="7" t="str">
        <f>IF(Table1[[#This Row],[Family_Income]]&gt;=100000,"Upper",IF(D1331&gt;=50000,"Middle","Lower"))</f>
        <v>Lower</v>
      </c>
      <c r="F1331" s="2" t="s">
        <v>4</v>
      </c>
      <c r="G1331" s="3">
        <f>IF(ISBLANK('Raw sheet'!F1331),AVERAGE('Raw sheet'!$F$2:'Raw sheet'!$F$1500),'Raw sheet'!F1331)</f>
        <v>5.79</v>
      </c>
      <c r="H1331" s="18">
        <v>75</v>
      </c>
      <c r="I1331" s="9" t="str">
        <f t="shared" si="40"/>
        <v>Good</v>
      </c>
      <c r="J1331" s="2">
        <v>1</v>
      </c>
      <c r="K1331" s="2">
        <v>34.9</v>
      </c>
      <c r="L1331" s="2" t="s">
        <v>3</v>
      </c>
      <c r="M1331" s="2" t="s">
        <v>3</v>
      </c>
      <c r="N1331" s="5">
        <f>IF(ISBLANK('Raw sheet'!L1331),AVERAGE('Raw sheet'!$L$2:'Raw sheet'!$L$1500),'Raw sheet'!L1331)</f>
        <v>5.2</v>
      </c>
      <c r="O1331" s="5" t="str">
        <f>IF(Table1[[#This Row],[Stress_Index]]&gt;=8,"High",IF(N1331&gt;=5,"Medium","Low"))</f>
        <v>Medium</v>
      </c>
      <c r="P1331" s="3">
        <v>0.48</v>
      </c>
      <c r="Q1331" s="2">
        <v>0.52</v>
      </c>
      <c r="R1331" s="3">
        <v>0.56000000000000005</v>
      </c>
      <c r="S1331" s="3" t="str">
        <f>IF(Table1[[#This Row],[CGPA]]&gt;=3,"High",IF(R1330&gt;=2,"Medium","Low"))</f>
        <v>Medium</v>
      </c>
      <c r="T1331" s="2" t="s">
        <v>7</v>
      </c>
      <c r="U1331" s="2" t="s">
        <v>13</v>
      </c>
      <c r="V1331" s="2" t="s">
        <v>9</v>
      </c>
      <c r="W1331" s="7">
        <v>1</v>
      </c>
      <c r="X1331" t="str">
        <f t="shared" si="41"/>
        <v>Dropped Out</v>
      </c>
    </row>
    <row r="1332" spans="1:24" x14ac:dyDescent="0.3">
      <c r="A1332" s="2">
        <v>1331</v>
      </c>
      <c r="B1332" s="7">
        <v>24.4</v>
      </c>
      <c r="C1332" s="2" t="s">
        <v>5</v>
      </c>
      <c r="D1332" s="7">
        <f>IF(ISBLANK('Raw sheet'!D1332),AVERAGE('Raw sheet'!$D$2:'Raw sheet'!$D$1500),'Raw sheet'!D1332)</f>
        <v>31098</v>
      </c>
      <c r="E1332" s="7" t="str">
        <f>IF(Table1[[#This Row],[Family_Income]]&gt;=100000,"Upper",IF(D1332&gt;=50000,"Middle","Lower"))</f>
        <v>Lower</v>
      </c>
      <c r="F1332" s="2" t="s">
        <v>3</v>
      </c>
      <c r="G1332" s="3">
        <f>IF(ISBLANK('Raw sheet'!F1332),AVERAGE('Raw sheet'!$F$2:'Raw sheet'!$F$1500),'Raw sheet'!F1332)</f>
        <v>5.89</v>
      </c>
      <c r="H1332" s="18">
        <v>72</v>
      </c>
      <c r="I1332" s="9" t="str">
        <f t="shared" si="40"/>
        <v>Low</v>
      </c>
      <c r="J1332" s="2">
        <v>4</v>
      </c>
      <c r="K1332" s="2">
        <v>38.1</v>
      </c>
      <c r="L1332" s="2" t="s">
        <v>3</v>
      </c>
      <c r="M1332" s="2" t="s">
        <v>4</v>
      </c>
      <c r="N1332" s="5">
        <f>IF(ISBLANK('Raw sheet'!L1332),AVERAGE('Raw sheet'!$L$2:'Raw sheet'!$L$1500),'Raw sheet'!L1332)</f>
        <v>6.1</v>
      </c>
      <c r="O1332" s="5" t="str">
        <f>IF(Table1[[#This Row],[Stress_Index]]&gt;=8,"High",IF(N1332&gt;=5,"Medium","Low"))</f>
        <v>Medium</v>
      </c>
      <c r="P1332" s="3">
        <v>3.83</v>
      </c>
      <c r="Q1332" s="2">
        <v>3.71</v>
      </c>
      <c r="R1332" s="3">
        <v>3.7</v>
      </c>
      <c r="S1332" s="3" t="str">
        <f>IF(Table1[[#This Row],[CGPA]]&gt;=3,"High",IF(R1331&gt;=2,"Medium","Low"))</f>
        <v>High</v>
      </c>
      <c r="T1332" s="2" t="s">
        <v>7</v>
      </c>
      <c r="U1332" s="2" t="s">
        <v>14</v>
      </c>
      <c r="V1332" s="2" t="s">
        <v>0</v>
      </c>
      <c r="W1332" s="7">
        <v>0</v>
      </c>
      <c r="X1332" t="str">
        <f t="shared" si="41"/>
        <v>Active</v>
      </c>
    </row>
    <row r="1333" spans="1:24" x14ac:dyDescent="0.3">
      <c r="A1333" s="2">
        <v>1332</v>
      </c>
      <c r="B1333" s="7">
        <v>23.7</v>
      </c>
      <c r="C1333" s="2" t="s">
        <v>11</v>
      </c>
      <c r="D1333" s="7">
        <f>IF(ISBLANK('Raw sheet'!D1333),AVERAGE('Raw sheet'!$D$2:'Raw sheet'!$D$1500),'Raw sheet'!D1333)</f>
        <v>35035</v>
      </c>
      <c r="E1333" s="7" t="str">
        <f>IF(Table1[[#This Row],[Family_Income]]&gt;=100000,"Upper",IF(D1333&gt;=50000,"Middle","Lower"))</f>
        <v>Lower</v>
      </c>
      <c r="F1333" s="2" t="s">
        <v>4</v>
      </c>
      <c r="G1333" s="3">
        <f>IF(ISBLANK('Raw sheet'!F1333),AVERAGE('Raw sheet'!$F$2:'Raw sheet'!$F$1500),'Raw sheet'!F1333)</f>
        <v>2.0299999999999998</v>
      </c>
      <c r="H1333" s="18">
        <v>83.6</v>
      </c>
      <c r="I1333" s="9" t="str">
        <f t="shared" si="40"/>
        <v>Good</v>
      </c>
      <c r="J1333" s="2">
        <v>3</v>
      </c>
      <c r="K1333" s="2">
        <v>41.2</v>
      </c>
      <c r="L1333" s="2" t="s">
        <v>3</v>
      </c>
      <c r="M1333" s="2" t="s">
        <v>3</v>
      </c>
      <c r="N1333" s="5">
        <f>IF(ISBLANK('Raw sheet'!L1333),AVERAGE('Raw sheet'!$L$2:'Raw sheet'!$L$1500),'Raw sheet'!L1333)</f>
        <v>6.2</v>
      </c>
      <c r="O1333" s="5" t="str">
        <f>IF(Table1[[#This Row],[Stress_Index]]&gt;=8,"High",IF(N1333&gt;=5,"Medium","Low"))</f>
        <v>Medium</v>
      </c>
      <c r="P1333" s="3">
        <v>1.59</v>
      </c>
      <c r="Q1333" s="2">
        <v>1.45</v>
      </c>
      <c r="R1333" s="3">
        <v>1.45</v>
      </c>
      <c r="S1333" s="3" t="str">
        <f>IF(Table1[[#This Row],[CGPA]]&gt;=3,"High",IF(R1332&gt;=2,"Medium","Low"))</f>
        <v>Medium</v>
      </c>
      <c r="T1333" s="2" t="s">
        <v>12</v>
      </c>
      <c r="U1333" s="2" t="s">
        <v>1</v>
      </c>
      <c r="V1333" s="2" t="s">
        <v>15</v>
      </c>
      <c r="W1333" s="7">
        <v>0</v>
      </c>
      <c r="X1333" t="str">
        <f t="shared" si="41"/>
        <v>Active</v>
      </c>
    </row>
    <row r="1334" spans="1:24" x14ac:dyDescent="0.3">
      <c r="A1334" s="2">
        <v>1333</v>
      </c>
      <c r="B1334" s="7">
        <v>20.5</v>
      </c>
      <c r="C1334" s="2" t="s">
        <v>5</v>
      </c>
      <c r="D1334" s="7">
        <f>IF(ISBLANK('Raw sheet'!D1334),AVERAGE('Raw sheet'!$D$2:'Raw sheet'!$D$1500),'Raw sheet'!D1334)</f>
        <v>25000</v>
      </c>
      <c r="E1334" s="7" t="str">
        <f>IF(Table1[[#This Row],[Family_Income]]&gt;=100000,"Upper",IF(D1334&gt;=50000,"Middle","Lower"))</f>
        <v>Lower</v>
      </c>
      <c r="F1334" s="2" t="s">
        <v>4</v>
      </c>
      <c r="G1334" s="3">
        <f>IF(ISBLANK('Raw sheet'!F1334),AVERAGE('Raw sheet'!$F$2:'Raw sheet'!$F$1500),'Raw sheet'!F1334)</f>
        <v>5.52</v>
      </c>
      <c r="H1334" s="18">
        <v>93.2</v>
      </c>
      <c r="I1334" s="9" t="str">
        <f t="shared" si="40"/>
        <v>Good</v>
      </c>
      <c r="J1334" s="2">
        <v>1</v>
      </c>
      <c r="K1334" s="2">
        <v>26.3</v>
      </c>
      <c r="L1334" s="2" t="s">
        <v>3</v>
      </c>
      <c r="M1334" s="2" t="s">
        <v>3</v>
      </c>
      <c r="N1334" s="5">
        <f>IF(ISBLANK('Raw sheet'!L1334),AVERAGE('Raw sheet'!$L$2:'Raw sheet'!$L$1500),'Raw sheet'!L1334)</f>
        <v>6.1</v>
      </c>
      <c r="O1334" s="5" t="str">
        <f>IF(Table1[[#This Row],[Stress_Index]]&gt;=8,"High",IF(N1334&gt;=5,"Medium","Low"))</f>
        <v>Medium</v>
      </c>
      <c r="P1334" s="3">
        <v>1.56</v>
      </c>
      <c r="Q1334" s="2">
        <v>1.32</v>
      </c>
      <c r="R1334" s="3">
        <v>1.3</v>
      </c>
      <c r="S1334" s="3" t="str">
        <f>IF(Table1[[#This Row],[CGPA]]&gt;=3,"High",IF(R1333&gt;=2,"Medium","Low"))</f>
        <v>Low</v>
      </c>
      <c r="T1334" s="2" t="s">
        <v>12</v>
      </c>
      <c r="U1334" s="2" t="s">
        <v>8</v>
      </c>
      <c r="V1334" s="2" t="s">
        <v>9</v>
      </c>
      <c r="W1334" s="7">
        <v>0</v>
      </c>
      <c r="X1334" t="str">
        <f t="shared" si="41"/>
        <v>Active</v>
      </c>
    </row>
    <row r="1335" spans="1:24" x14ac:dyDescent="0.3">
      <c r="A1335" s="2">
        <v>1334</v>
      </c>
      <c r="B1335" s="7">
        <v>24.3</v>
      </c>
      <c r="C1335" s="2" t="s">
        <v>5</v>
      </c>
      <c r="D1335" s="7">
        <f>IF(ISBLANK('Raw sheet'!D1335),AVERAGE('Raw sheet'!$D$2:'Raw sheet'!$D$1500),'Raw sheet'!D1335)</f>
        <v>32670</v>
      </c>
      <c r="E1335" s="7" t="str">
        <f>IF(Table1[[#This Row],[Family_Income]]&gt;=100000,"Upper",IF(D1335&gt;=50000,"Middle","Lower"))</f>
        <v>Lower</v>
      </c>
      <c r="F1335" s="2" t="s">
        <v>4</v>
      </c>
      <c r="G1335" s="3">
        <f>IF(ISBLANK('Raw sheet'!F1335),AVERAGE('Raw sheet'!$F$2:'Raw sheet'!$F$1500),'Raw sheet'!F1335)</f>
        <v>4.01</v>
      </c>
      <c r="H1335" s="18">
        <v>98.3</v>
      </c>
      <c r="I1335" s="9" t="str">
        <f t="shared" si="40"/>
        <v>Good</v>
      </c>
      <c r="J1335" s="2">
        <v>3</v>
      </c>
      <c r="K1335" s="2">
        <v>46.6</v>
      </c>
      <c r="L1335" s="2" t="s">
        <v>4</v>
      </c>
      <c r="M1335" s="2" t="s">
        <v>3</v>
      </c>
      <c r="N1335" s="5">
        <f>IF(ISBLANK('Raw sheet'!L1335),AVERAGE('Raw sheet'!$L$2:'Raw sheet'!$L$1500),'Raw sheet'!L1335)</f>
        <v>5.7</v>
      </c>
      <c r="O1335" s="5" t="str">
        <f>IF(Table1[[#This Row],[Stress_Index]]&gt;=8,"High",IF(N1335&gt;=5,"Medium","Low"))</f>
        <v>Medium</v>
      </c>
      <c r="P1335" s="3">
        <v>2.4300000000000002</v>
      </c>
      <c r="Q1335" s="2">
        <v>2.83</v>
      </c>
      <c r="R1335" s="3">
        <v>2.78</v>
      </c>
      <c r="S1335" s="3" t="str">
        <f>IF(Table1[[#This Row],[CGPA]]&gt;=3,"High",IF(R1334&gt;=2,"Medium","Low"))</f>
        <v>Low</v>
      </c>
      <c r="T1335" s="2" t="s">
        <v>10</v>
      </c>
      <c r="U1335" s="2" t="s">
        <v>8</v>
      </c>
      <c r="V1335" s="2" t="s">
        <v>15</v>
      </c>
      <c r="W1335" s="7">
        <v>0</v>
      </c>
      <c r="X1335" t="str">
        <f t="shared" si="41"/>
        <v>Active</v>
      </c>
    </row>
    <row r="1336" spans="1:24" x14ac:dyDescent="0.3">
      <c r="A1336" s="2">
        <v>1335</v>
      </c>
      <c r="B1336" s="7">
        <v>21.3</v>
      </c>
      <c r="C1336" s="2" t="s">
        <v>11</v>
      </c>
      <c r="D1336" s="7">
        <f>IF(ISBLANK('Raw sheet'!D1336),AVERAGE('Raw sheet'!$D$2:'Raw sheet'!$D$1500),'Raw sheet'!D1336)</f>
        <v>31031</v>
      </c>
      <c r="E1336" s="7" t="str">
        <f>IF(Table1[[#This Row],[Family_Income]]&gt;=100000,"Upper",IF(D1336&gt;=50000,"Middle","Lower"))</f>
        <v>Lower</v>
      </c>
      <c r="F1336" s="2" t="s">
        <v>4</v>
      </c>
      <c r="G1336" s="3">
        <f>IF(ISBLANK('Raw sheet'!F1336),AVERAGE('Raw sheet'!$F$2:'Raw sheet'!$F$1500),'Raw sheet'!F1336)</f>
        <v>0.72</v>
      </c>
      <c r="H1336" s="18">
        <v>73.8</v>
      </c>
      <c r="I1336" s="9" t="str">
        <f t="shared" si="40"/>
        <v>Low</v>
      </c>
      <c r="J1336" s="2">
        <v>4</v>
      </c>
      <c r="K1336" s="2">
        <v>18.899999999999999</v>
      </c>
      <c r="L1336" s="2" t="s">
        <v>3</v>
      </c>
      <c r="M1336" s="2" t="s">
        <v>4</v>
      </c>
      <c r="N1336" s="5">
        <f>IF(ISBLANK('Raw sheet'!L1336),AVERAGE('Raw sheet'!$L$2:'Raw sheet'!$L$1500),'Raw sheet'!L1336)</f>
        <v>3.6</v>
      </c>
      <c r="O1336" s="5" t="str">
        <f>IF(Table1[[#This Row],[Stress_Index]]&gt;=8,"High",IF(N1336&gt;=5,"Medium","Low"))</f>
        <v>Low</v>
      </c>
      <c r="P1336" s="3">
        <v>1.72</v>
      </c>
      <c r="Q1336" s="2">
        <v>2.08</v>
      </c>
      <c r="R1336" s="3">
        <v>2.04</v>
      </c>
      <c r="S1336" s="3" t="str">
        <f>IF(Table1[[#This Row],[CGPA]]&gt;=3,"High",IF(R1335&gt;=2,"Medium","Low"))</f>
        <v>Medium</v>
      </c>
      <c r="T1336" s="2" t="s">
        <v>12</v>
      </c>
      <c r="U1336" s="2" t="s">
        <v>6</v>
      </c>
      <c r="V1336" s="2" t="s">
        <v>16</v>
      </c>
      <c r="W1336" s="7">
        <v>1</v>
      </c>
      <c r="X1336" t="str">
        <f t="shared" si="41"/>
        <v>Dropped Out</v>
      </c>
    </row>
    <row r="1337" spans="1:24" x14ac:dyDescent="0.3">
      <c r="A1337" s="2">
        <v>1336</v>
      </c>
      <c r="B1337" s="7">
        <v>20.3</v>
      </c>
      <c r="C1337" s="2" t="s">
        <v>5</v>
      </c>
      <c r="D1337" s="7">
        <f>IF(ISBLANK('Raw sheet'!D1337),AVERAGE('Raw sheet'!$D$2:'Raw sheet'!$D$1500),'Raw sheet'!D1337)</f>
        <v>25000</v>
      </c>
      <c r="E1337" s="7" t="str">
        <f>IF(Table1[[#This Row],[Family_Income]]&gt;=100000,"Upper",IF(D1337&gt;=50000,"Middle","Lower"))</f>
        <v>Lower</v>
      </c>
      <c r="F1337" s="2" t="s">
        <v>4</v>
      </c>
      <c r="G1337" s="3">
        <f>IF(ISBLANK('Raw sheet'!F1337),AVERAGE('Raw sheet'!$F$2:'Raw sheet'!$F$1500),'Raw sheet'!F1337)</f>
        <v>2</v>
      </c>
      <c r="H1337" s="18">
        <v>87.8</v>
      </c>
      <c r="I1337" s="9" t="str">
        <f t="shared" si="40"/>
        <v>Good</v>
      </c>
      <c r="J1337" s="2">
        <v>2</v>
      </c>
      <c r="K1337" s="2">
        <v>31.6</v>
      </c>
      <c r="L1337" s="2" t="s">
        <v>3</v>
      </c>
      <c r="M1337" s="2" t="s">
        <v>4</v>
      </c>
      <c r="N1337" s="5">
        <f>IF(ISBLANK('Raw sheet'!L1337),AVERAGE('Raw sheet'!$L$2:'Raw sheet'!$L$1500),'Raw sheet'!L1337)</f>
        <v>3.1</v>
      </c>
      <c r="O1337" s="5" t="str">
        <f>IF(Table1[[#This Row],[Stress_Index]]&gt;=8,"High",IF(N1337&gt;=5,"Medium","Low"))</f>
        <v>Low</v>
      </c>
      <c r="P1337" s="3">
        <v>1.89</v>
      </c>
      <c r="Q1337" s="2">
        <v>2.04</v>
      </c>
      <c r="R1337" s="3">
        <v>2.02</v>
      </c>
      <c r="S1337" s="3" t="str">
        <f>IF(Table1[[#This Row],[CGPA]]&gt;=3,"High",IF(R1336&gt;=2,"Medium","Low"))</f>
        <v>Medium</v>
      </c>
      <c r="T1337" s="2" t="s">
        <v>7</v>
      </c>
      <c r="U1337" s="2" t="s">
        <v>14</v>
      </c>
      <c r="V1337" s="2" t="s">
        <v>9</v>
      </c>
      <c r="W1337" s="7">
        <v>0</v>
      </c>
      <c r="X1337" t="str">
        <f t="shared" si="41"/>
        <v>Active</v>
      </c>
    </row>
    <row r="1338" spans="1:24" x14ac:dyDescent="0.3">
      <c r="A1338" s="2">
        <v>1337</v>
      </c>
      <c r="B1338" s="7">
        <v>19.7</v>
      </c>
      <c r="C1338" s="2" t="s">
        <v>11</v>
      </c>
      <c r="D1338" s="7">
        <f>IF(ISBLANK('Raw sheet'!D1338),AVERAGE('Raw sheet'!$D$2:'Raw sheet'!$D$1500),'Raw sheet'!D1338)</f>
        <v>25000</v>
      </c>
      <c r="E1338" s="7" t="str">
        <f>IF(Table1[[#This Row],[Family_Income]]&gt;=100000,"Upper",IF(D1338&gt;=50000,"Middle","Lower"))</f>
        <v>Lower</v>
      </c>
      <c r="F1338" s="2" t="s">
        <v>3</v>
      </c>
      <c r="G1338" s="3">
        <f>IF(ISBLANK('Raw sheet'!F1338),AVERAGE('Raw sheet'!$F$2:'Raw sheet'!$F$1500),'Raw sheet'!F1338)</f>
        <v>1.55</v>
      </c>
      <c r="H1338" s="18">
        <v>91.7</v>
      </c>
      <c r="I1338" s="9" t="str">
        <f t="shared" si="40"/>
        <v>Good</v>
      </c>
      <c r="J1338" s="2">
        <v>1</v>
      </c>
      <c r="K1338" s="2">
        <v>28.3</v>
      </c>
      <c r="L1338" s="2" t="s">
        <v>3</v>
      </c>
      <c r="M1338" s="2" t="s">
        <v>4</v>
      </c>
      <c r="N1338" s="5">
        <f>IF(ISBLANK('Raw sheet'!L1338),AVERAGE('Raw sheet'!$L$2:'Raw sheet'!$L$1500),'Raw sheet'!L1338)</f>
        <v>4.5</v>
      </c>
      <c r="O1338" s="5" t="str">
        <f>IF(Table1[[#This Row],[Stress_Index]]&gt;=8,"High",IF(N1338&gt;=5,"Medium","Low"))</f>
        <v>Low</v>
      </c>
      <c r="P1338" s="3">
        <v>1.89</v>
      </c>
      <c r="Q1338" s="2">
        <v>1.54</v>
      </c>
      <c r="R1338" s="3">
        <v>1.51</v>
      </c>
      <c r="S1338" s="3" t="str">
        <f>IF(Table1[[#This Row],[CGPA]]&gt;=3,"High",IF(R1337&gt;=2,"Medium","Low"))</f>
        <v>Medium</v>
      </c>
      <c r="T1338" s="2" t="s">
        <v>12</v>
      </c>
      <c r="U1338" s="2" t="s">
        <v>13</v>
      </c>
      <c r="V1338" s="2" t="s">
        <v>9</v>
      </c>
      <c r="W1338" s="7">
        <v>0</v>
      </c>
      <c r="X1338" t="str">
        <f t="shared" si="41"/>
        <v>Active</v>
      </c>
    </row>
    <row r="1339" spans="1:24" x14ac:dyDescent="0.3">
      <c r="A1339" s="2">
        <v>1338</v>
      </c>
      <c r="B1339" s="7">
        <v>20.3</v>
      </c>
      <c r="C1339" s="2" t="s">
        <v>11</v>
      </c>
      <c r="D1339" s="7">
        <f>IF(ISBLANK('Raw sheet'!D1339),AVERAGE('Raw sheet'!$D$2:'Raw sheet'!$D$1500),'Raw sheet'!D1339)</f>
        <v>73799</v>
      </c>
      <c r="E1339" s="7" t="str">
        <f>IF(Table1[[#This Row],[Family_Income]]&gt;=100000,"Upper",IF(D1339&gt;=50000,"Middle","Lower"))</f>
        <v>Middle</v>
      </c>
      <c r="F1339" s="2" t="s">
        <v>4</v>
      </c>
      <c r="G1339" s="3">
        <f>IF(ISBLANK('Raw sheet'!F1339),AVERAGE('Raw sheet'!$F$2:'Raw sheet'!$F$1500),'Raw sheet'!F1339)</f>
        <v>4.78</v>
      </c>
      <c r="H1339" s="18">
        <v>83</v>
      </c>
      <c r="I1339" s="9" t="str">
        <f t="shared" si="40"/>
        <v>Good</v>
      </c>
      <c r="J1339" s="2">
        <v>2</v>
      </c>
      <c r="K1339" s="2">
        <v>53.7</v>
      </c>
      <c r="L1339" s="2" t="s">
        <v>3</v>
      </c>
      <c r="M1339" s="2" t="s">
        <v>3</v>
      </c>
      <c r="N1339" s="5">
        <f>IF(ISBLANK('Raw sheet'!L1339),AVERAGE('Raw sheet'!$L$2:'Raw sheet'!$L$1500),'Raw sheet'!L1339)</f>
        <v>7.5</v>
      </c>
      <c r="O1339" s="5" t="str">
        <f>IF(Table1[[#This Row],[Stress_Index]]&gt;=8,"High",IF(N1339&gt;=5,"Medium","Low"))</f>
        <v>Medium</v>
      </c>
      <c r="P1339" s="3">
        <v>1.72</v>
      </c>
      <c r="Q1339" s="2">
        <v>1.3</v>
      </c>
      <c r="R1339" s="3">
        <v>1.32</v>
      </c>
      <c r="S1339" s="3" t="str">
        <f>IF(Table1[[#This Row],[CGPA]]&gt;=3,"High",IF(R1338&gt;=2,"Medium","Low"))</f>
        <v>Low</v>
      </c>
      <c r="T1339" s="2" t="s">
        <v>12</v>
      </c>
      <c r="U1339" s="2" t="s">
        <v>14</v>
      </c>
      <c r="V1339" s="2" t="s">
        <v>9</v>
      </c>
      <c r="W1339" s="7">
        <v>0</v>
      </c>
      <c r="X1339" t="str">
        <f t="shared" si="41"/>
        <v>Active</v>
      </c>
    </row>
    <row r="1340" spans="1:24" x14ac:dyDescent="0.3">
      <c r="A1340" s="2">
        <v>1339</v>
      </c>
      <c r="B1340" s="7">
        <v>20.100000000000001</v>
      </c>
      <c r="C1340" s="2" t="s">
        <v>5</v>
      </c>
      <c r="D1340" s="7">
        <f>IF(ISBLANK('Raw sheet'!D1340),AVERAGE('Raw sheet'!$D$2:'Raw sheet'!$D$1500),'Raw sheet'!D1340)</f>
        <v>27581</v>
      </c>
      <c r="E1340" s="7" t="str">
        <f>IF(Table1[[#This Row],[Family_Income]]&gt;=100000,"Upper",IF(D1340&gt;=50000,"Middle","Lower"))</f>
        <v>Lower</v>
      </c>
      <c r="F1340" s="2" t="s">
        <v>4</v>
      </c>
      <c r="G1340" s="3">
        <f>IF(ISBLANK('Raw sheet'!F1340),AVERAGE('Raw sheet'!$F$2:'Raw sheet'!$F$1500),'Raw sheet'!F1340)</f>
        <v>3.76</v>
      </c>
      <c r="H1340" s="18">
        <v>87.7</v>
      </c>
      <c r="I1340" s="9" t="str">
        <f t="shared" si="40"/>
        <v>Good</v>
      </c>
      <c r="J1340" s="2">
        <v>2</v>
      </c>
      <c r="K1340" s="2">
        <v>44.5</v>
      </c>
      <c r="L1340" s="2" t="s">
        <v>3</v>
      </c>
      <c r="M1340" s="2" t="s">
        <v>3</v>
      </c>
      <c r="N1340" s="5">
        <f>IF(ISBLANK('Raw sheet'!L1340),AVERAGE('Raw sheet'!$L$2:'Raw sheet'!$L$1500),'Raw sheet'!L1340)</f>
        <v>9.6999999999999993</v>
      </c>
      <c r="O1340" s="5" t="str">
        <f>IF(Table1[[#This Row],[Stress_Index]]&gt;=8,"High",IF(N1340&gt;=5,"Medium","Low"))</f>
        <v>High</v>
      </c>
      <c r="P1340" s="3">
        <v>3.45</v>
      </c>
      <c r="Q1340" s="2">
        <v>3.74</v>
      </c>
      <c r="R1340" s="3">
        <v>3.7</v>
      </c>
      <c r="S1340" s="3" t="str">
        <f>IF(Table1[[#This Row],[CGPA]]&gt;=3,"High",IF(R1339&gt;=2,"Medium","Low"))</f>
        <v>High</v>
      </c>
      <c r="T1340" s="2" t="s">
        <v>10</v>
      </c>
      <c r="U1340" s="2" t="s">
        <v>14</v>
      </c>
      <c r="V1340" s="2" t="s">
        <v>16</v>
      </c>
      <c r="W1340" s="7">
        <v>0</v>
      </c>
      <c r="X1340" t="str">
        <f t="shared" si="41"/>
        <v>Active</v>
      </c>
    </row>
    <row r="1341" spans="1:24" x14ac:dyDescent="0.3">
      <c r="A1341" s="2">
        <v>1340</v>
      </c>
      <c r="B1341" s="7">
        <v>21.4</v>
      </c>
      <c r="C1341" s="2" t="s">
        <v>11</v>
      </c>
      <c r="D1341" s="7">
        <f>IF(ISBLANK('Raw sheet'!D1341),AVERAGE('Raw sheet'!$D$2:'Raw sheet'!$D$1500),'Raw sheet'!D1341)</f>
        <v>103023</v>
      </c>
      <c r="E1341" s="7" t="str">
        <f>IF(Table1[[#This Row],[Family_Income]]&gt;=100000,"Upper",IF(D1341&gt;=50000,"Middle","Lower"))</f>
        <v>Upper</v>
      </c>
      <c r="F1341" s="2" t="s">
        <v>4</v>
      </c>
      <c r="G1341" s="3">
        <f>IF(ISBLANK('Raw sheet'!F1341),AVERAGE('Raw sheet'!$F$2:'Raw sheet'!$F$1500),'Raw sheet'!F1341)</f>
        <v>3.15</v>
      </c>
      <c r="H1341" s="18">
        <v>85.7</v>
      </c>
      <c r="I1341" s="9" t="str">
        <f t="shared" si="40"/>
        <v>Good</v>
      </c>
      <c r="J1341" s="2">
        <v>0</v>
      </c>
      <c r="K1341" s="2">
        <v>30.4</v>
      </c>
      <c r="L1341" s="2" t="s">
        <v>3</v>
      </c>
      <c r="M1341" s="2" t="s">
        <v>3</v>
      </c>
      <c r="N1341" s="5">
        <f>IF(ISBLANK('Raw sheet'!L1341),AVERAGE('Raw sheet'!$L$2:'Raw sheet'!$L$1500),'Raw sheet'!L1341)</f>
        <v>6.5</v>
      </c>
      <c r="O1341" s="5" t="str">
        <f>IF(Table1[[#This Row],[Stress_Index]]&gt;=8,"High",IF(N1341&gt;=5,"Medium","Low"))</f>
        <v>Medium</v>
      </c>
      <c r="P1341" s="3">
        <v>0.82</v>
      </c>
      <c r="Q1341" s="2">
        <v>0.98</v>
      </c>
      <c r="R1341" s="3">
        <v>0.9</v>
      </c>
      <c r="S1341" s="3" t="str">
        <f>IF(Table1[[#This Row],[CGPA]]&gt;=3,"High",IF(R1340&gt;=2,"Medium","Low"))</f>
        <v>Medium</v>
      </c>
      <c r="T1341" s="2" t="s">
        <v>10</v>
      </c>
      <c r="U1341" s="2" t="s">
        <v>8</v>
      </c>
      <c r="V1341" s="2" t="s">
        <v>9</v>
      </c>
      <c r="W1341" s="7">
        <v>1</v>
      </c>
      <c r="X1341" t="str">
        <f t="shared" si="41"/>
        <v>Dropped Out</v>
      </c>
    </row>
    <row r="1342" spans="1:24" x14ac:dyDescent="0.3">
      <c r="A1342" s="2">
        <v>1341</v>
      </c>
      <c r="B1342" s="7">
        <v>21.4</v>
      </c>
      <c r="C1342" s="2" t="s">
        <v>5</v>
      </c>
      <c r="D1342" s="7">
        <f>IF(ISBLANK('Raw sheet'!D1342),AVERAGE('Raw sheet'!$D$2:'Raw sheet'!$D$1500),'Raw sheet'!D1342)</f>
        <v>25000</v>
      </c>
      <c r="E1342" s="7" t="str">
        <f>IF(Table1[[#This Row],[Family_Income]]&gt;=100000,"Upper",IF(D1342&gt;=50000,"Middle","Lower"))</f>
        <v>Lower</v>
      </c>
      <c r="F1342" s="2" t="s">
        <v>4</v>
      </c>
      <c r="G1342" s="3">
        <f>IF(ISBLANK('Raw sheet'!F1342),AVERAGE('Raw sheet'!$F$2:'Raw sheet'!$F$1500),'Raw sheet'!F1342)</f>
        <v>3.88</v>
      </c>
      <c r="H1342" s="18">
        <v>85.7</v>
      </c>
      <c r="I1342" s="9" t="str">
        <f t="shared" si="40"/>
        <v>Good</v>
      </c>
      <c r="J1342" s="2">
        <v>2</v>
      </c>
      <c r="K1342" s="2">
        <v>32.4</v>
      </c>
      <c r="L1342" s="2" t="s">
        <v>4</v>
      </c>
      <c r="M1342" s="2" t="s">
        <v>3</v>
      </c>
      <c r="N1342" s="5">
        <f>IF(ISBLANK('Raw sheet'!L1342),AVERAGE('Raw sheet'!$L$2:'Raw sheet'!$L$1500),'Raw sheet'!L1342)</f>
        <v>6.1</v>
      </c>
      <c r="O1342" s="5" t="str">
        <f>IF(Table1[[#This Row],[Stress_Index]]&gt;=8,"High",IF(N1342&gt;=5,"Medium","Low"))</f>
        <v>Medium</v>
      </c>
      <c r="P1342" s="3">
        <v>1.63</v>
      </c>
      <c r="Q1342" s="2">
        <v>1.74</v>
      </c>
      <c r="R1342" s="3">
        <v>1.75</v>
      </c>
      <c r="S1342" s="3" t="str">
        <f>IF(Table1[[#This Row],[CGPA]]&gt;=3,"High",IF(R1341&gt;=2,"Medium","Low"))</f>
        <v>Low</v>
      </c>
      <c r="T1342" s="2" t="s">
        <v>7</v>
      </c>
      <c r="U1342" s="2" t="s">
        <v>14</v>
      </c>
      <c r="V1342" s="2" t="s">
        <v>15</v>
      </c>
      <c r="W1342" s="7">
        <v>0</v>
      </c>
      <c r="X1342" t="str">
        <f t="shared" si="41"/>
        <v>Active</v>
      </c>
    </row>
    <row r="1343" spans="1:24" x14ac:dyDescent="0.3">
      <c r="A1343" s="2">
        <v>1342</v>
      </c>
      <c r="B1343" s="7">
        <v>21</v>
      </c>
      <c r="C1343" s="2" t="s">
        <v>11</v>
      </c>
      <c r="D1343" s="7">
        <f>IF(ISBLANK('Raw sheet'!D1343),AVERAGE('Raw sheet'!$D$2:'Raw sheet'!$D$1500),'Raw sheet'!D1343)</f>
        <v>25000</v>
      </c>
      <c r="E1343" s="7" t="str">
        <f>IF(Table1[[#This Row],[Family_Income]]&gt;=100000,"Upper",IF(D1343&gt;=50000,"Middle","Lower"))</f>
        <v>Lower</v>
      </c>
      <c r="F1343" s="2" t="s">
        <v>4</v>
      </c>
      <c r="G1343" s="3">
        <f>IF(ISBLANK('Raw sheet'!F1343),AVERAGE('Raw sheet'!$F$2:'Raw sheet'!$F$1500),'Raw sheet'!F1343)</f>
        <v>6.28</v>
      </c>
      <c r="H1343" s="18">
        <v>76.099999999999994</v>
      </c>
      <c r="I1343" s="9" t="str">
        <f t="shared" si="40"/>
        <v>Good</v>
      </c>
      <c r="J1343" s="2">
        <v>2</v>
      </c>
      <c r="K1343" s="2">
        <v>48.4</v>
      </c>
      <c r="L1343" s="2" t="s">
        <v>3</v>
      </c>
      <c r="M1343" s="2" t="s">
        <v>4</v>
      </c>
      <c r="N1343" s="5">
        <f>IF(ISBLANK('Raw sheet'!L1343),AVERAGE('Raw sheet'!$L$2:'Raw sheet'!$L$1500),'Raw sheet'!L1343)</f>
        <v>7.4</v>
      </c>
      <c r="O1343" s="5" t="str">
        <f>IF(Table1[[#This Row],[Stress_Index]]&gt;=8,"High",IF(N1343&gt;=5,"Medium","Low"))</f>
        <v>Medium</v>
      </c>
      <c r="P1343" s="3">
        <v>2.04</v>
      </c>
      <c r="Q1343" s="2">
        <v>2.0699999999999998</v>
      </c>
      <c r="R1343" s="3">
        <v>2.13</v>
      </c>
      <c r="S1343" s="3" t="str">
        <f>IF(Table1[[#This Row],[CGPA]]&gt;=3,"High",IF(R1342&gt;=2,"Medium","Low"))</f>
        <v>Low</v>
      </c>
      <c r="T1343" s="2" t="s">
        <v>7</v>
      </c>
      <c r="U1343" s="2" t="s">
        <v>13</v>
      </c>
      <c r="V1343" s="2" t="s">
        <v>9</v>
      </c>
      <c r="W1343" s="7">
        <v>0</v>
      </c>
      <c r="X1343" t="str">
        <f t="shared" si="41"/>
        <v>Active</v>
      </c>
    </row>
    <row r="1344" spans="1:24" x14ac:dyDescent="0.3">
      <c r="A1344" s="2">
        <v>1343</v>
      </c>
      <c r="B1344" s="7">
        <v>22</v>
      </c>
      <c r="C1344" s="2" t="s">
        <v>11</v>
      </c>
      <c r="D1344" s="7">
        <f>IF(ISBLANK('Raw sheet'!D1344),AVERAGE('Raw sheet'!$D$2:'Raw sheet'!$D$1500),'Raw sheet'!D1344)</f>
        <v>25000</v>
      </c>
      <c r="E1344" s="7" t="str">
        <f>IF(Table1[[#This Row],[Family_Income]]&gt;=100000,"Upper",IF(D1344&gt;=50000,"Middle","Lower"))</f>
        <v>Lower</v>
      </c>
      <c r="F1344" s="2" t="s">
        <v>4</v>
      </c>
      <c r="G1344" s="3">
        <f>IF(ISBLANK('Raw sheet'!F1344),AVERAGE('Raw sheet'!$F$2:'Raw sheet'!$F$1500),'Raw sheet'!F1344)</f>
        <v>3.62</v>
      </c>
      <c r="H1344" s="18">
        <v>66</v>
      </c>
      <c r="I1344" s="9" t="str">
        <f t="shared" si="40"/>
        <v>Low</v>
      </c>
      <c r="J1344" s="2">
        <v>3</v>
      </c>
      <c r="K1344" s="2">
        <v>21</v>
      </c>
      <c r="L1344" s="2" t="s">
        <v>3</v>
      </c>
      <c r="M1344" s="2" t="s">
        <v>3</v>
      </c>
      <c r="N1344" s="5">
        <f>IF(ISBLANK('Raw sheet'!L1344),AVERAGE('Raw sheet'!$L$2:'Raw sheet'!$L$1500),'Raw sheet'!L1344)</f>
        <v>8.1999999999999993</v>
      </c>
      <c r="O1344" s="5" t="str">
        <f>IF(Table1[[#This Row],[Stress_Index]]&gt;=8,"High",IF(N1344&gt;=5,"Medium","Low"))</f>
        <v>High</v>
      </c>
      <c r="P1344" s="3">
        <v>2.06</v>
      </c>
      <c r="Q1344" s="2">
        <v>2.68</v>
      </c>
      <c r="R1344" s="3">
        <v>2.72</v>
      </c>
      <c r="S1344" s="3" t="str">
        <f>IF(Table1[[#This Row],[CGPA]]&gt;=3,"High",IF(R1343&gt;=2,"Medium","Low"))</f>
        <v>Medium</v>
      </c>
      <c r="T1344" s="2" t="s">
        <v>10</v>
      </c>
      <c r="U1344" s="2" t="s">
        <v>14</v>
      </c>
      <c r="V1344" s="2" t="s">
        <v>15</v>
      </c>
      <c r="W1344" s="7">
        <v>0</v>
      </c>
      <c r="X1344" t="str">
        <f t="shared" si="41"/>
        <v>Active</v>
      </c>
    </row>
    <row r="1345" spans="1:24" x14ac:dyDescent="0.3">
      <c r="A1345" s="2">
        <v>1344</v>
      </c>
      <c r="B1345" s="7">
        <v>23.6</v>
      </c>
      <c r="C1345" s="2" t="s">
        <v>11</v>
      </c>
      <c r="D1345" s="7">
        <f>IF(ISBLANK('Raw sheet'!D1345),AVERAGE('Raw sheet'!$D$2:'Raw sheet'!$D$1500),'Raw sheet'!D1345)</f>
        <v>25000</v>
      </c>
      <c r="E1345" s="7" t="str">
        <f>IF(Table1[[#This Row],[Family_Income]]&gt;=100000,"Upper",IF(D1345&gt;=50000,"Middle","Lower"))</f>
        <v>Lower</v>
      </c>
      <c r="F1345" s="2" t="s">
        <v>4</v>
      </c>
      <c r="G1345" s="3">
        <f>IF(ISBLANK('Raw sheet'!F1345),AVERAGE('Raw sheet'!$F$2:'Raw sheet'!$F$1500),'Raw sheet'!F1345)</f>
        <v>4.43</v>
      </c>
      <c r="H1345" s="18">
        <v>79.2</v>
      </c>
      <c r="I1345" s="9" t="str">
        <f t="shared" si="40"/>
        <v>Good</v>
      </c>
      <c r="J1345" s="2">
        <v>3</v>
      </c>
      <c r="K1345" s="2">
        <v>5.6</v>
      </c>
      <c r="L1345" s="2" t="s">
        <v>4</v>
      </c>
      <c r="M1345" s="2" t="s">
        <v>3</v>
      </c>
      <c r="N1345" s="5">
        <f>IF(ISBLANK('Raw sheet'!L1345),AVERAGE('Raw sheet'!$L$2:'Raw sheet'!$L$1500),'Raw sheet'!L1345)</f>
        <v>3.8</v>
      </c>
      <c r="O1345" s="5" t="str">
        <f>IF(Table1[[#This Row],[Stress_Index]]&gt;=8,"High",IF(N1345&gt;=5,"Medium","Low"))</f>
        <v>Low</v>
      </c>
      <c r="P1345" s="3">
        <v>1.7</v>
      </c>
      <c r="Q1345" s="2">
        <v>1.52</v>
      </c>
      <c r="R1345" s="3">
        <v>1.49</v>
      </c>
      <c r="S1345" s="3" t="str">
        <f>IF(Table1[[#This Row],[CGPA]]&gt;=3,"High",IF(R1344&gt;=2,"Medium","Low"))</f>
        <v>Medium</v>
      </c>
      <c r="T1345" s="2" t="s">
        <v>12</v>
      </c>
      <c r="U1345" s="2" t="s">
        <v>13</v>
      </c>
      <c r="V1345" s="2" t="s">
        <v>0</v>
      </c>
      <c r="W1345" s="7">
        <v>0</v>
      </c>
      <c r="X1345" t="str">
        <f t="shared" si="41"/>
        <v>Active</v>
      </c>
    </row>
    <row r="1346" spans="1:24" x14ac:dyDescent="0.3">
      <c r="A1346" s="2">
        <v>1345</v>
      </c>
      <c r="B1346" s="7">
        <v>23.1</v>
      </c>
      <c r="C1346" s="2" t="s">
        <v>5</v>
      </c>
      <c r="D1346" s="7">
        <f>IF(ISBLANK('Raw sheet'!D1346),AVERAGE('Raw sheet'!$D$2:'Raw sheet'!$D$1500),'Raw sheet'!D1346)</f>
        <v>25000</v>
      </c>
      <c r="E1346" s="7" t="str">
        <f>IF(Table1[[#This Row],[Family_Income]]&gt;=100000,"Upper",IF(D1346&gt;=50000,"Middle","Lower"))</f>
        <v>Lower</v>
      </c>
      <c r="F1346" s="2" t="s">
        <v>4</v>
      </c>
      <c r="G1346" s="3">
        <f>IF(ISBLANK('Raw sheet'!F1346),AVERAGE('Raw sheet'!$F$2:'Raw sheet'!$F$1500),'Raw sheet'!F1346)</f>
        <v>4.82</v>
      </c>
      <c r="H1346" s="18">
        <v>75.900000000000006</v>
      </c>
      <c r="I1346" s="9" t="str">
        <f t="shared" ref="I1346:I1409" si="42">IF(H1346&gt;=75,"Good","Low")</f>
        <v>Good</v>
      </c>
      <c r="J1346" s="2">
        <v>1</v>
      </c>
      <c r="K1346" s="2">
        <v>18.399999999999999</v>
      </c>
      <c r="L1346" s="2" t="s">
        <v>4</v>
      </c>
      <c r="M1346" s="2" t="s">
        <v>4</v>
      </c>
      <c r="N1346" s="5">
        <f>IF(ISBLANK('Raw sheet'!L1346),AVERAGE('Raw sheet'!$L$2:'Raw sheet'!$L$1500),'Raw sheet'!L1346)</f>
        <v>10</v>
      </c>
      <c r="O1346" s="5" t="str">
        <f>IF(Table1[[#This Row],[Stress_Index]]&gt;=8,"High",IF(N1346&gt;=5,"Medium","Low"))</f>
        <v>High</v>
      </c>
      <c r="P1346" s="3">
        <v>0.35</v>
      </c>
      <c r="Q1346" s="2">
        <v>0.79</v>
      </c>
      <c r="R1346" s="3">
        <v>0.91</v>
      </c>
      <c r="S1346" s="3" t="str">
        <f>IF(Table1[[#This Row],[CGPA]]&gt;=3,"High",IF(R1345&gt;=2,"Medium","Low"))</f>
        <v>Low</v>
      </c>
      <c r="T1346" s="2" t="s">
        <v>10</v>
      </c>
      <c r="U1346" s="2" t="s">
        <v>6</v>
      </c>
      <c r="V1346" s="2" t="s">
        <v>15</v>
      </c>
      <c r="W1346" s="7">
        <v>1</v>
      </c>
      <c r="X1346" t="str">
        <f t="shared" ref="X1346:X1409" si="43">IF(W1346=1,"Dropped Out","Active")</f>
        <v>Dropped Out</v>
      </c>
    </row>
    <row r="1347" spans="1:24" x14ac:dyDescent="0.3">
      <c r="A1347" s="2">
        <v>1346</v>
      </c>
      <c r="B1347" s="7">
        <v>17.7</v>
      </c>
      <c r="C1347" s="2" t="s">
        <v>11</v>
      </c>
      <c r="D1347" s="7">
        <f>IF(ISBLANK('Raw sheet'!D1347),AVERAGE('Raw sheet'!$D$2:'Raw sheet'!$D$1500),'Raw sheet'!D1347)</f>
        <v>35925</v>
      </c>
      <c r="E1347" s="7" t="str">
        <f>IF(Table1[[#This Row],[Family_Income]]&gt;=100000,"Upper",IF(D1347&gt;=50000,"Middle","Lower"))</f>
        <v>Lower</v>
      </c>
      <c r="F1347" s="2" t="s">
        <v>4</v>
      </c>
      <c r="G1347" s="3">
        <f>IF(ISBLANK('Raw sheet'!F1347),AVERAGE('Raw sheet'!$F$2:'Raw sheet'!$F$1500),'Raw sheet'!F1347)</f>
        <v>2.42</v>
      </c>
      <c r="H1347" s="18">
        <v>79.8</v>
      </c>
      <c r="I1347" s="9" t="str">
        <f t="shared" si="42"/>
        <v>Good</v>
      </c>
      <c r="J1347" s="2">
        <v>1</v>
      </c>
      <c r="K1347" s="2">
        <v>25</v>
      </c>
      <c r="L1347" s="2" t="s">
        <v>4</v>
      </c>
      <c r="M1347" s="2" t="s">
        <v>3</v>
      </c>
      <c r="N1347" s="5">
        <f>IF(ISBLANK('Raw sheet'!L1347),AVERAGE('Raw sheet'!$L$2:'Raw sheet'!$L$1500),'Raw sheet'!L1347)</f>
        <v>8.4</v>
      </c>
      <c r="O1347" s="5" t="str">
        <f>IF(Table1[[#This Row],[Stress_Index]]&gt;=8,"High",IF(N1347&gt;=5,"Medium","Low"))</f>
        <v>High</v>
      </c>
      <c r="P1347" s="3">
        <v>0.15</v>
      </c>
      <c r="Q1347" s="2">
        <v>0.35</v>
      </c>
      <c r="R1347" s="3">
        <v>0.34</v>
      </c>
      <c r="S1347" s="3" t="str">
        <f>IF(Table1[[#This Row],[CGPA]]&gt;=3,"High",IF(R1346&gt;=2,"Medium","Low"))</f>
        <v>Low</v>
      </c>
      <c r="T1347" s="2" t="s">
        <v>10</v>
      </c>
      <c r="U1347" s="2" t="s">
        <v>14</v>
      </c>
      <c r="V1347" s="2" t="s">
        <v>0</v>
      </c>
      <c r="W1347" s="7">
        <v>1</v>
      </c>
      <c r="X1347" t="str">
        <f t="shared" si="43"/>
        <v>Dropped Out</v>
      </c>
    </row>
    <row r="1348" spans="1:24" x14ac:dyDescent="0.3">
      <c r="A1348" s="2">
        <v>1347</v>
      </c>
      <c r="B1348" s="7">
        <v>17</v>
      </c>
      <c r="C1348" s="2" t="s">
        <v>5</v>
      </c>
      <c r="D1348" s="7">
        <f>IF(ISBLANK('Raw sheet'!D1348),AVERAGE('Raw sheet'!$D$2:'Raw sheet'!$D$1500),'Raw sheet'!D1348)</f>
        <v>34895</v>
      </c>
      <c r="E1348" s="7" t="str">
        <f>IF(Table1[[#This Row],[Family_Income]]&gt;=100000,"Upper",IF(D1348&gt;=50000,"Middle","Lower"))</f>
        <v>Lower</v>
      </c>
      <c r="F1348" s="2" t="s">
        <v>4</v>
      </c>
      <c r="G1348" s="3">
        <f>IF(ISBLANK('Raw sheet'!F1348),AVERAGE('Raw sheet'!$F$2:'Raw sheet'!$F$1500),'Raw sheet'!F1348)</f>
        <v>4.7300000000000004</v>
      </c>
      <c r="H1348" s="18">
        <v>89.7</v>
      </c>
      <c r="I1348" s="9" t="str">
        <f t="shared" si="42"/>
        <v>Good</v>
      </c>
      <c r="J1348" s="2">
        <v>0</v>
      </c>
      <c r="K1348" s="2">
        <v>46.3</v>
      </c>
      <c r="L1348" s="2" t="s">
        <v>4</v>
      </c>
      <c r="M1348" s="2" t="s">
        <v>4</v>
      </c>
      <c r="N1348" s="5">
        <f>IF(ISBLANK('Raw sheet'!L1348),AVERAGE('Raw sheet'!$L$2:'Raw sheet'!$L$1500),'Raw sheet'!L1348)</f>
        <v>3</v>
      </c>
      <c r="O1348" s="5" t="str">
        <f>IF(Table1[[#This Row],[Stress_Index]]&gt;=8,"High",IF(N1348&gt;=5,"Medium","Low"))</f>
        <v>Low</v>
      </c>
      <c r="P1348" s="3">
        <v>4</v>
      </c>
      <c r="Q1348" s="2">
        <v>3.57</v>
      </c>
      <c r="R1348" s="3">
        <v>3.6</v>
      </c>
      <c r="S1348" s="3" t="str">
        <f>IF(Table1[[#This Row],[CGPA]]&gt;=3,"High",IF(R1347&gt;=2,"Medium","Low"))</f>
        <v>High</v>
      </c>
      <c r="T1348" s="2" t="s">
        <v>7</v>
      </c>
      <c r="U1348" s="2" t="s">
        <v>13</v>
      </c>
      <c r="V1348" s="2" t="s">
        <v>9</v>
      </c>
      <c r="W1348" s="7">
        <v>0</v>
      </c>
      <c r="X1348" t="str">
        <f t="shared" si="43"/>
        <v>Active</v>
      </c>
    </row>
    <row r="1349" spans="1:24" x14ac:dyDescent="0.3">
      <c r="A1349" s="2">
        <v>1348</v>
      </c>
      <c r="B1349" s="7">
        <v>23.1</v>
      </c>
      <c r="C1349" s="2" t="s">
        <v>5</v>
      </c>
      <c r="D1349" s="7">
        <f>IF(ISBLANK('Raw sheet'!D1349),AVERAGE('Raw sheet'!$D$2:'Raw sheet'!$D$1500),'Raw sheet'!D1349)</f>
        <v>38587.00282087447</v>
      </c>
      <c r="E1349" s="7" t="str">
        <f>IF(Table1[[#This Row],[Family_Income]]&gt;=100000,"Upper",IF(D1349&gt;=50000,"Middle","Lower"))</f>
        <v>Lower</v>
      </c>
      <c r="F1349" s="2" t="s">
        <v>4</v>
      </c>
      <c r="G1349" s="3">
        <f>IF(ISBLANK('Raw sheet'!F1349),AVERAGE('Raw sheet'!$F$2:'Raw sheet'!$F$1500),'Raw sheet'!F1349)</f>
        <v>4.0178702397743278</v>
      </c>
      <c r="H1349" s="18">
        <v>78.5</v>
      </c>
      <c r="I1349" s="9" t="str">
        <f t="shared" si="42"/>
        <v>Good</v>
      </c>
      <c r="J1349" s="2">
        <v>4</v>
      </c>
      <c r="K1349" s="2">
        <v>42.4</v>
      </c>
      <c r="L1349" s="2" t="s">
        <v>3</v>
      </c>
      <c r="M1349" s="2" t="s">
        <v>3</v>
      </c>
      <c r="N1349" s="5">
        <f>IF(ISBLANK('Raw sheet'!L1349),AVERAGE('Raw sheet'!$L$2:'Raw sheet'!$L$1500),'Raw sheet'!L1349)</f>
        <v>5.5242595204513369</v>
      </c>
      <c r="O1349" s="5" t="str">
        <f>IF(Table1[[#This Row],[Stress_Index]]&gt;=8,"High",IF(N1349&gt;=5,"Medium","Low"))</f>
        <v>Medium</v>
      </c>
      <c r="P1349" s="3">
        <v>4</v>
      </c>
      <c r="Q1349" s="2">
        <v>3.9</v>
      </c>
      <c r="R1349" s="3">
        <v>3.85</v>
      </c>
      <c r="S1349" s="3" t="str">
        <f>IF(Table1[[#This Row],[CGPA]]&gt;=3,"High",IF(R1348&gt;=2,"Medium","Low"))</f>
        <v>High</v>
      </c>
      <c r="T1349" s="2" t="s">
        <v>12</v>
      </c>
      <c r="U1349" s="2" t="s">
        <v>14</v>
      </c>
      <c r="V1349" s="2" t="s">
        <v>9</v>
      </c>
      <c r="W1349" s="7">
        <v>0</v>
      </c>
      <c r="X1349" t="str">
        <f t="shared" si="43"/>
        <v>Active</v>
      </c>
    </row>
    <row r="1350" spans="1:24" x14ac:dyDescent="0.3">
      <c r="A1350" s="2">
        <v>1349</v>
      </c>
      <c r="B1350" s="7">
        <v>18</v>
      </c>
      <c r="C1350" s="2" t="s">
        <v>11</v>
      </c>
      <c r="D1350" s="7">
        <f>IF(ISBLANK('Raw sheet'!D1350),AVERAGE('Raw sheet'!$D$2:'Raw sheet'!$D$1500),'Raw sheet'!D1350)</f>
        <v>25000</v>
      </c>
      <c r="E1350" s="7" t="str">
        <f>IF(Table1[[#This Row],[Family_Income]]&gt;=100000,"Upper",IF(D1350&gt;=50000,"Middle","Lower"))</f>
        <v>Lower</v>
      </c>
      <c r="F1350" s="2" t="s">
        <v>4</v>
      </c>
      <c r="G1350" s="3">
        <f>IF(ISBLANK('Raw sheet'!F1350),AVERAGE('Raw sheet'!$F$2:'Raw sheet'!$F$1500),'Raw sheet'!F1350)</f>
        <v>5.3</v>
      </c>
      <c r="H1350" s="18">
        <v>83.2</v>
      </c>
      <c r="I1350" s="9" t="str">
        <f t="shared" si="42"/>
        <v>Good</v>
      </c>
      <c r="J1350" s="2">
        <v>3</v>
      </c>
      <c r="K1350" s="2">
        <v>29.5</v>
      </c>
      <c r="L1350" s="2" t="s">
        <v>4</v>
      </c>
      <c r="M1350" s="2" t="s">
        <v>3</v>
      </c>
      <c r="N1350" s="5">
        <f>IF(ISBLANK('Raw sheet'!L1350),AVERAGE('Raw sheet'!$L$2:'Raw sheet'!$L$1500),'Raw sheet'!L1350)</f>
        <v>10</v>
      </c>
      <c r="O1350" s="5" t="str">
        <f>IF(Table1[[#This Row],[Stress_Index]]&gt;=8,"High",IF(N1350&gt;=5,"Medium","Low"))</f>
        <v>High</v>
      </c>
      <c r="P1350" s="3">
        <v>1.81</v>
      </c>
      <c r="Q1350" s="2">
        <v>1.78</v>
      </c>
      <c r="R1350" s="3">
        <v>1.77</v>
      </c>
      <c r="S1350" s="3" t="str">
        <f>IF(Table1[[#This Row],[CGPA]]&gt;=3,"High",IF(R1349&gt;=2,"Medium","Low"))</f>
        <v>Medium</v>
      </c>
      <c r="T1350" s="2" t="s">
        <v>10</v>
      </c>
      <c r="U1350" s="2" t="s">
        <v>8</v>
      </c>
      <c r="V1350" s="2" t="s">
        <v>0</v>
      </c>
      <c r="W1350" s="7">
        <v>1</v>
      </c>
      <c r="X1350" t="str">
        <f t="shared" si="43"/>
        <v>Dropped Out</v>
      </c>
    </row>
    <row r="1351" spans="1:24" x14ac:dyDescent="0.3">
      <c r="A1351" s="2">
        <v>1350</v>
      </c>
      <c r="B1351" s="7">
        <v>20.5</v>
      </c>
      <c r="C1351" s="2" t="s">
        <v>5</v>
      </c>
      <c r="D1351" s="7">
        <f>IF(ISBLANK('Raw sheet'!D1351),AVERAGE('Raw sheet'!$D$2:'Raw sheet'!$D$1500),'Raw sheet'!D1351)</f>
        <v>72158</v>
      </c>
      <c r="E1351" s="7" t="str">
        <f>IF(Table1[[#This Row],[Family_Income]]&gt;=100000,"Upper",IF(D1351&gt;=50000,"Middle","Lower"))</f>
        <v>Middle</v>
      </c>
      <c r="F1351" s="2" t="s">
        <v>4</v>
      </c>
      <c r="G1351" s="3">
        <f>IF(ISBLANK('Raw sheet'!F1351),AVERAGE('Raw sheet'!$F$2:'Raw sheet'!$F$1500),'Raw sheet'!F1351)</f>
        <v>3.81</v>
      </c>
      <c r="H1351" s="18">
        <v>72.5</v>
      </c>
      <c r="I1351" s="9" t="str">
        <f t="shared" si="42"/>
        <v>Low</v>
      </c>
      <c r="J1351" s="2">
        <v>3</v>
      </c>
      <c r="K1351" s="2">
        <v>35.6</v>
      </c>
      <c r="L1351" s="2" t="s">
        <v>3</v>
      </c>
      <c r="M1351" s="2" t="s">
        <v>3</v>
      </c>
      <c r="N1351" s="5">
        <f>IF(ISBLANK('Raw sheet'!L1351),AVERAGE('Raw sheet'!$L$2:'Raw sheet'!$L$1500),'Raw sheet'!L1351)</f>
        <v>7.4</v>
      </c>
      <c r="O1351" s="5" t="str">
        <f>IF(Table1[[#This Row],[Stress_Index]]&gt;=8,"High",IF(N1351&gt;=5,"Medium","Low"))</f>
        <v>Medium</v>
      </c>
      <c r="P1351" s="3">
        <v>2.13</v>
      </c>
      <c r="Q1351" s="2">
        <v>2.4</v>
      </c>
      <c r="R1351" s="3">
        <v>2.4</v>
      </c>
      <c r="S1351" s="3" t="str">
        <f>IF(Table1[[#This Row],[CGPA]]&gt;=3,"High",IF(R1350&gt;=2,"Medium","Low"))</f>
        <v>Low</v>
      </c>
      <c r="T1351" s="2" t="s">
        <v>2</v>
      </c>
      <c r="U1351" s="2" t="s">
        <v>8</v>
      </c>
      <c r="V1351" s="2" t="s">
        <v>15</v>
      </c>
      <c r="W1351" s="7">
        <v>0</v>
      </c>
      <c r="X1351" t="str">
        <f t="shared" si="43"/>
        <v>Active</v>
      </c>
    </row>
    <row r="1352" spans="1:24" x14ac:dyDescent="0.3">
      <c r="A1352" s="2">
        <v>1351</v>
      </c>
      <c r="B1352" s="7">
        <v>18.399999999999999</v>
      </c>
      <c r="C1352" s="2" t="s">
        <v>11</v>
      </c>
      <c r="D1352" s="7">
        <f>IF(ISBLANK('Raw sheet'!D1352),AVERAGE('Raw sheet'!$D$2:'Raw sheet'!$D$1500),'Raw sheet'!D1352)</f>
        <v>25048</v>
      </c>
      <c r="E1352" s="7" t="str">
        <f>IF(Table1[[#This Row],[Family_Income]]&gt;=100000,"Upper",IF(D1352&gt;=50000,"Middle","Lower"))</f>
        <v>Lower</v>
      </c>
      <c r="F1352" s="2" t="s">
        <v>4</v>
      </c>
      <c r="G1352" s="3">
        <f>IF(ISBLANK('Raw sheet'!F1352),AVERAGE('Raw sheet'!$F$2:'Raw sheet'!$F$1500),'Raw sheet'!F1352)</f>
        <v>5.22</v>
      </c>
      <c r="H1352" s="18">
        <v>78.900000000000006</v>
      </c>
      <c r="I1352" s="9" t="str">
        <f t="shared" si="42"/>
        <v>Good</v>
      </c>
      <c r="J1352" s="2">
        <v>0</v>
      </c>
      <c r="K1352" s="2">
        <v>21.5</v>
      </c>
      <c r="L1352" s="2" t="s">
        <v>3</v>
      </c>
      <c r="M1352" s="2" t="s">
        <v>4</v>
      </c>
      <c r="N1352" s="5">
        <f>IF(ISBLANK('Raw sheet'!L1352),AVERAGE('Raw sheet'!$L$2:'Raw sheet'!$L$1500),'Raw sheet'!L1352)</f>
        <v>4.4000000000000004</v>
      </c>
      <c r="O1352" s="5" t="str">
        <f>IF(Table1[[#This Row],[Stress_Index]]&gt;=8,"High",IF(N1352&gt;=5,"Medium","Low"))</f>
        <v>Low</v>
      </c>
      <c r="P1352" s="3">
        <v>3.9</v>
      </c>
      <c r="Q1352" s="2">
        <v>3.75</v>
      </c>
      <c r="R1352" s="3">
        <v>3.75</v>
      </c>
      <c r="S1352" s="3" t="str">
        <f>IF(Table1[[#This Row],[CGPA]]&gt;=3,"High",IF(R1351&gt;=2,"Medium","Low"))</f>
        <v>High</v>
      </c>
      <c r="T1352" s="2" t="s">
        <v>7</v>
      </c>
      <c r="U1352" s="2" t="s">
        <v>8</v>
      </c>
      <c r="V1352" s="2" t="s">
        <v>17</v>
      </c>
      <c r="W1352" s="7">
        <v>0</v>
      </c>
      <c r="X1352" t="str">
        <f t="shared" si="43"/>
        <v>Active</v>
      </c>
    </row>
    <row r="1353" spans="1:24" x14ac:dyDescent="0.3">
      <c r="A1353" s="2">
        <v>1352</v>
      </c>
      <c r="B1353" s="7">
        <v>17</v>
      </c>
      <c r="C1353" s="2" t="s">
        <v>5</v>
      </c>
      <c r="D1353" s="7">
        <f>IF(ISBLANK('Raw sheet'!D1353),AVERAGE('Raw sheet'!$D$2:'Raw sheet'!$D$1500),'Raw sheet'!D1353)</f>
        <v>25000</v>
      </c>
      <c r="E1353" s="7" t="str">
        <f>IF(Table1[[#This Row],[Family_Income]]&gt;=100000,"Upper",IF(D1353&gt;=50000,"Middle","Lower"))</f>
        <v>Lower</v>
      </c>
      <c r="F1353" s="2" t="s">
        <v>4</v>
      </c>
      <c r="G1353" s="3">
        <f>IF(ISBLANK('Raw sheet'!F1353),AVERAGE('Raw sheet'!$F$2:'Raw sheet'!$F$1500),'Raw sheet'!F1353)</f>
        <v>4.6399999999999997</v>
      </c>
      <c r="H1353" s="18">
        <v>75.8</v>
      </c>
      <c r="I1353" s="9" t="str">
        <f t="shared" si="42"/>
        <v>Good</v>
      </c>
      <c r="J1353" s="2">
        <v>2</v>
      </c>
      <c r="K1353" s="2">
        <v>55.1</v>
      </c>
      <c r="L1353" s="2" t="s">
        <v>4</v>
      </c>
      <c r="M1353" s="2" t="s">
        <v>4</v>
      </c>
      <c r="N1353" s="5">
        <f>IF(ISBLANK('Raw sheet'!L1353),AVERAGE('Raw sheet'!$L$2:'Raw sheet'!$L$1500),'Raw sheet'!L1353)</f>
        <v>5.6</v>
      </c>
      <c r="O1353" s="5" t="str">
        <f>IF(Table1[[#This Row],[Stress_Index]]&gt;=8,"High",IF(N1353&gt;=5,"Medium","Low"))</f>
        <v>Medium</v>
      </c>
      <c r="P1353" s="3">
        <v>3.52</v>
      </c>
      <c r="Q1353" s="2">
        <v>3.56</v>
      </c>
      <c r="R1353" s="3">
        <v>3.56</v>
      </c>
      <c r="S1353" s="3" t="str">
        <f>IF(Table1[[#This Row],[CGPA]]&gt;=3,"High",IF(R1352&gt;=2,"Medium","Low"))</f>
        <v>High</v>
      </c>
      <c r="T1353" s="2" t="s">
        <v>2</v>
      </c>
      <c r="U1353" s="2" t="s">
        <v>6</v>
      </c>
      <c r="V1353" s="2" t="s">
        <v>15</v>
      </c>
      <c r="W1353" s="7">
        <v>1</v>
      </c>
      <c r="X1353" t="str">
        <f t="shared" si="43"/>
        <v>Dropped Out</v>
      </c>
    </row>
    <row r="1354" spans="1:24" x14ac:dyDescent="0.3">
      <c r="A1354" s="2">
        <v>1353</v>
      </c>
      <c r="B1354" s="7">
        <v>22.2</v>
      </c>
      <c r="C1354" s="2" t="s">
        <v>11</v>
      </c>
      <c r="D1354" s="7">
        <f>IF(ISBLANK('Raw sheet'!D1354),AVERAGE('Raw sheet'!$D$2:'Raw sheet'!$D$1500),'Raw sheet'!D1354)</f>
        <v>35065</v>
      </c>
      <c r="E1354" s="7" t="str">
        <f>IF(Table1[[#This Row],[Family_Income]]&gt;=100000,"Upper",IF(D1354&gt;=50000,"Middle","Lower"))</f>
        <v>Lower</v>
      </c>
      <c r="F1354" s="2" t="s">
        <v>4</v>
      </c>
      <c r="G1354" s="3">
        <f>IF(ISBLANK('Raw sheet'!F1354),AVERAGE('Raw sheet'!$F$2:'Raw sheet'!$F$1500),'Raw sheet'!F1354)</f>
        <v>4.09</v>
      </c>
      <c r="H1354" s="18">
        <v>83</v>
      </c>
      <c r="I1354" s="9" t="str">
        <f t="shared" si="42"/>
        <v>Good</v>
      </c>
      <c r="J1354" s="2">
        <v>2</v>
      </c>
      <c r="K1354" s="2">
        <v>44.6</v>
      </c>
      <c r="L1354" s="2" t="s">
        <v>4</v>
      </c>
      <c r="M1354" s="2" t="s">
        <v>3</v>
      </c>
      <c r="N1354" s="5">
        <f>IF(ISBLANK('Raw sheet'!L1354),AVERAGE('Raw sheet'!$L$2:'Raw sheet'!$L$1500),'Raw sheet'!L1354)</f>
        <v>6.9</v>
      </c>
      <c r="O1354" s="5" t="str">
        <f>IF(Table1[[#This Row],[Stress_Index]]&gt;=8,"High",IF(N1354&gt;=5,"Medium","Low"))</f>
        <v>Medium</v>
      </c>
      <c r="P1354" s="3">
        <v>3.58</v>
      </c>
      <c r="Q1354" s="2">
        <v>3.34</v>
      </c>
      <c r="R1354" s="3">
        <v>3.38</v>
      </c>
      <c r="S1354" s="3" t="str">
        <f>IF(Table1[[#This Row],[CGPA]]&gt;=3,"High",IF(R1353&gt;=2,"Medium","Low"))</f>
        <v>High</v>
      </c>
      <c r="T1354" s="2" t="s">
        <v>12</v>
      </c>
      <c r="U1354" s="2" t="s">
        <v>13</v>
      </c>
      <c r="V1354" s="2" t="s">
        <v>15</v>
      </c>
      <c r="W1354" s="7">
        <v>0</v>
      </c>
      <c r="X1354" t="str">
        <f t="shared" si="43"/>
        <v>Active</v>
      </c>
    </row>
    <row r="1355" spans="1:24" x14ac:dyDescent="0.3">
      <c r="A1355" s="2">
        <v>1354</v>
      </c>
      <c r="B1355" s="7">
        <v>22.7</v>
      </c>
      <c r="C1355" s="2" t="s">
        <v>5</v>
      </c>
      <c r="D1355" s="7">
        <f>IF(ISBLANK('Raw sheet'!D1355),AVERAGE('Raw sheet'!$D$2:'Raw sheet'!$D$1500),'Raw sheet'!D1355)</f>
        <v>33613</v>
      </c>
      <c r="E1355" s="7" t="str">
        <f>IF(Table1[[#This Row],[Family_Income]]&gt;=100000,"Upper",IF(D1355&gt;=50000,"Middle","Lower"))</f>
        <v>Lower</v>
      </c>
      <c r="F1355" s="2" t="s">
        <v>4</v>
      </c>
      <c r="G1355" s="3">
        <f>IF(ISBLANK('Raw sheet'!F1355),AVERAGE('Raw sheet'!$F$2:'Raw sheet'!$F$1500),'Raw sheet'!F1355)</f>
        <v>5.19</v>
      </c>
      <c r="H1355" s="18">
        <v>78.3</v>
      </c>
      <c r="I1355" s="9" t="str">
        <f t="shared" si="42"/>
        <v>Good</v>
      </c>
      <c r="J1355" s="2">
        <v>3</v>
      </c>
      <c r="K1355" s="2">
        <v>30.6</v>
      </c>
      <c r="L1355" s="2" t="s">
        <v>4</v>
      </c>
      <c r="M1355" s="2" t="s">
        <v>4</v>
      </c>
      <c r="N1355" s="5">
        <f>IF(ISBLANK('Raw sheet'!L1355),AVERAGE('Raw sheet'!$L$2:'Raw sheet'!$L$1500),'Raw sheet'!L1355)</f>
        <v>7.1</v>
      </c>
      <c r="O1355" s="5" t="str">
        <f>IF(Table1[[#This Row],[Stress_Index]]&gt;=8,"High",IF(N1355&gt;=5,"Medium","Low"))</f>
        <v>Medium</v>
      </c>
      <c r="P1355" s="3">
        <v>0.75</v>
      </c>
      <c r="Q1355" s="2">
        <v>0.83</v>
      </c>
      <c r="R1355" s="3">
        <v>0.84</v>
      </c>
      <c r="S1355" s="3" t="str">
        <f>IF(Table1[[#This Row],[CGPA]]&gt;=3,"High",IF(R1354&gt;=2,"Medium","Low"))</f>
        <v>Medium</v>
      </c>
      <c r="T1355" s="2" t="s">
        <v>12</v>
      </c>
      <c r="U1355" s="2" t="s">
        <v>13</v>
      </c>
      <c r="V1355" s="2" t="s">
        <v>0</v>
      </c>
      <c r="W1355" s="7">
        <v>1</v>
      </c>
      <c r="X1355" t="str">
        <f t="shared" si="43"/>
        <v>Dropped Out</v>
      </c>
    </row>
    <row r="1356" spans="1:24" x14ac:dyDescent="0.3">
      <c r="A1356" s="2">
        <v>1355</v>
      </c>
      <c r="B1356" s="7">
        <v>19.7</v>
      </c>
      <c r="C1356" s="2" t="s">
        <v>5</v>
      </c>
      <c r="D1356" s="7">
        <f>IF(ISBLANK('Raw sheet'!D1356),AVERAGE('Raw sheet'!$D$2:'Raw sheet'!$D$1500),'Raw sheet'!D1356)</f>
        <v>25000</v>
      </c>
      <c r="E1356" s="7" t="str">
        <f>IF(Table1[[#This Row],[Family_Income]]&gt;=100000,"Upper",IF(D1356&gt;=50000,"Middle","Lower"))</f>
        <v>Lower</v>
      </c>
      <c r="F1356" s="2" t="s">
        <v>4</v>
      </c>
      <c r="G1356" s="3">
        <f>IF(ISBLANK('Raw sheet'!F1356),AVERAGE('Raw sheet'!$F$2:'Raw sheet'!$F$1500),'Raw sheet'!F1356)</f>
        <v>6.27</v>
      </c>
      <c r="H1356" s="18">
        <v>89.2</v>
      </c>
      <c r="I1356" s="9" t="str">
        <f t="shared" si="42"/>
        <v>Good</v>
      </c>
      <c r="J1356" s="2">
        <v>0</v>
      </c>
      <c r="K1356" s="2">
        <v>29.1</v>
      </c>
      <c r="L1356" s="2" t="s">
        <v>4</v>
      </c>
      <c r="M1356" s="2" t="s">
        <v>3</v>
      </c>
      <c r="N1356" s="5">
        <f>IF(ISBLANK('Raw sheet'!L1356),AVERAGE('Raw sheet'!$L$2:'Raw sheet'!$L$1500),'Raw sheet'!L1356)</f>
        <v>8</v>
      </c>
      <c r="O1356" s="5" t="str">
        <f>IF(Table1[[#This Row],[Stress_Index]]&gt;=8,"High",IF(N1356&gt;=5,"Medium","Low"))</f>
        <v>High</v>
      </c>
      <c r="P1356" s="3">
        <v>1.2</v>
      </c>
      <c r="Q1356" s="2">
        <v>0.94</v>
      </c>
      <c r="R1356" s="3">
        <v>1.04</v>
      </c>
      <c r="S1356" s="3" t="str">
        <f>IF(Table1[[#This Row],[CGPA]]&gt;=3,"High",IF(R1355&gt;=2,"Medium","Low"))</f>
        <v>Low</v>
      </c>
      <c r="T1356" s="2" t="s">
        <v>10</v>
      </c>
      <c r="U1356" s="2" t="s">
        <v>8</v>
      </c>
      <c r="V1356" s="2" t="s">
        <v>0</v>
      </c>
      <c r="W1356" s="7">
        <v>1</v>
      </c>
      <c r="X1356" t="str">
        <f t="shared" si="43"/>
        <v>Dropped Out</v>
      </c>
    </row>
    <row r="1357" spans="1:24" x14ac:dyDescent="0.3">
      <c r="A1357" s="2">
        <v>1356</v>
      </c>
      <c r="B1357" s="7">
        <v>17</v>
      </c>
      <c r="C1357" s="2" t="s">
        <v>5</v>
      </c>
      <c r="D1357" s="7">
        <f>IF(ISBLANK('Raw sheet'!D1357),AVERAGE('Raw sheet'!$D$2:'Raw sheet'!$D$1500),'Raw sheet'!D1357)</f>
        <v>32504</v>
      </c>
      <c r="E1357" s="7" t="str">
        <f>IF(Table1[[#This Row],[Family_Income]]&gt;=100000,"Upper",IF(D1357&gt;=50000,"Middle","Lower"))</f>
        <v>Lower</v>
      </c>
      <c r="F1357" s="2" t="s">
        <v>4</v>
      </c>
      <c r="G1357" s="3">
        <f>IF(ISBLANK('Raw sheet'!F1357),AVERAGE('Raw sheet'!$F$2:'Raw sheet'!$F$1500),'Raw sheet'!F1357)</f>
        <v>5.2</v>
      </c>
      <c r="H1357" s="18">
        <v>75.2</v>
      </c>
      <c r="I1357" s="9" t="str">
        <f t="shared" si="42"/>
        <v>Good</v>
      </c>
      <c r="J1357" s="2">
        <v>1</v>
      </c>
      <c r="K1357" s="2">
        <v>38.4</v>
      </c>
      <c r="L1357" s="2" t="s">
        <v>4</v>
      </c>
      <c r="M1357" s="2" t="s">
        <v>3</v>
      </c>
      <c r="N1357" s="5">
        <f>IF(ISBLANK('Raw sheet'!L1357),AVERAGE('Raw sheet'!$L$2:'Raw sheet'!$L$1500),'Raw sheet'!L1357)</f>
        <v>5.9</v>
      </c>
      <c r="O1357" s="5" t="str">
        <f>IF(Table1[[#This Row],[Stress_Index]]&gt;=8,"High",IF(N1357&gt;=5,"Medium","Low"))</f>
        <v>Medium</v>
      </c>
      <c r="P1357" s="3">
        <v>2.69</v>
      </c>
      <c r="Q1357" s="2">
        <v>2.89</v>
      </c>
      <c r="R1357" s="3">
        <v>2.89</v>
      </c>
      <c r="S1357" s="3" t="str">
        <f>IF(Table1[[#This Row],[CGPA]]&gt;=3,"High",IF(R1356&gt;=2,"Medium","Low"))</f>
        <v>Low</v>
      </c>
      <c r="T1357" s="2" t="s">
        <v>2</v>
      </c>
      <c r="U1357" s="2" t="s">
        <v>14</v>
      </c>
      <c r="V1357" s="2" t="s">
        <v>15</v>
      </c>
      <c r="W1357" s="7">
        <v>0</v>
      </c>
      <c r="X1357" t="str">
        <f t="shared" si="43"/>
        <v>Active</v>
      </c>
    </row>
    <row r="1358" spans="1:24" x14ac:dyDescent="0.3">
      <c r="A1358" s="2">
        <v>1357</v>
      </c>
      <c r="B1358" s="7">
        <v>19.8</v>
      </c>
      <c r="C1358" s="2" t="s">
        <v>11</v>
      </c>
      <c r="D1358" s="7">
        <f>IF(ISBLANK('Raw sheet'!D1358),AVERAGE('Raw sheet'!$D$2:'Raw sheet'!$D$1500),'Raw sheet'!D1358)</f>
        <v>25000</v>
      </c>
      <c r="E1358" s="7" t="str">
        <f>IF(Table1[[#This Row],[Family_Income]]&gt;=100000,"Upper",IF(D1358&gt;=50000,"Middle","Lower"))</f>
        <v>Lower</v>
      </c>
      <c r="F1358" s="2" t="s">
        <v>4</v>
      </c>
      <c r="G1358" s="3">
        <f>IF(ISBLANK('Raw sheet'!F1358),AVERAGE('Raw sheet'!$F$2:'Raw sheet'!$F$1500),'Raw sheet'!F1358)</f>
        <v>3.9</v>
      </c>
      <c r="H1358" s="18">
        <v>99.5</v>
      </c>
      <c r="I1358" s="9" t="str">
        <f t="shared" si="42"/>
        <v>Good</v>
      </c>
      <c r="J1358" s="2">
        <v>1</v>
      </c>
      <c r="K1358" s="2">
        <v>29.3</v>
      </c>
      <c r="L1358" s="2" t="s">
        <v>3</v>
      </c>
      <c r="M1358" s="2" t="s">
        <v>3</v>
      </c>
      <c r="N1358" s="5">
        <f>IF(ISBLANK('Raw sheet'!L1358),AVERAGE('Raw sheet'!$L$2:'Raw sheet'!$L$1500),'Raw sheet'!L1358)</f>
        <v>6</v>
      </c>
      <c r="O1358" s="5" t="str">
        <f>IF(Table1[[#This Row],[Stress_Index]]&gt;=8,"High",IF(N1358&gt;=5,"Medium","Low"))</f>
        <v>Medium</v>
      </c>
      <c r="P1358" s="3">
        <v>2.78</v>
      </c>
      <c r="Q1358" s="2">
        <v>2.61</v>
      </c>
      <c r="R1358" s="3">
        <v>2.5299999999999998</v>
      </c>
      <c r="S1358" s="3" t="str">
        <f>IF(Table1[[#This Row],[CGPA]]&gt;=3,"High",IF(R1357&gt;=2,"Medium","Low"))</f>
        <v>Medium</v>
      </c>
      <c r="T1358" s="2" t="s">
        <v>10</v>
      </c>
      <c r="U1358" s="2" t="s">
        <v>1</v>
      </c>
      <c r="V1358" s="2" t="s">
        <v>0</v>
      </c>
      <c r="W1358" s="7">
        <v>0</v>
      </c>
      <c r="X1358" t="str">
        <f t="shared" si="43"/>
        <v>Active</v>
      </c>
    </row>
    <row r="1359" spans="1:24" x14ac:dyDescent="0.3">
      <c r="A1359" s="2">
        <v>1358</v>
      </c>
      <c r="B1359" s="7">
        <v>21.9</v>
      </c>
      <c r="C1359" s="2" t="s">
        <v>5</v>
      </c>
      <c r="D1359" s="7">
        <f>IF(ISBLANK('Raw sheet'!D1359),AVERAGE('Raw sheet'!$D$2:'Raw sheet'!$D$1500),'Raw sheet'!D1359)</f>
        <v>46908</v>
      </c>
      <c r="E1359" s="7" t="str">
        <f>IF(Table1[[#This Row],[Family_Income]]&gt;=100000,"Upper",IF(D1359&gt;=50000,"Middle","Lower"))</f>
        <v>Lower</v>
      </c>
      <c r="F1359" s="2" t="s">
        <v>4</v>
      </c>
      <c r="G1359" s="3">
        <f>IF(ISBLANK('Raw sheet'!F1359),AVERAGE('Raw sheet'!$F$2:'Raw sheet'!$F$1500),'Raw sheet'!F1359)</f>
        <v>3.37</v>
      </c>
      <c r="H1359" s="18">
        <v>70.2</v>
      </c>
      <c r="I1359" s="9" t="str">
        <f t="shared" si="42"/>
        <v>Low</v>
      </c>
      <c r="J1359" s="2">
        <v>2</v>
      </c>
      <c r="K1359" s="2">
        <v>8.1</v>
      </c>
      <c r="L1359" s="2" t="s">
        <v>3</v>
      </c>
      <c r="M1359" s="2" t="s">
        <v>3</v>
      </c>
      <c r="N1359" s="5">
        <f>IF(ISBLANK('Raw sheet'!L1359),AVERAGE('Raw sheet'!$L$2:'Raw sheet'!$L$1500),'Raw sheet'!L1359)</f>
        <v>4.8</v>
      </c>
      <c r="O1359" s="5" t="str">
        <f>IF(Table1[[#This Row],[Stress_Index]]&gt;=8,"High",IF(N1359&gt;=5,"Medium","Low"))</f>
        <v>Low</v>
      </c>
      <c r="P1359" s="3">
        <v>2.35</v>
      </c>
      <c r="Q1359" s="2">
        <v>2.69</v>
      </c>
      <c r="R1359" s="3">
        <v>2.66</v>
      </c>
      <c r="S1359" s="3" t="str">
        <f>IF(Table1[[#This Row],[CGPA]]&gt;=3,"High",IF(R1358&gt;=2,"Medium","Low"))</f>
        <v>Medium</v>
      </c>
      <c r="T1359" s="2" t="s">
        <v>10</v>
      </c>
      <c r="U1359" s="2" t="s">
        <v>14</v>
      </c>
      <c r="V1359" s="2" t="s">
        <v>15</v>
      </c>
      <c r="W1359" s="7">
        <v>0</v>
      </c>
      <c r="X1359" t="str">
        <f t="shared" si="43"/>
        <v>Active</v>
      </c>
    </row>
    <row r="1360" spans="1:24" x14ac:dyDescent="0.3">
      <c r="A1360" s="2">
        <v>1359</v>
      </c>
      <c r="B1360" s="7">
        <v>17.7</v>
      </c>
      <c r="C1360" s="2" t="s">
        <v>11</v>
      </c>
      <c r="D1360" s="7">
        <f>IF(ISBLANK('Raw sheet'!D1360),AVERAGE('Raw sheet'!$D$2:'Raw sheet'!$D$1500),'Raw sheet'!D1360)</f>
        <v>25000</v>
      </c>
      <c r="E1360" s="7" t="str">
        <f>IF(Table1[[#This Row],[Family_Income]]&gt;=100000,"Upper",IF(D1360&gt;=50000,"Middle","Lower"))</f>
        <v>Lower</v>
      </c>
      <c r="F1360" s="2" t="s">
        <v>4</v>
      </c>
      <c r="G1360" s="3">
        <f>IF(ISBLANK('Raw sheet'!F1360),AVERAGE('Raw sheet'!$F$2:'Raw sheet'!$F$1500),'Raw sheet'!F1360)</f>
        <v>4.6900000000000004</v>
      </c>
      <c r="H1360" s="18">
        <v>84.4</v>
      </c>
      <c r="I1360" s="9" t="str">
        <f t="shared" si="42"/>
        <v>Good</v>
      </c>
      <c r="J1360" s="2">
        <v>3</v>
      </c>
      <c r="K1360" s="2">
        <v>48.4</v>
      </c>
      <c r="L1360" s="2" t="s">
        <v>3</v>
      </c>
      <c r="M1360" s="2" t="s">
        <v>3</v>
      </c>
      <c r="N1360" s="5">
        <f>IF(ISBLANK('Raw sheet'!L1360),AVERAGE('Raw sheet'!$L$2:'Raw sheet'!$L$1500),'Raw sheet'!L1360)</f>
        <v>3.8</v>
      </c>
      <c r="O1360" s="5" t="str">
        <f>IF(Table1[[#This Row],[Stress_Index]]&gt;=8,"High",IF(N1360&gt;=5,"Medium","Low"))</f>
        <v>Low</v>
      </c>
      <c r="P1360" s="3">
        <v>3.77</v>
      </c>
      <c r="Q1360" s="2">
        <v>3.71</v>
      </c>
      <c r="R1360" s="3">
        <v>3.66</v>
      </c>
      <c r="S1360" s="3" t="str">
        <f>IF(Table1[[#This Row],[CGPA]]&gt;=3,"High",IF(R1359&gt;=2,"Medium","Low"))</f>
        <v>High</v>
      </c>
      <c r="T1360" s="2" t="s">
        <v>12</v>
      </c>
      <c r="U1360" s="2" t="s">
        <v>6</v>
      </c>
      <c r="V1360" s="2" t="s">
        <v>15</v>
      </c>
      <c r="W1360" s="7">
        <v>0</v>
      </c>
      <c r="X1360" t="str">
        <f t="shared" si="43"/>
        <v>Active</v>
      </c>
    </row>
    <row r="1361" spans="1:24" x14ac:dyDescent="0.3">
      <c r="A1361" s="2">
        <v>1360</v>
      </c>
      <c r="B1361" s="7">
        <v>21.4</v>
      </c>
      <c r="C1361" s="2" t="s">
        <v>5</v>
      </c>
      <c r="D1361" s="7">
        <f>IF(ISBLANK('Raw sheet'!D1361),AVERAGE('Raw sheet'!$D$2:'Raw sheet'!$D$1500),'Raw sheet'!D1361)</f>
        <v>25000</v>
      </c>
      <c r="E1361" s="7" t="str">
        <f>IF(Table1[[#This Row],[Family_Income]]&gt;=100000,"Upper",IF(D1361&gt;=50000,"Middle","Lower"))</f>
        <v>Lower</v>
      </c>
      <c r="F1361" s="2" t="s">
        <v>4</v>
      </c>
      <c r="G1361" s="3">
        <f>IF(ISBLANK('Raw sheet'!F1361),AVERAGE('Raw sheet'!$F$2:'Raw sheet'!$F$1500),'Raw sheet'!F1361)</f>
        <v>4.2</v>
      </c>
      <c r="H1361" s="18">
        <v>69.099999999999994</v>
      </c>
      <c r="I1361" s="9" t="str">
        <f t="shared" si="42"/>
        <v>Low</v>
      </c>
      <c r="J1361" s="2">
        <v>1</v>
      </c>
      <c r="K1361" s="2">
        <v>44</v>
      </c>
      <c r="L1361" s="2" t="s">
        <v>3</v>
      </c>
      <c r="M1361" s="2" t="s">
        <v>4</v>
      </c>
      <c r="N1361" s="5">
        <f>IF(ISBLANK('Raw sheet'!L1361),AVERAGE('Raw sheet'!$L$2:'Raw sheet'!$L$1500),'Raw sheet'!L1361)</f>
        <v>3.7</v>
      </c>
      <c r="O1361" s="5" t="str">
        <f>IF(Table1[[#This Row],[Stress_Index]]&gt;=8,"High",IF(N1361&gt;=5,"Medium","Low"))</f>
        <v>Low</v>
      </c>
      <c r="P1361" s="3">
        <v>2.4</v>
      </c>
      <c r="Q1361" s="2">
        <v>2.98</v>
      </c>
      <c r="R1361" s="3">
        <v>2.9</v>
      </c>
      <c r="S1361" s="3" t="str">
        <f>IF(Table1[[#This Row],[CGPA]]&gt;=3,"High",IF(R1360&gt;=2,"Medium","Low"))</f>
        <v>Medium</v>
      </c>
      <c r="T1361" s="2" t="s">
        <v>7</v>
      </c>
      <c r="U1361" s="2" t="s">
        <v>14</v>
      </c>
      <c r="V1361" s="2" t="s">
        <v>0</v>
      </c>
      <c r="W1361" s="7">
        <v>0</v>
      </c>
      <c r="X1361" t="str">
        <f t="shared" si="43"/>
        <v>Active</v>
      </c>
    </row>
    <row r="1362" spans="1:24" x14ac:dyDescent="0.3">
      <c r="A1362" s="2">
        <v>1361</v>
      </c>
      <c r="B1362" s="7">
        <v>21</v>
      </c>
      <c r="C1362" s="2" t="s">
        <v>5</v>
      </c>
      <c r="D1362" s="7">
        <f>IF(ISBLANK('Raw sheet'!D1362),AVERAGE('Raw sheet'!$D$2:'Raw sheet'!$D$1500),'Raw sheet'!D1362)</f>
        <v>43883</v>
      </c>
      <c r="E1362" s="7" t="str">
        <f>IF(Table1[[#This Row],[Family_Income]]&gt;=100000,"Upper",IF(D1362&gt;=50000,"Middle","Lower"))</f>
        <v>Lower</v>
      </c>
      <c r="F1362" s="2" t="s">
        <v>4</v>
      </c>
      <c r="G1362" s="3">
        <f>IF(ISBLANK('Raw sheet'!F1362),AVERAGE('Raw sheet'!$F$2:'Raw sheet'!$F$1500),'Raw sheet'!F1362)</f>
        <v>5.46</v>
      </c>
      <c r="H1362" s="18">
        <v>90.4</v>
      </c>
      <c r="I1362" s="9" t="str">
        <f t="shared" si="42"/>
        <v>Good</v>
      </c>
      <c r="J1362" s="2">
        <v>5</v>
      </c>
      <c r="K1362" s="2">
        <v>34.5</v>
      </c>
      <c r="L1362" s="2" t="s">
        <v>3</v>
      </c>
      <c r="M1362" s="2" t="s">
        <v>3</v>
      </c>
      <c r="N1362" s="5">
        <f>IF(ISBLANK('Raw sheet'!L1362),AVERAGE('Raw sheet'!$L$2:'Raw sheet'!$L$1500),'Raw sheet'!L1362)</f>
        <v>5.2</v>
      </c>
      <c r="O1362" s="5" t="str">
        <f>IF(Table1[[#This Row],[Stress_Index]]&gt;=8,"High",IF(N1362&gt;=5,"Medium","Low"))</f>
        <v>Medium</v>
      </c>
      <c r="P1362" s="3">
        <v>2.61</v>
      </c>
      <c r="Q1362" s="2">
        <v>2.21</v>
      </c>
      <c r="R1362" s="3">
        <v>2.15</v>
      </c>
      <c r="S1362" s="3" t="str">
        <f>IF(Table1[[#This Row],[CGPA]]&gt;=3,"High",IF(R1361&gt;=2,"Medium","Low"))</f>
        <v>Medium</v>
      </c>
      <c r="T1362" s="2" t="s">
        <v>10</v>
      </c>
      <c r="U1362" s="2" t="s">
        <v>8</v>
      </c>
      <c r="V1362" s="2" t="s">
        <v>0</v>
      </c>
      <c r="W1362" s="7">
        <v>0</v>
      </c>
      <c r="X1362" t="str">
        <f t="shared" si="43"/>
        <v>Active</v>
      </c>
    </row>
    <row r="1363" spans="1:24" x14ac:dyDescent="0.3">
      <c r="A1363" s="2">
        <v>1362</v>
      </c>
      <c r="B1363" s="7">
        <v>22.3</v>
      </c>
      <c r="C1363" s="2" t="s">
        <v>5</v>
      </c>
      <c r="D1363" s="7">
        <f>IF(ISBLANK('Raw sheet'!D1363),AVERAGE('Raw sheet'!$D$2:'Raw sheet'!$D$1500),'Raw sheet'!D1363)</f>
        <v>61229</v>
      </c>
      <c r="E1363" s="7" t="str">
        <f>IF(Table1[[#This Row],[Family_Income]]&gt;=100000,"Upper",IF(D1363&gt;=50000,"Middle","Lower"))</f>
        <v>Middle</v>
      </c>
      <c r="F1363" s="2" t="s">
        <v>4</v>
      </c>
      <c r="G1363" s="3">
        <f>IF(ISBLANK('Raw sheet'!F1363),AVERAGE('Raw sheet'!$F$2:'Raw sheet'!$F$1500),'Raw sheet'!F1363)</f>
        <v>2.76</v>
      </c>
      <c r="H1363" s="18">
        <v>82.4</v>
      </c>
      <c r="I1363" s="9" t="str">
        <f t="shared" si="42"/>
        <v>Good</v>
      </c>
      <c r="J1363" s="2">
        <v>0</v>
      </c>
      <c r="K1363" s="2">
        <v>25</v>
      </c>
      <c r="L1363" s="2" t="s">
        <v>3</v>
      </c>
      <c r="M1363" s="2" t="s">
        <v>3</v>
      </c>
      <c r="N1363" s="5">
        <f>IF(ISBLANK('Raw sheet'!L1363),AVERAGE('Raw sheet'!$L$2:'Raw sheet'!$L$1500),'Raw sheet'!L1363)</f>
        <v>6.1</v>
      </c>
      <c r="O1363" s="5" t="str">
        <f>IF(Table1[[#This Row],[Stress_Index]]&gt;=8,"High",IF(N1363&gt;=5,"Medium","Low"))</f>
        <v>Medium</v>
      </c>
      <c r="P1363" s="3">
        <v>3.46</v>
      </c>
      <c r="Q1363" s="2">
        <v>3.6</v>
      </c>
      <c r="R1363" s="3">
        <v>3.53</v>
      </c>
      <c r="S1363" s="3" t="str">
        <f>IF(Table1[[#This Row],[CGPA]]&gt;=3,"High",IF(R1362&gt;=2,"Medium","Low"))</f>
        <v>High</v>
      </c>
      <c r="T1363" s="2" t="s">
        <v>7</v>
      </c>
      <c r="U1363" s="2" t="s">
        <v>1</v>
      </c>
      <c r="V1363" s="2" t="s">
        <v>9</v>
      </c>
      <c r="W1363" s="7">
        <v>0</v>
      </c>
      <c r="X1363" t="str">
        <f t="shared" si="43"/>
        <v>Active</v>
      </c>
    </row>
    <row r="1364" spans="1:24" x14ac:dyDescent="0.3">
      <c r="A1364" s="2">
        <v>1363</v>
      </c>
      <c r="B1364" s="7">
        <v>21.3</v>
      </c>
      <c r="C1364" s="2" t="s">
        <v>5</v>
      </c>
      <c r="D1364" s="7">
        <f>IF(ISBLANK('Raw sheet'!D1364),AVERAGE('Raw sheet'!$D$2:'Raw sheet'!$D$1500),'Raw sheet'!D1364)</f>
        <v>76993</v>
      </c>
      <c r="E1364" s="7" t="str">
        <f>IF(Table1[[#This Row],[Family_Income]]&gt;=100000,"Upper",IF(D1364&gt;=50000,"Middle","Lower"))</f>
        <v>Middle</v>
      </c>
      <c r="F1364" s="2" t="s">
        <v>4</v>
      </c>
      <c r="G1364" s="3">
        <f>IF(ISBLANK('Raw sheet'!F1364),AVERAGE('Raw sheet'!$F$2:'Raw sheet'!$F$1500),'Raw sheet'!F1364)</f>
        <v>5.35</v>
      </c>
      <c r="H1364" s="18">
        <v>83.6</v>
      </c>
      <c r="I1364" s="9" t="str">
        <f t="shared" si="42"/>
        <v>Good</v>
      </c>
      <c r="J1364" s="2">
        <v>0</v>
      </c>
      <c r="K1364" s="2">
        <v>30.1</v>
      </c>
      <c r="L1364" s="2" t="s">
        <v>3</v>
      </c>
      <c r="M1364" s="2" t="s">
        <v>3</v>
      </c>
      <c r="N1364" s="5">
        <f>IF(ISBLANK('Raw sheet'!L1364),AVERAGE('Raw sheet'!$L$2:'Raw sheet'!$L$1500),'Raw sheet'!L1364)</f>
        <v>2.9</v>
      </c>
      <c r="O1364" s="5" t="str">
        <f>IF(Table1[[#This Row],[Stress_Index]]&gt;=8,"High",IF(N1364&gt;=5,"Medium","Low"))</f>
        <v>Low</v>
      </c>
      <c r="P1364" s="3">
        <v>3.93</v>
      </c>
      <c r="Q1364" s="2">
        <v>3.98</v>
      </c>
      <c r="R1364" s="3">
        <v>3.98</v>
      </c>
      <c r="S1364" s="3" t="str">
        <f>IF(Table1[[#This Row],[CGPA]]&gt;=3,"High",IF(R1363&gt;=2,"Medium","Low"))</f>
        <v>High</v>
      </c>
      <c r="T1364" s="2" t="s">
        <v>2</v>
      </c>
      <c r="U1364" s="2" t="s">
        <v>8</v>
      </c>
      <c r="V1364" s="2" t="s">
        <v>9</v>
      </c>
      <c r="W1364" s="7">
        <v>0</v>
      </c>
      <c r="X1364" t="str">
        <f t="shared" si="43"/>
        <v>Active</v>
      </c>
    </row>
    <row r="1365" spans="1:24" x14ac:dyDescent="0.3">
      <c r="A1365" s="2">
        <v>1364</v>
      </c>
      <c r="B1365" s="7">
        <v>18.899999999999999</v>
      </c>
      <c r="C1365" s="2" t="s">
        <v>11</v>
      </c>
      <c r="D1365" s="7">
        <f>IF(ISBLANK('Raw sheet'!D1365),AVERAGE('Raw sheet'!$D$2:'Raw sheet'!$D$1500),'Raw sheet'!D1365)</f>
        <v>56021</v>
      </c>
      <c r="E1365" s="7" t="str">
        <f>IF(Table1[[#This Row],[Family_Income]]&gt;=100000,"Upper",IF(D1365&gt;=50000,"Middle","Lower"))</f>
        <v>Middle</v>
      </c>
      <c r="F1365" s="2" t="s">
        <v>4</v>
      </c>
      <c r="G1365" s="3">
        <f>IF(ISBLANK('Raw sheet'!F1365),AVERAGE('Raw sheet'!$F$2:'Raw sheet'!$F$1500),'Raw sheet'!F1365)</f>
        <v>2.19</v>
      </c>
      <c r="H1365" s="18">
        <v>74.8</v>
      </c>
      <c r="I1365" s="9" t="str">
        <f t="shared" si="42"/>
        <v>Low</v>
      </c>
      <c r="J1365" s="2">
        <v>2</v>
      </c>
      <c r="K1365" s="2">
        <v>5</v>
      </c>
      <c r="L1365" s="2" t="s">
        <v>4</v>
      </c>
      <c r="M1365" s="2" t="s">
        <v>3</v>
      </c>
      <c r="N1365" s="5">
        <f>IF(ISBLANK('Raw sheet'!L1365),AVERAGE('Raw sheet'!$L$2:'Raw sheet'!$L$1500),'Raw sheet'!L1365)</f>
        <v>9.1999999999999993</v>
      </c>
      <c r="O1365" s="5" t="str">
        <f>IF(Table1[[#This Row],[Stress_Index]]&gt;=8,"High",IF(N1365&gt;=5,"Medium","Low"))</f>
        <v>High</v>
      </c>
      <c r="P1365" s="3">
        <v>2.99</v>
      </c>
      <c r="Q1365" s="2">
        <v>3.04</v>
      </c>
      <c r="R1365" s="3">
        <v>3.02</v>
      </c>
      <c r="S1365" s="3" t="str">
        <f>IF(Table1[[#This Row],[CGPA]]&gt;=3,"High",IF(R1364&gt;=2,"Medium","Low"))</f>
        <v>High</v>
      </c>
      <c r="T1365" s="2" t="s">
        <v>10</v>
      </c>
      <c r="U1365" s="2" t="s">
        <v>6</v>
      </c>
      <c r="V1365" s="2" t="s">
        <v>9</v>
      </c>
      <c r="W1365" s="7">
        <v>0</v>
      </c>
      <c r="X1365" t="str">
        <f t="shared" si="43"/>
        <v>Active</v>
      </c>
    </row>
    <row r="1366" spans="1:24" x14ac:dyDescent="0.3">
      <c r="A1366" s="2">
        <v>1365</v>
      </c>
      <c r="B1366" s="7">
        <v>23.6</v>
      </c>
      <c r="C1366" s="2" t="s">
        <v>11</v>
      </c>
      <c r="D1366" s="7">
        <f>IF(ISBLANK('Raw sheet'!D1366),AVERAGE('Raw sheet'!$D$2:'Raw sheet'!$D$1500),'Raw sheet'!D1366)</f>
        <v>25000</v>
      </c>
      <c r="E1366" s="7" t="str">
        <f>IF(Table1[[#This Row],[Family_Income]]&gt;=100000,"Upper",IF(D1366&gt;=50000,"Middle","Lower"))</f>
        <v>Lower</v>
      </c>
      <c r="F1366" s="2" t="s">
        <v>4</v>
      </c>
      <c r="G1366" s="3">
        <f>IF(ISBLANK('Raw sheet'!F1366),AVERAGE('Raw sheet'!$F$2:'Raw sheet'!$F$1500),'Raw sheet'!F1366)</f>
        <v>3.77</v>
      </c>
      <c r="H1366" s="18">
        <v>90.7</v>
      </c>
      <c r="I1366" s="9" t="str">
        <f t="shared" si="42"/>
        <v>Good</v>
      </c>
      <c r="J1366" s="2">
        <v>4</v>
      </c>
      <c r="K1366" s="2">
        <v>16.7</v>
      </c>
      <c r="L1366" s="2" t="s">
        <v>3</v>
      </c>
      <c r="M1366" s="2" t="s">
        <v>3</v>
      </c>
      <c r="N1366" s="5">
        <f>IF(ISBLANK('Raw sheet'!L1366),AVERAGE('Raw sheet'!$L$2:'Raw sheet'!$L$1500),'Raw sheet'!L1366)</f>
        <v>4.2</v>
      </c>
      <c r="O1366" s="5" t="str">
        <f>IF(Table1[[#This Row],[Stress_Index]]&gt;=8,"High",IF(N1366&gt;=5,"Medium","Low"))</f>
        <v>Low</v>
      </c>
      <c r="P1366" s="3">
        <v>4</v>
      </c>
      <c r="Q1366" s="2">
        <v>3.77</v>
      </c>
      <c r="R1366" s="3">
        <v>3.77</v>
      </c>
      <c r="S1366" s="3" t="str">
        <f>IF(Table1[[#This Row],[CGPA]]&gt;=3,"High",IF(R1365&gt;=2,"Medium","Low"))</f>
        <v>High</v>
      </c>
      <c r="T1366" s="2" t="s">
        <v>7</v>
      </c>
      <c r="U1366" s="2" t="s">
        <v>8</v>
      </c>
      <c r="V1366" s="2" t="s">
        <v>0</v>
      </c>
      <c r="W1366" s="7">
        <v>0</v>
      </c>
      <c r="X1366" t="str">
        <f t="shared" si="43"/>
        <v>Active</v>
      </c>
    </row>
    <row r="1367" spans="1:24" x14ac:dyDescent="0.3">
      <c r="A1367" s="2">
        <v>1366</v>
      </c>
      <c r="B1367" s="7">
        <v>20.7</v>
      </c>
      <c r="C1367" s="2" t="s">
        <v>5</v>
      </c>
      <c r="D1367" s="7">
        <f>IF(ISBLANK('Raw sheet'!D1367),AVERAGE('Raw sheet'!$D$2:'Raw sheet'!$D$1500),'Raw sheet'!D1367)</f>
        <v>25000</v>
      </c>
      <c r="E1367" s="7" t="str">
        <f>IF(Table1[[#This Row],[Family_Income]]&gt;=100000,"Upper",IF(D1367&gt;=50000,"Middle","Lower"))</f>
        <v>Lower</v>
      </c>
      <c r="F1367" s="2" t="s">
        <v>4</v>
      </c>
      <c r="G1367" s="3">
        <f>IF(ISBLANK('Raw sheet'!F1367),AVERAGE('Raw sheet'!$F$2:'Raw sheet'!$F$1500),'Raw sheet'!F1367)</f>
        <v>4.76</v>
      </c>
      <c r="H1367" s="18">
        <v>87.1</v>
      </c>
      <c r="I1367" s="9" t="str">
        <f t="shared" si="42"/>
        <v>Good</v>
      </c>
      <c r="J1367" s="2">
        <v>2</v>
      </c>
      <c r="K1367" s="2">
        <v>51.2</v>
      </c>
      <c r="L1367" s="2" t="s">
        <v>3</v>
      </c>
      <c r="M1367" s="2" t="s">
        <v>3</v>
      </c>
      <c r="N1367" s="5">
        <f>IF(ISBLANK('Raw sheet'!L1367),AVERAGE('Raw sheet'!$L$2:'Raw sheet'!$L$1500),'Raw sheet'!L1367)</f>
        <v>4</v>
      </c>
      <c r="O1367" s="5" t="str">
        <f>IF(Table1[[#This Row],[Stress_Index]]&gt;=8,"High",IF(N1367&gt;=5,"Medium","Low"))</f>
        <v>Low</v>
      </c>
      <c r="P1367" s="3">
        <v>3.52</v>
      </c>
      <c r="Q1367" s="2">
        <v>3.94</v>
      </c>
      <c r="R1367" s="3">
        <v>3.93</v>
      </c>
      <c r="S1367" s="3" t="str">
        <f>IF(Table1[[#This Row],[CGPA]]&gt;=3,"High",IF(R1366&gt;=2,"Medium","Low"))</f>
        <v>High</v>
      </c>
      <c r="T1367" s="2" t="s">
        <v>7</v>
      </c>
      <c r="U1367" s="2" t="s">
        <v>6</v>
      </c>
      <c r="V1367" s="2" t="s">
        <v>9</v>
      </c>
      <c r="W1367" s="7">
        <v>0</v>
      </c>
      <c r="X1367" t="str">
        <f t="shared" si="43"/>
        <v>Active</v>
      </c>
    </row>
    <row r="1368" spans="1:24" x14ac:dyDescent="0.3">
      <c r="A1368" s="2">
        <v>1367</v>
      </c>
      <c r="B1368" s="7">
        <v>20.9</v>
      </c>
      <c r="C1368" s="2" t="s">
        <v>11</v>
      </c>
      <c r="D1368" s="7">
        <f>IF(ISBLANK('Raw sheet'!D1368),AVERAGE('Raw sheet'!$D$2:'Raw sheet'!$D$1500),'Raw sheet'!D1368)</f>
        <v>69081</v>
      </c>
      <c r="E1368" s="7" t="str">
        <f>IF(Table1[[#This Row],[Family_Income]]&gt;=100000,"Upper",IF(D1368&gt;=50000,"Middle","Lower"))</f>
        <v>Middle</v>
      </c>
      <c r="F1368" s="2" t="s">
        <v>4</v>
      </c>
      <c r="G1368" s="3">
        <f>IF(ISBLANK('Raw sheet'!F1368),AVERAGE('Raw sheet'!$F$2:'Raw sheet'!$F$1500),'Raw sheet'!F1368)</f>
        <v>3.85</v>
      </c>
      <c r="H1368" s="18">
        <v>77.599999999999994</v>
      </c>
      <c r="I1368" s="9" t="str">
        <f t="shared" si="42"/>
        <v>Good</v>
      </c>
      <c r="J1368" s="2">
        <v>3</v>
      </c>
      <c r="K1368" s="2">
        <v>36.200000000000003</v>
      </c>
      <c r="L1368" s="2" t="s">
        <v>4</v>
      </c>
      <c r="M1368" s="2" t="s">
        <v>4</v>
      </c>
      <c r="N1368" s="5">
        <f>IF(ISBLANK('Raw sheet'!L1368),AVERAGE('Raw sheet'!$L$2:'Raw sheet'!$L$1500),'Raw sheet'!L1368)</f>
        <v>5.4</v>
      </c>
      <c r="O1368" s="5" t="str">
        <f>IF(Table1[[#This Row],[Stress_Index]]&gt;=8,"High",IF(N1368&gt;=5,"Medium","Low"))</f>
        <v>Medium</v>
      </c>
      <c r="P1368" s="3">
        <v>0.03</v>
      </c>
      <c r="Q1368" s="2">
        <v>0.05</v>
      </c>
      <c r="R1368" s="3">
        <v>0.05</v>
      </c>
      <c r="S1368" s="3" t="str">
        <f>IF(Table1[[#This Row],[CGPA]]&gt;=3,"High",IF(R1367&gt;=2,"Medium","Low"))</f>
        <v>Medium</v>
      </c>
      <c r="T1368" s="2" t="s">
        <v>2</v>
      </c>
      <c r="U1368" s="2" t="s">
        <v>1</v>
      </c>
      <c r="V1368" s="2" t="s">
        <v>9</v>
      </c>
      <c r="W1368" s="7">
        <v>1</v>
      </c>
      <c r="X1368" t="str">
        <f t="shared" si="43"/>
        <v>Dropped Out</v>
      </c>
    </row>
    <row r="1369" spans="1:24" x14ac:dyDescent="0.3">
      <c r="A1369" s="2">
        <v>1368</v>
      </c>
      <c r="B1369" s="7">
        <v>18.899999999999999</v>
      </c>
      <c r="C1369" s="2" t="s">
        <v>11</v>
      </c>
      <c r="D1369" s="7">
        <f>IF(ISBLANK('Raw sheet'!D1369),AVERAGE('Raw sheet'!$D$2:'Raw sheet'!$D$1500),'Raw sheet'!D1369)</f>
        <v>67671</v>
      </c>
      <c r="E1369" s="7" t="str">
        <f>IF(Table1[[#This Row],[Family_Income]]&gt;=100000,"Upper",IF(D1369&gt;=50000,"Middle","Lower"))</f>
        <v>Middle</v>
      </c>
      <c r="F1369" s="2" t="s">
        <v>4</v>
      </c>
      <c r="G1369" s="3">
        <f>IF(ISBLANK('Raw sheet'!F1369),AVERAGE('Raw sheet'!$F$2:'Raw sheet'!$F$1500),'Raw sheet'!F1369)</f>
        <v>4.57</v>
      </c>
      <c r="H1369" s="18">
        <v>81.900000000000006</v>
      </c>
      <c r="I1369" s="9" t="str">
        <f t="shared" si="42"/>
        <v>Good</v>
      </c>
      <c r="J1369" s="2">
        <v>1</v>
      </c>
      <c r="K1369" s="2">
        <v>6.6</v>
      </c>
      <c r="L1369" s="2" t="s">
        <v>4</v>
      </c>
      <c r="M1369" s="2" t="s">
        <v>3</v>
      </c>
      <c r="N1369" s="5">
        <f>IF(ISBLANK('Raw sheet'!L1369),AVERAGE('Raw sheet'!$L$2:'Raw sheet'!$L$1500),'Raw sheet'!L1369)</f>
        <v>1.2</v>
      </c>
      <c r="O1369" s="5" t="str">
        <f>IF(Table1[[#This Row],[Stress_Index]]&gt;=8,"High",IF(N1369&gt;=5,"Medium","Low"))</f>
        <v>Low</v>
      </c>
      <c r="P1369" s="3">
        <v>4</v>
      </c>
      <c r="Q1369" s="2">
        <v>4</v>
      </c>
      <c r="R1369" s="3">
        <v>4</v>
      </c>
      <c r="S1369" s="3" t="str">
        <f>IF(Table1[[#This Row],[CGPA]]&gt;=3,"High",IF(R1368&gt;=2,"Medium","Low"))</f>
        <v>High</v>
      </c>
      <c r="T1369" s="2" t="s">
        <v>12</v>
      </c>
      <c r="U1369" s="2" t="s">
        <v>8</v>
      </c>
      <c r="V1369" s="2" t="s">
        <v>9</v>
      </c>
      <c r="W1369" s="7">
        <v>0</v>
      </c>
      <c r="X1369" t="str">
        <f t="shared" si="43"/>
        <v>Active</v>
      </c>
    </row>
    <row r="1370" spans="1:24" x14ac:dyDescent="0.3">
      <c r="A1370" s="2">
        <v>1369</v>
      </c>
      <c r="B1370" s="7">
        <v>20</v>
      </c>
      <c r="C1370" s="2" t="s">
        <v>5</v>
      </c>
      <c r="D1370" s="7">
        <f>IF(ISBLANK('Raw sheet'!D1370),AVERAGE('Raw sheet'!$D$2:'Raw sheet'!$D$1500),'Raw sheet'!D1370)</f>
        <v>25000</v>
      </c>
      <c r="E1370" s="7" t="str">
        <f>IF(Table1[[#This Row],[Family_Income]]&gt;=100000,"Upper",IF(D1370&gt;=50000,"Middle","Lower"))</f>
        <v>Lower</v>
      </c>
      <c r="F1370" s="2" t="s">
        <v>4</v>
      </c>
      <c r="G1370" s="3">
        <f>IF(ISBLANK('Raw sheet'!F1370),AVERAGE('Raw sheet'!$F$2:'Raw sheet'!$F$1500),'Raw sheet'!F1370)</f>
        <v>5.8</v>
      </c>
      <c r="H1370" s="18">
        <v>74.900000000000006</v>
      </c>
      <c r="I1370" s="9" t="str">
        <f t="shared" si="42"/>
        <v>Low</v>
      </c>
      <c r="J1370" s="2">
        <v>0</v>
      </c>
      <c r="K1370" s="2">
        <v>20.100000000000001</v>
      </c>
      <c r="L1370" s="2" t="s">
        <v>4</v>
      </c>
      <c r="M1370" s="2" t="s">
        <v>3</v>
      </c>
      <c r="N1370" s="5">
        <f>IF(ISBLANK('Raw sheet'!L1370),AVERAGE('Raw sheet'!$L$2:'Raw sheet'!$L$1500),'Raw sheet'!L1370)</f>
        <v>6.2</v>
      </c>
      <c r="O1370" s="5" t="str">
        <f>IF(Table1[[#This Row],[Stress_Index]]&gt;=8,"High",IF(N1370&gt;=5,"Medium","Low"))</f>
        <v>Medium</v>
      </c>
      <c r="P1370" s="3">
        <v>0.72</v>
      </c>
      <c r="Q1370" s="2">
        <v>1.2</v>
      </c>
      <c r="R1370" s="3">
        <v>1.24</v>
      </c>
      <c r="S1370" s="3" t="str">
        <f>IF(Table1[[#This Row],[CGPA]]&gt;=3,"High",IF(R1369&gt;=2,"Medium","Low"))</f>
        <v>Medium</v>
      </c>
      <c r="T1370" s="2" t="s">
        <v>7</v>
      </c>
      <c r="U1370" s="2" t="s">
        <v>6</v>
      </c>
      <c r="V1370" s="2" t="s">
        <v>0</v>
      </c>
      <c r="W1370" s="7">
        <v>0</v>
      </c>
      <c r="X1370" t="str">
        <f t="shared" si="43"/>
        <v>Active</v>
      </c>
    </row>
    <row r="1371" spans="1:24" x14ac:dyDescent="0.3">
      <c r="A1371" s="2">
        <v>1370</v>
      </c>
      <c r="B1371" s="7">
        <v>19.100000000000001</v>
      </c>
      <c r="C1371" s="2" t="s">
        <v>5</v>
      </c>
      <c r="D1371" s="7">
        <f>IF(ISBLANK('Raw sheet'!D1371),AVERAGE('Raw sheet'!$D$2:'Raw sheet'!$D$1500),'Raw sheet'!D1371)</f>
        <v>51674</v>
      </c>
      <c r="E1371" s="7" t="str">
        <f>IF(Table1[[#This Row],[Family_Income]]&gt;=100000,"Upper",IF(D1371&gt;=50000,"Middle","Lower"))</f>
        <v>Middle</v>
      </c>
      <c r="F1371" s="2" t="s">
        <v>3</v>
      </c>
      <c r="G1371" s="3">
        <f>IF(ISBLANK('Raw sheet'!F1371),AVERAGE('Raw sheet'!$F$2:'Raw sheet'!$F$1500),'Raw sheet'!F1371)</f>
        <v>3.26</v>
      </c>
      <c r="H1371" s="18">
        <v>74.2</v>
      </c>
      <c r="I1371" s="9" t="str">
        <f t="shared" si="42"/>
        <v>Low</v>
      </c>
      <c r="J1371" s="2">
        <v>3</v>
      </c>
      <c r="K1371" s="2">
        <v>6.9</v>
      </c>
      <c r="L1371" s="2" t="s">
        <v>4</v>
      </c>
      <c r="M1371" s="2" t="s">
        <v>3</v>
      </c>
      <c r="N1371" s="5">
        <f>IF(ISBLANK('Raw sheet'!L1371),AVERAGE('Raw sheet'!$L$2:'Raw sheet'!$L$1500),'Raw sheet'!L1371)</f>
        <v>3.7</v>
      </c>
      <c r="O1371" s="5" t="str">
        <f>IF(Table1[[#This Row],[Stress_Index]]&gt;=8,"High",IF(N1371&gt;=5,"Medium","Low"))</f>
        <v>Low</v>
      </c>
      <c r="P1371" s="3">
        <v>2.88</v>
      </c>
      <c r="Q1371" s="2">
        <v>3.2</v>
      </c>
      <c r="R1371" s="3">
        <v>3.1</v>
      </c>
      <c r="S1371" s="3" t="str">
        <f>IF(Table1[[#This Row],[CGPA]]&gt;=3,"High",IF(R1370&gt;=2,"Medium","Low"))</f>
        <v>High</v>
      </c>
      <c r="T1371" s="2" t="s">
        <v>10</v>
      </c>
      <c r="U1371" s="2" t="s">
        <v>14</v>
      </c>
      <c r="V1371" s="2" t="s">
        <v>0</v>
      </c>
      <c r="W1371" s="7">
        <v>0</v>
      </c>
      <c r="X1371" t="str">
        <f t="shared" si="43"/>
        <v>Active</v>
      </c>
    </row>
    <row r="1372" spans="1:24" x14ac:dyDescent="0.3">
      <c r="A1372" s="2">
        <v>1371</v>
      </c>
      <c r="B1372" s="7">
        <v>20.6</v>
      </c>
      <c r="C1372" s="2" t="s">
        <v>11</v>
      </c>
      <c r="D1372" s="7">
        <f>IF(ISBLANK('Raw sheet'!D1372),AVERAGE('Raw sheet'!$D$2:'Raw sheet'!$D$1500),'Raw sheet'!D1372)</f>
        <v>25000</v>
      </c>
      <c r="E1372" s="7" t="str">
        <f>IF(Table1[[#This Row],[Family_Income]]&gt;=100000,"Upper",IF(D1372&gt;=50000,"Middle","Lower"))</f>
        <v>Lower</v>
      </c>
      <c r="F1372" s="2" t="s">
        <v>3</v>
      </c>
      <c r="G1372" s="3">
        <f>IF(ISBLANK('Raw sheet'!F1372),AVERAGE('Raw sheet'!$F$2:'Raw sheet'!$F$1500),'Raw sheet'!F1372)</f>
        <v>2.17</v>
      </c>
      <c r="H1372" s="18">
        <v>77.099999999999994</v>
      </c>
      <c r="I1372" s="9" t="str">
        <f t="shared" si="42"/>
        <v>Good</v>
      </c>
      <c r="J1372" s="2">
        <v>1</v>
      </c>
      <c r="K1372" s="2">
        <v>20.6</v>
      </c>
      <c r="L1372" s="2" t="s">
        <v>4</v>
      </c>
      <c r="M1372" s="2" t="s">
        <v>4</v>
      </c>
      <c r="N1372" s="5">
        <f>IF(ISBLANK('Raw sheet'!L1372),AVERAGE('Raw sheet'!$L$2:'Raw sheet'!$L$1500),'Raw sheet'!L1372)</f>
        <v>2</v>
      </c>
      <c r="O1372" s="5" t="str">
        <f>IF(Table1[[#This Row],[Stress_Index]]&gt;=8,"High",IF(N1372&gt;=5,"Medium","Low"))</f>
        <v>Low</v>
      </c>
      <c r="P1372" s="3">
        <v>0.87</v>
      </c>
      <c r="Q1372" s="2">
        <v>0.89</v>
      </c>
      <c r="R1372" s="3">
        <v>0.89</v>
      </c>
      <c r="S1372" s="3" t="str">
        <f>IF(Table1[[#This Row],[CGPA]]&gt;=3,"High",IF(R1371&gt;=2,"Medium","Low"))</f>
        <v>Medium</v>
      </c>
      <c r="T1372" s="2" t="s">
        <v>2</v>
      </c>
      <c r="U1372" s="2" t="s">
        <v>8</v>
      </c>
      <c r="V1372" s="2" t="s">
        <v>9</v>
      </c>
      <c r="W1372" s="7">
        <v>0</v>
      </c>
      <c r="X1372" t="str">
        <f t="shared" si="43"/>
        <v>Active</v>
      </c>
    </row>
    <row r="1373" spans="1:24" x14ac:dyDescent="0.3">
      <c r="A1373" s="2">
        <v>1372</v>
      </c>
      <c r="B1373" s="7">
        <v>24.8</v>
      </c>
      <c r="C1373" s="2" t="s">
        <v>5</v>
      </c>
      <c r="D1373" s="7">
        <f>IF(ISBLANK('Raw sheet'!D1373),AVERAGE('Raw sheet'!$D$2:'Raw sheet'!$D$1500),'Raw sheet'!D1373)</f>
        <v>73186</v>
      </c>
      <c r="E1373" s="7" t="str">
        <f>IF(Table1[[#This Row],[Family_Income]]&gt;=100000,"Upper",IF(D1373&gt;=50000,"Middle","Lower"))</f>
        <v>Middle</v>
      </c>
      <c r="F1373" s="2" t="s">
        <v>4</v>
      </c>
      <c r="G1373" s="3">
        <f>IF(ISBLANK('Raw sheet'!F1373),AVERAGE('Raw sheet'!$F$2:'Raw sheet'!$F$1500),'Raw sheet'!F1373)</f>
        <v>2.52</v>
      </c>
      <c r="H1373" s="18">
        <v>79.8</v>
      </c>
      <c r="I1373" s="9" t="str">
        <f t="shared" si="42"/>
        <v>Good</v>
      </c>
      <c r="J1373" s="2">
        <v>0</v>
      </c>
      <c r="K1373" s="2">
        <v>28</v>
      </c>
      <c r="L1373" s="2" t="s">
        <v>4</v>
      </c>
      <c r="M1373" s="2" t="s">
        <v>3</v>
      </c>
      <c r="N1373" s="5">
        <f>IF(ISBLANK('Raw sheet'!L1373),AVERAGE('Raw sheet'!$L$2:'Raw sheet'!$L$1500),'Raw sheet'!L1373)</f>
        <v>5.8</v>
      </c>
      <c r="O1373" s="5" t="str">
        <f>IF(Table1[[#This Row],[Stress_Index]]&gt;=8,"High",IF(N1373&gt;=5,"Medium","Low"))</f>
        <v>Medium</v>
      </c>
      <c r="P1373" s="3">
        <v>0.75</v>
      </c>
      <c r="Q1373" s="2">
        <v>0.78</v>
      </c>
      <c r="R1373" s="3">
        <v>0.78</v>
      </c>
      <c r="S1373" s="3" t="str">
        <f>IF(Table1[[#This Row],[CGPA]]&gt;=3,"High",IF(R1372&gt;=2,"Medium","Low"))</f>
        <v>Low</v>
      </c>
      <c r="T1373" s="2" t="s">
        <v>2</v>
      </c>
      <c r="U1373" s="2" t="s">
        <v>1</v>
      </c>
      <c r="V1373" s="2" t="s">
        <v>9</v>
      </c>
      <c r="W1373" s="7">
        <v>0</v>
      </c>
      <c r="X1373" t="str">
        <f t="shared" si="43"/>
        <v>Active</v>
      </c>
    </row>
    <row r="1374" spans="1:24" x14ac:dyDescent="0.3">
      <c r="A1374" s="2">
        <v>1373</v>
      </c>
      <c r="B1374" s="7">
        <v>18</v>
      </c>
      <c r="C1374" s="2" t="s">
        <v>5</v>
      </c>
      <c r="D1374" s="7">
        <f>IF(ISBLANK('Raw sheet'!D1374),AVERAGE('Raw sheet'!$D$2:'Raw sheet'!$D$1500),'Raw sheet'!D1374)</f>
        <v>25000</v>
      </c>
      <c r="E1374" s="7" t="str">
        <f>IF(Table1[[#This Row],[Family_Income]]&gt;=100000,"Upper",IF(D1374&gt;=50000,"Middle","Lower"))</f>
        <v>Lower</v>
      </c>
      <c r="F1374" s="2" t="s">
        <v>4</v>
      </c>
      <c r="G1374" s="3">
        <f>IF(ISBLANK('Raw sheet'!F1374),AVERAGE('Raw sheet'!$F$2:'Raw sheet'!$F$1500),'Raw sheet'!F1374)</f>
        <v>3.88</v>
      </c>
      <c r="H1374" s="18">
        <v>82</v>
      </c>
      <c r="I1374" s="9" t="str">
        <f t="shared" si="42"/>
        <v>Good</v>
      </c>
      <c r="J1374" s="2">
        <v>4</v>
      </c>
      <c r="K1374" s="2">
        <v>49.2</v>
      </c>
      <c r="L1374" s="2" t="s">
        <v>3</v>
      </c>
      <c r="M1374" s="2" t="s">
        <v>3</v>
      </c>
      <c r="N1374" s="5">
        <f>IF(ISBLANK('Raw sheet'!L1374),AVERAGE('Raw sheet'!$L$2:'Raw sheet'!$L$1500),'Raw sheet'!L1374)</f>
        <v>5.8</v>
      </c>
      <c r="O1374" s="5" t="str">
        <f>IF(Table1[[#This Row],[Stress_Index]]&gt;=8,"High",IF(N1374&gt;=5,"Medium","Low"))</f>
        <v>Medium</v>
      </c>
      <c r="P1374" s="3">
        <v>2.62</v>
      </c>
      <c r="Q1374" s="2">
        <v>2.73</v>
      </c>
      <c r="R1374" s="3">
        <v>2.78</v>
      </c>
      <c r="S1374" s="3" t="str">
        <f>IF(Table1[[#This Row],[CGPA]]&gt;=3,"High",IF(R1373&gt;=2,"Medium","Low"))</f>
        <v>Low</v>
      </c>
      <c r="T1374" s="2" t="s">
        <v>10</v>
      </c>
      <c r="U1374" s="2" t="s">
        <v>6</v>
      </c>
      <c r="V1374" s="2" t="s">
        <v>15</v>
      </c>
      <c r="W1374" s="7">
        <v>1</v>
      </c>
      <c r="X1374" t="str">
        <f t="shared" si="43"/>
        <v>Dropped Out</v>
      </c>
    </row>
    <row r="1375" spans="1:24" x14ac:dyDescent="0.3">
      <c r="A1375" s="2">
        <v>1374</v>
      </c>
      <c r="B1375" s="7">
        <v>17.5</v>
      </c>
      <c r="C1375" s="2" t="s">
        <v>5</v>
      </c>
      <c r="D1375" s="7">
        <f>IF(ISBLANK('Raw sheet'!D1375),AVERAGE('Raw sheet'!$D$2:'Raw sheet'!$D$1500),'Raw sheet'!D1375)</f>
        <v>38587.00282087447</v>
      </c>
      <c r="E1375" s="7" t="str">
        <f>IF(Table1[[#This Row],[Family_Income]]&gt;=100000,"Upper",IF(D1375&gt;=50000,"Middle","Lower"))</f>
        <v>Lower</v>
      </c>
      <c r="F1375" s="2" t="s">
        <v>4</v>
      </c>
      <c r="G1375" s="3">
        <f>IF(ISBLANK('Raw sheet'!F1375),AVERAGE('Raw sheet'!$F$2:'Raw sheet'!$F$1500),'Raw sheet'!F1375)</f>
        <v>4.0178702397743278</v>
      </c>
      <c r="H1375" s="18">
        <v>81.599999999999994</v>
      </c>
      <c r="I1375" s="9" t="str">
        <f t="shared" si="42"/>
        <v>Good</v>
      </c>
      <c r="J1375" s="2">
        <v>2</v>
      </c>
      <c r="K1375" s="2">
        <v>39.4</v>
      </c>
      <c r="L1375" s="2" t="s">
        <v>3</v>
      </c>
      <c r="M1375" s="2" t="s">
        <v>3</v>
      </c>
      <c r="N1375" s="5">
        <f>IF(ISBLANK('Raw sheet'!L1375),AVERAGE('Raw sheet'!$L$2:'Raw sheet'!$L$1500),'Raw sheet'!L1375)</f>
        <v>5.5242595204513369</v>
      </c>
      <c r="O1375" s="5" t="str">
        <f>IF(Table1[[#This Row],[Stress_Index]]&gt;=8,"High",IF(N1375&gt;=5,"Medium","Low"))</f>
        <v>Medium</v>
      </c>
      <c r="P1375" s="3">
        <v>2.23</v>
      </c>
      <c r="Q1375" s="2">
        <v>2.72</v>
      </c>
      <c r="R1375" s="3">
        <v>2.71</v>
      </c>
      <c r="S1375" s="3" t="str">
        <f>IF(Table1[[#This Row],[CGPA]]&gt;=3,"High",IF(R1374&gt;=2,"Medium","Low"))</f>
        <v>Medium</v>
      </c>
      <c r="T1375" s="2" t="s">
        <v>7</v>
      </c>
      <c r="U1375" s="2" t="s">
        <v>13</v>
      </c>
      <c r="V1375" s="2" t="s">
        <v>15</v>
      </c>
      <c r="W1375" s="7">
        <v>0</v>
      </c>
      <c r="X1375" t="str">
        <f t="shared" si="43"/>
        <v>Active</v>
      </c>
    </row>
    <row r="1376" spans="1:24" x14ac:dyDescent="0.3">
      <c r="A1376" s="2">
        <v>1375</v>
      </c>
      <c r="B1376" s="7">
        <v>24.2</v>
      </c>
      <c r="C1376" s="2" t="s">
        <v>11</v>
      </c>
      <c r="D1376" s="7">
        <f>IF(ISBLANK('Raw sheet'!D1376),AVERAGE('Raw sheet'!$D$2:'Raw sheet'!$D$1500),'Raw sheet'!D1376)</f>
        <v>47652</v>
      </c>
      <c r="E1376" s="7" t="str">
        <f>IF(Table1[[#This Row],[Family_Income]]&gt;=100000,"Upper",IF(D1376&gt;=50000,"Middle","Lower"))</f>
        <v>Lower</v>
      </c>
      <c r="F1376" s="2" t="s">
        <v>4</v>
      </c>
      <c r="G1376" s="3">
        <f>IF(ISBLANK('Raw sheet'!F1376),AVERAGE('Raw sheet'!$F$2:'Raw sheet'!$F$1500),'Raw sheet'!F1376)</f>
        <v>3.59</v>
      </c>
      <c r="H1376" s="18">
        <v>75.099999999999994</v>
      </c>
      <c r="I1376" s="9" t="str">
        <f t="shared" si="42"/>
        <v>Good</v>
      </c>
      <c r="J1376" s="2">
        <v>1</v>
      </c>
      <c r="K1376" s="2">
        <v>26.4</v>
      </c>
      <c r="L1376" s="2" t="s">
        <v>3</v>
      </c>
      <c r="M1376" s="2" t="s">
        <v>4</v>
      </c>
      <c r="N1376" s="5">
        <f>IF(ISBLANK('Raw sheet'!L1376),AVERAGE('Raw sheet'!$L$2:'Raw sheet'!$L$1500),'Raw sheet'!L1376)</f>
        <v>5.8</v>
      </c>
      <c r="O1376" s="5" t="str">
        <f>IF(Table1[[#This Row],[Stress_Index]]&gt;=8,"High",IF(N1376&gt;=5,"Medium","Low"))</f>
        <v>Medium</v>
      </c>
      <c r="P1376" s="3">
        <v>2.37</v>
      </c>
      <c r="Q1376" s="2">
        <v>2.5299999999999998</v>
      </c>
      <c r="R1376" s="3">
        <v>2.54</v>
      </c>
      <c r="S1376" s="3" t="str">
        <f>IF(Table1[[#This Row],[CGPA]]&gt;=3,"High",IF(R1375&gt;=2,"Medium","Low"))</f>
        <v>Medium</v>
      </c>
      <c r="T1376" s="2" t="s">
        <v>7</v>
      </c>
      <c r="U1376" s="2" t="s">
        <v>1</v>
      </c>
      <c r="V1376" s="2" t="s">
        <v>0</v>
      </c>
      <c r="W1376" s="7">
        <v>0</v>
      </c>
      <c r="X1376" t="str">
        <f t="shared" si="43"/>
        <v>Active</v>
      </c>
    </row>
    <row r="1377" spans="1:24" x14ac:dyDescent="0.3">
      <c r="A1377" s="2">
        <v>1376</v>
      </c>
      <c r="B1377" s="7">
        <v>20.5</v>
      </c>
      <c r="C1377" s="2" t="s">
        <v>5</v>
      </c>
      <c r="D1377" s="7">
        <f>IF(ISBLANK('Raw sheet'!D1377),AVERAGE('Raw sheet'!$D$2:'Raw sheet'!$D$1500),'Raw sheet'!D1377)</f>
        <v>87424</v>
      </c>
      <c r="E1377" s="7" t="str">
        <f>IF(Table1[[#This Row],[Family_Income]]&gt;=100000,"Upper",IF(D1377&gt;=50000,"Middle","Lower"))</f>
        <v>Middle</v>
      </c>
      <c r="F1377" s="2" t="s">
        <v>4</v>
      </c>
      <c r="G1377" s="3">
        <f>IF(ISBLANK('Raw sheet'!F1377),AVERAGE('Raw sheet'!$F$2:'Raw sheet'!$F$1500),'Raw sheet'!F1377)</f>
        <v>6.8</v>
      </c>
      <c r="H1377" s="18">
        <v>88.1</v>
      </c>
      <c r="I1377" s="9" t="str">
        <f t="shared" si="42"/>
        <v>Good</v>
      </c>
      <c r="J1377" s="2">
        <v>2</v>
      </c>
      <c r="K1377" s="2">
        <v>27</v>
      </c>
      <c r="L1377" s="2" t="s">
        <v>4</v>
      </c>
      <c r="M1377" s="2" t="s">
        <v>4</v>
      </c>
      <c r="N1377" s="5">
        <f>IF(ISBLANK('Raw sheet'!L1377),AVERAGE('Raw sheet'!$L$2:'Raw sheet'!$L$1500),'Raw sheet'!L1377)</f>
        <v>5.8</v>
      </c>
      <c r="O1377" s="5" t="str">
        <f>IF(Table1[[#This Row],[Stress_Index]]&gt;=8,"High",IF(N1377&gt;=5,"Medium","Low"))</f>
        <v>Medium</v>
      </c>
      <c r="P1377" s="3">
        <v>2.16</v>
      </c>
      <c r="Q1377" s="2">
        <v>1.95</v>
      </c>
      <c r="R1377" s="3">
        <v>1.95</v>
      </c>
      <c r="S1377" s="3" t="str">
        <f>IF(Table1[[#This Row],[CGPA]]&gt;=3,"High",IF(R1376&gt;=2,"Medium","Low"))</f>
        <v>Medium</v>
      </c>
      <c r="T1377" s="2" t="s">
        <v>2</v>
      </c>
      <c r="U1377" s="2" t="s">
        <v>8</v>
      </c>
      <c r="V1377" s="2" t="s">
        <v>15</v>
      </c>
      <c r="W1377" s="7">
        <v>0</v>
      </c>
      <c r="X1377" t="str">
        <f t="shared" si="43"/>
        <v>Active</v>
      </c>
    </row>
    <row r="1378" spans="1:24" x14ac:dyDescent="0.3">
      <c r="A1378" s="2">
        <v>1377</v>
      </c>
      <c r="B1378" s="7">
        <v>19.5</v>
      </c>
      <c r="C1378" s="2" t="s">
        <v>5</v>
      </c>
      <c r="D1378" s="7">
        <f>IF(ISBLANK('Raw sheet'!D1378),AVERAGE('Raw sheet'!$D$2:'Raw sheet'!$D$1500),'Raw sheet'!D1378)</f>
        <v>25000</v>
      </c>
      <c r="E1378" s="7" t="str">
        <f>IF(Table1[[#This Row],[Family_Income]]&gt;=100000,"Upper",IF(D1378&gt;=50000,"Middle","Lower"))</f>
        <v>Lower</v>
      </c>
      <c r="F1378" s="2" t="s">
        <v>4</v>
      </c>
      <c r="G1378" s="3">
        <f>IF(ISBLANK('Raw sheet'!F1378),AVERAGE('Raw sheet'!$F$2:'Raw sheet'!$F$1500),'Raw sheet'!F1378)</f>
        <v>2.35</v>
      </c>
      <c r="H1378" s="18">
        <v>90.7</v>
      </c>
      <c r="I1378" s="9" t="str">
        <f t="shared" si="42"/>
        <v>Good</v>
      </c>
      <c r="J1378" s="2">
        <v>2</v>
      </c>
      <c r="K1378" s="2">
        <v>20.399999999999999</v>
      </c>
      <c r="L1378" s="2" t="s">
        <v>4</v>
      </c>
      <c r="M1378" s="2" t="s">
        <v>3</v>
      </c>
      <c r="N1378" s="5">
        <f>IF(ISBLANK('Raw sheet'!L1378),AVERAGE('Raw sheet'!$L$2:'Raw sheet'!$L$1500),'Raw sheet'!L1378)</f>
        <v>5.6</v>
      </c>
      <c r="O1378" s="5" t="str">
        <f>IF(Table1[[#This Row],[Stress_Index]]&gt;=8,"High",IF(N1378&gt;=5,"Medium","Low"))</f>
        <v>Medium</v>
      </c>
      <c r="P1378" s="3">
        <v>2.2400000000000002</v>
      </c>
      <c r="Q1378" s="2">
        <v>1.87</v>
      </c>
      <c r="R1378" s="3">
        <v>1.92</v>
      </c>
      <c r="S1378" s="3" t="str">
        <f>IF(Table1[[#This Row],[CGPA]]&gt;=3,"High",IF(R1377&gt;=2,"Medium","Low"))</f>
        <v>Low</v>
      </c>
      <c r="T1378" s="2" t="s">
        <v>10</v>
      </c>
      <c r="U1378" s="2" t="s">
        <v>13</v>
      </c>
      <c r="V1378" s="2" t="s">
        <v>9</v>
      </c>
      <c r="W1378" s="7">
        <v>0</v>
      </c>
      <c r="X1378" t="str">
        <f t="shared" si="43"/>
        <v>Active</v>
      </c>
    </row>
    <row r="1379" spans="1:24" x14ac:dyDescent="0.3">
      <c r="A1379" s="2">
        <v>1378</v>
      </c>
      <c r="B1379" s="7">
        <v>23.3</v>
      </c>
      <c r="C1379" s="2" t="s">
        <v>5</v>
      </c>
      <c r="D1379" s="7">
        <f>IF(ISBLANK('Raw sheet'!D1379),AVERAGE('Raw sheet'!$D$2:'Raw sheet'!$D$1500),'Raw sheet'!D1379)</f>
        <v>37912</v>
      </c>
      <c r="E1379" s="7" t="str">
        <f>IF(Table1[[#This Row],[Family_Income]]&gt;=100000,"Upper",IF(D1379&gt;=50000,"Middle","Lower"))</f>
        <v>Lower</v>
      </c>
      <c r="F1379" s="2" t="s">
        <v>4</v>
      </c>
      <c r="G1379" s="3">
        <f>IF(ISBLANK('Raw sheet'!F1379),AVERAGE('Raw sheet'!$F$2:'Raw sheet'!$F$1500),'Raw sheet'!F1379)</f>
        <v>1.73</v>
      </c>
      <c r="H1379" s="18">
        <v>89.3</v>
      </c>
      <c r="I1379" s="9" t="str">
        <f t="shared" si="42"/>
        <v>Good</v>
      </c>
      <c r="J1379" s="2">
        <v>1</v>
      </c>
      <c r="K1379" s="2">
        <v>43.1</v>
      </c>
      <c r="L1379" s="2" t="s">
        <v>4</v>
      </c>
      <c r="M1379" s="2" t="s">
        <v>4</v>
      </c>
      <c r="N1379" s="5">
        <f>IF(ISBLANK('Raw sheet'!L1379),AVERAGE('Raw sheet'!$L$2:'Raw sheet'!$L$1500),'Raw sheet'!L1379)</f>
        <v>1</v>
      </c>
      <c r="O1379" s="5" t="str">
        <f>IF(Table1[[#This Row],[Stress_Index]]&gt;=8,"High",IF(N1379&gt;=5,"Medium","Low"))</f>
        <v>Low</v>
      </c>
      <c r="P1379" s="3">
        <v>4</v>
      </c>
      <c r="Q1379" s="2">
        <v>3.95</v>
      </c>
      <c r="R1379" s="3">
        <v>3.92</v>
      </c>
      <c r="S1379" s="3" t="str">
        <f>IF(Table1[[#This Row],[CGPA]]&gt;=3,"High",IF(R1378&gt;=2,"Medium","Low"))</f>
        <v>High</v>
      </c>
      <c r="T1379" s="2" t="s">
        <v>12</v>
      </c>
      <c r="U1379" s="2" t="s">
        <v>6</v>
      </c>
      <c r="V1379" s="2" t="s">
        <v>15</v>
      </c>
      <c r="W1379" s="7">
        <v>0</v>
      </c>
      <c r="X1379" t="str">
        <f t="shared" si="43"/>
        <v>Active</v>
      </c>
    </row>
    <row r="1380" spans="1:24" x14ac:dyDescent="0.3">
      <c r="A1380" s="2">
        <v>1379</v>
      </c>
      <c r="B1380" s="7">
        <v>19.7</v>
      </c>
      <c r="C1380" s="2" t="s">
        <v>5</v>
      </c>
      <c r="D1380" s="7">
        <f>IF(ISBLANK('Raw sheet'!D1380),AVERAGE('Raw sheet'!$D$2:'Raw sheet'!$D$1500),'Raw sheet'!D1380)</f>
        <v>25000</v>
      </c>
      <c r="E1380" s="7" t="str">
        <f>IF(Table1[[#This Row],[Family_Income]]&gt;=100000,"Upper",IF(D1380&gt;=50000,"Middle","Lower"))</f>
        <v>Lower</v>
      </c>
      <c r="F1380" s="2" t="s">
        <v>4</v>
      </c>
      <c r="G1380" s="3">
        <f>IF(ISBLANK('Raw sheet'!F1380),AVERAGE('Raw sheet'!$F$2:'Raw sheet'!$F$1500),'Raw sheet'!F1380)</f>
        <v>4.3</v>
      </c>
      <c r="H1380" s="18">
        <v>87.6</v>
      </c>
      <c r="I1380" s="9" t="str">
        <f t="shared" si="42"/>
        <v>Good</v>
      </c>
      <c r="J1380" s="2">
        <v>1</v>
      </c>
      <c r="K1380" s="2">
        <v>44.5</v>
      </c>
      <c r="L1380" s="2" t="s">
        <v>3</v>
      </c>
      <c r="M1380" s="2" t="s">
        <v>4</v>
      </c>
      <c r="N1380" s="5">
        <f>IF(ISBLANK('Raw sheet'!L1380),AVERAGE('Raw sheet'!$L$2:'Raw sheet'!$L$1500),'Raw sheet'!L1380)</f>
        <v>5.6</v>
      </c>
      <c r="O1380" s="5" t="str">
        <f>IF(Table1[[#This Row],[Stress_Index]]&gt;=8,"High",IF(N1380&gt;=5,"Medium","Low"))</f>
        <v>Medium</v>
      </c>
      <c r="P1380" s="3">
        <v>3.53</v>
      </c>
      <c r="Q1380" s="2">
        <v>3.98</v>
      </c>
      <c r="R1380" s="3">
        <v>3.96</v>
      </c>
      <c r="S1380" s="3" t="str">
        <f>IF(Table1[[#This Row],[CGPA]]&gt;=3,"High",IF(R1379&gt;=2,"Medium","Low"))</f>
        <v>High</v>
      </c>
      <c r="T1380" s="2" t="s">
        <v>10</v>
      </c>
      <c r="U1380" s="2" t="s">
        <v>14</v>
      </c>
      <c r="V1380" s="2" t="s">
        <v>9</v>
      </c>
      <c r="W1380" s="7">
        <v>0</v>
      </c>
      <c r="X1380" t="str">
        <f t="shared" si="43"/>
        <v>Active</v>
      </c>
    </row>
    <row r="1381" spans="1:24" x14ac:dyDescent="0.3">
      <c r="A1381" s="2">
        <v>1380</v>
      </c>
      <c r="B1381" s="7">
        <v>25</v>
      </c>
      <c r="C1381" s="2" t="s">
        <v>5</v>
      </c>
      <c r="D1381" s="7">
        <f>IF(ISBLANK('Raw sheet'!D1381),AVERAGE('Raw sheet'!$D$2:'Raw sheet'!$D$1500),'Raw sheet'!D1381)</f>
        <v>49335</v>
      </c>
      <c r="E1381" s="7" t="str">
        <f>IF(Table1[[#This Row],[Family_Income]]&gt;=100000,"Upper",IF(D1381&gt;=50000,"Middle","Lower"))</f>
        <v>Lower</v>
      </c>
      <c r="F1381" s="2" t="s">
        <v>4</v>
      </c>
      <c r="G1381" s="3">
        <f>IF(ISBLANK('Raw sheet'!F1381),AVERAGE('Raw sheet'!$F$2:'Raw sheet'!$F$1500),'Raw sheet'!F1381)</f>
        <v>3.26</v>
      </c>
      <c r="H1381" s="18">
        <v>62</v>
      </c>
      <c r="I1381" s="9" t="str">
        <f t="shared" si="42"/>
        <v>Low</v>
      </c>
      <c r="J1381" s="2">
        <v>0</v>
      </c>
      <c r="K1381" s="2">
        <v>13.9</v>
      </c>
      <c r="L1381" s="2" t="s">
        <v>4</v>
      </c>
      <c r="M1381" s="2" t="s">
        <v>3</v>
      </c>
      <c r="N1381" s="5">
        <f>IF(ISBLANK('Raw sheet'!L1381),AVERAGE('Raw sheet'!$L$2:'Raw sheet'!$L$1500),'Raw sheet'!L1381)</f>
        <v>5.4</v>
      </c>
      <c r="O1381" s="5" t="str">
        <f>IF(Table1[[#This Row],[Stress_Index]]&gt;=8,"High",IF(N1381&gt;=5,"Medium","Low"))</f>
        <v>Medium</v>
      </c>
      <c r="P1381" s="3">
        <v>0.67</v>
      </c>
      <c r="Q1381" s="2">
        <v>0.36</v>
      </c>
      <c r="R1381" s="3">
        <v>0.36</v>
      </c>
      <c r="S1381" s="3" t="str">
        <f>IF(Table1[[#This Row],[CGPA]]&gt;=3,"High",IF(R1380&gt;=2,"Medium","Low"))</f>
        <v>Medium</v>
      </c>
      <c r="T1381" s="2" t="s">
        <v>2</v>
      </c>
      <c r="U1381" s="2" t="s">
        <v>8</v>
      </c>
      <c r="V1381" s="2" t="s">
        <v>16</v>
      </c>
      <c r="W1381" s="7">
        <v>0</v>
      </c>
      <c r="X1381" t="str">
        <f t="shared" si="43"/>
        <v>Active</v>
      </c>
    </row>
    <row r="1382" spans="1:24" x14ac:dyDescent="0.3">
      <c r="A1382" s="2">
        <v>1381</v>
      </c>
      <c r="B1382" s="7">
        <v>22.5</v>
      </c>
      <c r="C1382" s="2" t="s">
        <v>11</v>
      </c>
      <c r="D1382" s="7">
        <f>IF(ISBLANK('Raw sheet'!D1382),AVERAGE('Raw sheet'!$D$2:'Raw sheet'!$D$1500),'Raw sheet'!D1382)</f>
        <v>50992</v>
      </c>
      <c r="E1382" s="7" t="str">
        <f>IF(Table1[[#This Row],[Family_Income]]&gt;=100000,"Upper",IF(D1382&gt;=50000,"Middle","Lower"))</f>
        <v>Middle</v>
      </c>
      <c r="F1382" s="2" t="s">
        <v>4</v>
      </c>
      <c r="G1382" s="3">
        <f>IF(ISBLANK('Raw sheet'!F1382),AVERAGE('Raw sheet'!$F$2:'Raw sheet'!$F$1500),'Raw sheet'!F1382)</f>
        <v>3.02</v>
      </c>
      <c r="H1382" s="18">
        <v>74</v>
      </c>
      <c r="I1382" s="9" t="str">
        <f t="shared" si="42"/>
        <v>Low</v>
      </c>
      <c r="J1382" s="2">
        <v>1</v>
      </c>
      <c r="K1382" s="2">
        <v>9.4</v>
      </c>
      <c r="L1382" s="2" t="s">
        <v>3</v>
      </c>
      <c r="M1382" s="2" t="s">
        <v>3</v>
      </c>
      <c r="N1382" s="5">
        <f>IF(ISBLANK('Raw sheet'!L1382),AVERAGE('Raw sheet'!$L$2:'Raw sheet'!$L$1500),'Raw sheet'!L1382)</f>
        <v>5.2</v>
      </c>
      <c r="O1382" s="5" t="str">
        <f>IF(Table1[[#This Row],[Stress_Index]]&gt;=8,"High",IF(N1382&gt;=5,"Medium","Low"))</f>
        <v>Medium</v>
      </c>
      <c r="P1382" s="3">
        <v>3.13</v>
      </c>
      <c r="Q1382" s="2">
        <v>3.62</v>
      </c>
      <c r="R1382" s="3">
        <v>3.64</v>
      </c>
      <c r="S1382" s="3" t="str">
        <f>IF(Table1[[#This Row],[CGPA]]&gt;=3,"High",IF(R1381&gt;=2,"Medium","Low"))</f>
        <v>High</v>
      </c>
      <c r="T1382" s="2" t="s">
        <v>10</v>
      </c>
      <c r="U1382" s="2" t="s">
        <v>6</v>
      </c>
      <c r="V1382" s="2" t="s">
        <v>9</v>
      </c>
      <c r="W1382" s="7">
        <v>0</v>
      </c>
      <c r="X1382" t="str">
        <f t="shared" si="43"/>
        <v>Active</v>
      </c>
    </row>
    <row r="1383" spans="1:24" x14ac:dyDescent="0.3">
      <c r="A1383" s="2">
        <v>1382</v>
      </c>
      <c r="B1383" s="7">
        <v>19.899999999999999</v>
      </c>
      <c r="C1383" s="2" t="s">
        <v>5</v>
      </c>
      <c r="D1383" s="7">
        <f>IF(ISBLANK('Raw sheet'!D1383),AVERAGE('Raw sheet'!$D$2:'Raw sheet'!$D$1500),'Raw sheet'!D1383)</f>
        <v>125268</v>
      </c>
      <c r="E1383" s="7" t="str">
        <f>IF(Table1[[#This Row],[Family_Income]]&gt;=100000,"Upper",IF(D1383&gt;=50000,"Middle","Lower"))</f>
        <v>Upper</v>
      </c>
      <c r="F1383" s="2" t="s">
        <v>3</v>
      </c>
      <c r="G1383" s="3">
        <f>IF(ISBLANK('Raw sheet'!F1383),AVERAGE('Raw sheet'!$F$2:'Raw sheet'!$F$1500),'Raw sheet'!F1383)</f>
        <v>4.03</v>
      </c>
      <c r="H1383" s="18">
        <v>70.099999999999994</v>
      </c>
      <c r="I1383" s="9" t="str">
        <f t="shared" si="42"/>
        <v>Low</v>
      </c>
      <c r="J1383" s="2">
        <v>1</v>
      </c>
      <c r="K1383" s="2">
        <v>26.2</v>
      </c>
      <c r="L1383" s="2" t="s">
        <v>4</v>
      </c>
      <c r="M1383" s="2" t="s">
        <v>3</v>
      </c>
      <c r="N1383" s="5">
        <f>IF(ISBLANK('Raw sheet'!L1383),AVERAGE('Raw sheet'!$L$2:'Raw sheet'!$L$1500),'Raw sheet'!L1383)</f>
        <v>4</v>
      </c>
      <c r="O1383" s="5" t="str">
        <f>IF(Table1[[#This Row],[Stress_Index]]&gt;=8,"High",IF(N1383&gt;=5,"Medium","Low"))</f>
        <v>Low</v>
      </c>
      <c r="P1383" s="3">
        <v>1.69</v>
      </c>
      <c r="Q1383" s="2">
        <v>1.76</v>
      </c>
      <c r="R1383" s="3">
        <v>1.76</v>
      </c>
      <c r="S1383" s="3" t="str">
        <f>IF(Table1[[#This Row],[CGPA]]&gt;=3,"High",IF(R1382&gt;=2,"Medium","Low"))</f>
        <v>Medium</v>
      </c>
      <c r="T1383" s="2" t="s">
        <v>2</v>
      </c>
      <c r="U1383" s="2" t="s">
        <v>14</v>
      </c>
      <c r="V1383" s="2" t="s">
        <v>15</v>
      </c>
      <c r="W1383" s="7">
        <v>0</v>
      </c>
      <c r="X1383" t="str">
        <f t="shared" si="43"/>
        <v>Active</v>
      </c>
    </row>
    <row r="1384" spans="1:24" x14ac:dyDescent="0.3">
      <c r="A1384" s="2">
        <v>1383</v>
      </c>
      <c r="B1384" s="7">
        <v>25.7</v>
      </c>
      <c r="C1384" s="2" t="s">
        <v>11</v>
      </c>
      <c r="D1384" s="7">
        <f>IF(ISBLANK('Raw sheet'!D1384),AVERAGE('Raw sheet'!$D$2:'Raw sheet'!$D$1500),'Raw sheet'!D1384)</f>
        <v>39705</v>
      </c>
      <c r="E1384" s="7" t="str">
        <f>IF(Table1[[#This Row],[Family_Income]]&gt;=100000,"Upper",IF(D1384&gt;=50000,"Middle","Lower"))</f>
        <v>Lower</v>
      </c>
      <c r="F1384" s="2" t="s">
        <v>3</v>
      </c>
      <c r="G1384" s="3">
        <f>IF(ISBLANK('Raw sheet'!F1384),AVERAGE('Raw sheet'!$F$2:'Raw sheet'!$F$1500),'Raw sheet'!F1384)</f>
        <v>2.4</v>
      </c>
      <c r="H1384" s="18">
        <v>67.8</v>
      </c>
      <c r="I1384" s="9" t="str">
        <f t="shared" si="42"/>
        <v>Low</v>
      </c>
      <c r="J1384" s="2">
        <v>4</v>
      </c>
      <c r="K1384" s="2">
        <v>27.6</v>
      </c>
      <c r="L1384" s="2" t="s">
        <v>4</v>
      </c>
      <c r="M1384" s="2" t="s">
        <v>3</v>
      </c>
      <c r="N1384" s="5">
        <f>IF(ISBLANK('Raw sheet'!L1384),AVERAGE('Raw sheet'!$L$2:'Raw sheet'!$L$1500),'Raw sheet'!L1384)</f>
        <v>6.5</v>
      </c>
      <c r="O1384" s="5" t="str">
        <f>IF(Table1[[#This Row],[Stress_Index]]&gt;=8,"High",IF(N1384&gt;=5,"Medium","Low"))</f>
        <v>Medium</v>
      </c>
      <c r="P1384" s="3">
        <v>1.22</v>
      </c>
      <c r="Q1384" s="2">
        <v>1.03</v>
      </c>
      <c r="R1384" s="3">
        <v>1.0900000000000001</v>
      </c>
      <c r="S1384" s="3" t="str">
        <f>IF(Table1[[#This Row],[CGPA]]&gt;=3,"High",IF(R1383&gt;=2,"Medium","Low"))</f>
        <v>Low</v>
      </c>
      <c r="T1384" s="2" t="s">
        <v>10</v>
      </c>
      <c r="U1384" s="2" t="s">
        <v>14</v>
      </c>
      <c r="V1384" s="2" t="s">
        <v>9</v>
      </c>
      <c r="W1384" s="7">
        <v>0</v>
      </c>
      <c r="X1384" t="str">
        <f t="shared" si="43"/>
        <v>Active</v>
      </c>
    </row>
    <row r="1385" spans="1:24" x14ac:dyDescent="0.3">
      <c r="A1385" s="2">
        <v>1384</v>
      </c>
      <c r="B1385" s="7">
        <v>19.7</v>
      </c>
      <c r="C1385" s="2" t="s">
        <v>5</v>
      </c>
      <c r="D1385" s="7">
        <f>IF(ISBLANK('Raw sheet'!D1385),AVERAGE('Raw sheet'!$D$2:'Raw sheet'!$D$1500),'Raw sheet'!D1385)</f>
        <v>45911</v>
      </c>
      <c r="E1385" s="7" t="str">
        <f>IF(Table1[[#This Row],[Family_Income]]&gt;=100000,"Upper",IF(D1385&gt;=50000,"Middle","Lower"))</f>
        <v>Lower</v>
      </c>
      <c r="F1385" s="2" t="s">
        <v>4</v>
      </c>
      <c r="G1385" s="3">
        <f>IF(ISBLANK('Raw sheet'!F1385),AVERAGE('Raw sheet'!$F$2:'Raw sheet'!$F$1500),'Raw sheet'!F1385)</f>
        <v>4.71</v>
      </c>
      <c r="H1385" s="18">
        <v>91.2</v>
      </c>
      <c r="I1385" s="9" t="str">
        <f t="shared" si="42"/>
        <v>Good</v>
      </c>
      <c r="J1385" s="2">
        <v>2</v>
      </c>
      <c r="K1385" s="2">
        <v>33.1</v>
      </c>
      <c r="L1385" s="2" t="s">
        <v>4</v>
      </c>
      <c r="M1385" s="2" t="s">
        <v>4</v>
      </c>
      <c r="N1385" s="5">
        <f>IF(ISBLANK('Raw sheet'!L1385),AVERAGE('Raw sheet'!$L$2:'Raw sheet'!$L$1500),'Raw sheet'!L1385)</f>
        <v>3.7</v>
      </c>
      <c r="O1385" s="5" t="str">
        <f>IF(Table1[[#This Row],[Stress_Index]]&gt;=8,"High",IF(N1385&gt;=5,"Medium","Low"))</f>
        <v>Low</v>
      </c>
      <c r="P1385" s="3">
        <v>2.99</v>
      </c>
      <c r="Q1385" s="2">
        <v>2.81</v>
      </c>
      <c r="R1385" s="3">
        <v>2.74</v>
      </c>
      <c r="S1385" s="3" t="str">
        <f>IF(Table1[[#This Row],[CGPA]]&gt;=3,"High",IF(R1384&gt;=2,"Medium","Low"))</f>
        <v>Low</v>
      </c>
      <c r="T1385" s="2" t="s">
        <v>10</v>
      </c>
      <c r="U1385" s="2" t="s">
        <v>13</v>
      </c>
      <c r="V1385" s="2" t="s">
        <v>15</v>
      </c>
      <c r="W1385" s="7">
        <v>1</v>
      </c>
      <c r="X1385" t="str">
        <f t="shared" si="43"/>
        <v>Dropped Out</v>
      </c>
    </row>
    <row r="1386" spans="1:24" x14ac:dyDescent="0.3">
      <c r="A1386" s="2">
        <v>1385</v>
      </c>
      <c r="B1386" s="7">
        <v>22.6</v>
      </c>
      <c r="C1386" s="2" t="s">
        <v>11</v>
      </c>
      <c r="D1386" s="7">
        <f>IF(ISBLANK('Raw sheet'!D1386),AVERAGE('Raw sheet'!$D$2:'Raw sheet'!$D$1500),'Raw sheet'!D1386)</f>
        <v>25000</v>
      </c>
      <c r="E1386" s="7" t="str">
        <f>IF(Table1[[#This Row],[Family_Income]]&gt;=100000,"Upper",IF(D1386&gt;=50000,"Middle","Lower"))</f>
        <v>Lower</v>
      </c>
      <c r="F1386" s="2" t="s">
        <v>4</v>
      </c>
      <c r="G1386" s="3">
        <f>IF(ISBLANK('Raw sheet'!F1386),AVERAGE('Raw sheet'!$F$2:'Raw sheet'!$F$1500),'Raw sheet'!F1386)</f>
        <v>4.25</v>
      </c>
      <c r="H1386" s="18">
        <v>95.6</v>
      </c>
      <c r="I1386" s="9" t="str">
        <f t="shared" si="42"/>
        <v>Good</v>
      </c>
      <c r="J1386" s="2">
        <v>3</v>
      </c>
      <c r="K1386" s="2">
        <v>9.9</v>
      </c>
      <c r="L1386" s="2" t="s">
        <v>3</v>
      </c>
      <c r="M1386" s="2" t="s">
        <v>3</v>
      </c>
      <c r="N1386" s="5">
        <f>IF(ISBLANK('Raw sheet'!L1386),AVERAGE('Raw sheet'!$L$2:'Raw sheet'!$L$1500),'Raw sheet'!L1386)</f>
        <v>6.8</v>
      </c>
      <c r="O1386" s="5" t="str">
        <f>IF(Table1[[#This Row],[Stress_Index]]&gt;=8,"High",IF(N1386&gt;=5,"Medium","Low"))</f>
        <v>Medium</v>
      </c>
      <c r="P1386" s="3">
        <v>1.63</v>
      </c>
      <c r="Q1386" s="2">
        <v>1.2</v>
      </c>
      <c r="R1386" s="3">
        <v>1.24</v>
      </c>
      <c r="S1386" s="3" t="str">
        <f>IF(Table1[[#This Row],[CGPA]]&gt;=3,"High",IF(R1385&gt;=2,"Medium","Low"))</f>
        <v>Medium</v>
      </c>
      <c r="T1386" s="2" t="s">
        <v>12</v>
      </c>
      <c r="U1386" s="2" t="s">
        <v>1</v>
      </c>
      <c r="V1386" s="2" t="s">
        <v>9</v>
      </c>
      <c r="W1386" s="7">
        <v>0</v>
      </c>
      <c r="X1386" t="str">
        <f t="shared" si="43"/>
        <v>Active</v>
      </c>
    </row>
    <row r="1387" spans="1:24" x14ac:dyDescent="0.3">
      <c r="A1387" s="2">
        <v>1386</v>
      </c>
      <c r="B1387" s="7">
        <v>21.7</v>
      </c>
      <c r="C1387" s="2" t="s">
        <v>11</v>
      </c>
      <c r="D1387" s="7">
        <f>IF(ISBLANK('Raw sheet'!D1387),AVERAGE('Raw sheet'!$D$2:'Raw sheet'!$D$1500),'Raw sheet'!D1387)</f>
        <v>41144</v>
      </c>
      <c r="E1387" s="7" t="str">
        <f>IF(Table1[[#This Row],[Family_Income]]&gt;=100000,"Upper",IF(D1387&gt;=50000,"Middle","Lower"))</f>
        <v>Lower</v>
      </c>
      <c r="F1387" s="2" t="s">
        <v>4</v>
      </c>
      <c r="G1387" s="3">
        <f>IF(ISBLANK('Raw sheet'!F1387),AVERAGE('Raw sheet'!$F$2:'Raw sheet'!$F$1500),'Raw sheet'!F1387)</f>
        <v>3.53</v>
      </c>
      <c r="H1387" s="18">
        <v>82.1</v>
      </c>
      <c r="I1387" s="9" t="str">
        <f t="shared" si="42"/>
        <v>Good</v>
      </c>
      <c r="J1387" s="2">
        <v>2</v>
      </c>
      <c r="K1387" s="2">
        <v>21.4</v>
      </c>
      <c r="L1387" s="2" t="s">
        <v>4</v>
      </c>
      <c r="M1387" s="2" t="s">
        <v>4</v>
      </c>
      <c r="N1387" s="5">
        <f>IF(ISBLANK('Raw sheet'!L1387),AVERAGE('Raw sheet'!$L$2:'Raw sheet'!$L$1500),'Raw sheet'!L1387)</f>
        <v>6.2</v>
      </c>
      <c r="O1387" s="5" t="str">
        <f>IF(Table1[[#This Row],[Stress_Index]]&gt;=8,"High",IF(N1387&gt;=5,"Medium","Low"))</f>
        <v>Medium</v>
      </c>
      <c r="P1387" s="3">
        <v>0.92</v>
      </c>
      <c r="Q1387" s="2">
        <v>1.19</v>
      </c>
      <c r="R1387" s="3">
        <v>1.18</v>
      </c>
      <c r="S1387" s="3" t="str">
        <f>IF(Table1[[#This Row],[CGPA]]&gt;=3,"High",IF(R1386&gt;=2,"Medium","Low"))</f>
        <v>Low</v>
      </c>
      <c r="T1387" s="2" t="s">
        <v>12</v>
      </c>
      <c r="U1387" s="2" t="s">
        <v>1</v>
      </c>
      <c r="V1387" s="2" t="s">
        <v>15</v>
      </c>
      <c r="W1387" s="7">
        <v>1</v>
      </c>
      <c r="X1387" t="str">
        <f t="shared" si="43"/>
        <v>Dropped Out</v>
      </c>
    </row>
    <row r="1388" spans="1:24" x14ac:dyDescent="0.3">
      <c r="A1388" s="2">
        <v>1387</v>
      </c>
      <c r="B1388" s="7">
        <v>23.9</v>
      </c>
      <c r="C1388" s="2" t="s">
        <v>5</v>
      </c>
      <c r="D1388" s="7">
        <f>IF(ISBLANK('Raw sheet'!D1388),AVERAGE('Raw sheet'!$D$2:'Raw sheet'!$D$1500),'Raw sheet'!D1388)</f>
        <v>25000</v>
      </c>
      <c r="E1388" s="7" t="str">
        <f>IF(Table1[[#This Row],[Family_Income]]&gt;=100000,"Upper",IF(D1388&gt;=50000,"Middle","Lower"))</f>
        <v>Lower</v>
      </c>
      <c r="F1388" s="2" t="s">
        <v>4</v>
      </c>
      <c r="G1388" s="3">
        <f>IF(ISBLANK('Raw sheet'!F1388),AVERAGE('Raw sheet'!$F$2:'Raw sheet'!$F$1500),'Raw sheet'!F1388)</f>
        <v>4.2699999999999996</v>
      </c>
      <c r="H1388" s="18">
        <v>85.8</v>
      </c>
      <c r="I1388" s="9" t="str">
        <f t="shared" si="42"/>
        <v>Good</v>
      </c>
      <c r="J1388" s="2">
        <v>1</v>
      </c>
      <c r="K1388" s="2">
        <v>29</v>
      </c>
      <c r="L1388" s="2" t="s">
        <v>4</v>
      </c>
      <c r="M1388" s="2" t="s">
        <v>3</v>
      </c>
      <c r="N1388" s="5">
        <f>IF(ISBLANK('Raw sheet'!L1388),AVERAGE('Raw sheet'!$L$2:'Raw sheet'!$L$1500),'Raw sheet'!L1388)</f>
        <v>8</v>
      </c>
      <c r="O1388" s="5" t="str">
        <f>IF(Table1[[#This Row],[Stress_Index]]&gt;=8,"High",IF(N1388&gt;=5,"Medium","Low"))</f>
        <v>High</v>
      </c>
      <c r="P1388" s="3">
        <v>1.29</v>
      </c>
      <c r="Q1388" s="2">
        <v>0.94</v>
      </c>
      <c r="R1388" s="3">
        <v>0.94</v>
      </c>
      <c r="S1388" s="3" t="str">
        <f>IF(Table1[[#This Row],[CGPA]]&gt;=3,"High",IF(R1387&gt;=2,"Medium","Low"))</f>
        <v>Low</v>
      </c>
      <c r="T1388" s="2" t="s">
        <v>2</v>
      </c>
      <c r="U1388" s="2" t="s">
        <v>14</v>
      </c>
      <c r="V1388" s="2" t="s">
        <v>0</v>
      </c>
      <c r="W1388" s="7">
        <v>0</v>
      </c>
      <c r="X1388" t="str">
        <f t="shared" si="43"/>
        <v>Active</v>
      </c>
    </row>
    <row r="1389" spans="1:24" x14ac:dyDescent="0.3">
      <c r="A1389" s="2">
        <v>1388</v>
      </c>
      <c r="B1389" s="7">
        <v>24.4</v>
      </c>
      <c r="C1389" s="2" t="s">
        <v>11</v>
      </c>
      <c r="D1389" s="7">
        <f>IF(ISBLANK('Raw sheet'!D1389),AVERAGE('Raw sheet'!$D$2:'Raw sheet'!$D$1500),'Raw sheet'!D1389)</f>
        <v>31873</v>
      </c>
      <c r="E1389" s="7" t="str">
        <f>IF(Table1[[#This Row],[Family_Income]]&gt;=100000,"Upper",IF(D1389&gt;=50000,"Middle","Lower"))</f>
        <v>Lower</v>
      </c>
      <c r="F1389" s="2" t="s">
        <v>3</v>
      </c>
      <c r="G1389" s="3">
        <f>IF(ISBLANK('Raw sheet'!F1389),AVERAGE('Raw sheet'!$F$2:'Raw sheet'!$F$1500),'Raw sheet'!F1389)</f>
        <v>6.49</v>
      </c>
      <c r="H1389" s="18">
        <v>79.099999999999994</v>
      </c>
      <c r="I1389" s="9" t="str">
        <f t="shared" si="42"/>
        <v>Good</v>
      </c>
      <c r="J1389" s="2">
        <v>0</v>
      </c>
      <c r="K1389" s="2">
        <v>20.7</v>
      </c>
      <c r="L1389" s="2" t="s">
        <v>4</v>
      </c>
      <c r="M1389" s="2" t="s">
        <v>4</v>
      </c>
      <c r="N1389" s="5">
        <f>IF(ISBLANK('Raw sheet'!L1389),AVERAGE('Raw sheet'!$L$2:'Raw sheet'!$L$1500),'Raw sheet'!L1389)</f>
        <v>4.7</v>
      </c>
      <c r="O1389" s="5" t="str">
        <f>IF(Table1[[#This Row],[Stress_Index]]&gt;=8,"High",IF(N1389&gt;=5,"Medium","Low"))</f>
        <v>Low</v>
      </c>
      <c r="P1389" s="3">
        <v>4</v>
      </c>
      <c r="Q1389" s="2">
        <v>4</v>
      </c>
      <c r="R1389" s="3">
        <v>4</v>
      </c>
      <c r="S1389" s="3" t="str">
        <f>IF(Table1[[#This Row],[CGPA]]&gt;=3,"High",IF(R1388&gt;=2,"Medium","Low"))</f>
        <v>High</v>
      </c>
      <c r="T1389" s="2" t="s">
        <v>2</v>
      </c>
      <c r="U1389" s="2" t="s">
        <v>1</v>
      </c>
      <c r="V1389" s="2" t="s">
        <v>9</v>
      </c>
      <c r="W1389" s="7">
        <v>0</v>
      </c>
      <c r="X1389" t="str">
        <f t="shared" si="43"/>
        <v>Active</v>
      </c>
    </row>
    <row r="1390" spans="1:24" x14ac:dyDescent="0.3">
      <c r="A1390" s="2">
        <v>1389</v>
      </c>
      <c r="B1390" s="7">
        <v>21.1</v>
      </c>
      <c r="C1390" s="2" t="s">
        <v>5</v>
      </c>
      <c r="D1390" s="7">
        <f>IF(ISBLANK('Raw sheet'!D1390),AVERAGE('Raw sheet'!$D$2:'Raw sheet'!$D$1500),'Raw sheet'!D1390)</f>
        <v>33015</v>
      </c>
      <c r="E1390" s="7" t="str">
        <f>IF(Table1[[#This Row],[Family_Income]]&gt;=100000,"Upper",IF(D1390&gt;=50000,"Middle","Lower"))</f>
        <v>Lower</v>
      </c>
      <c r="F1390" s="2" t="s">
        <v>4</v>
      </c>
      <c r="G1390" s="3">
        <f>IF(ISBLANK('Raw sheet'!F1390),AVERAGE('Raw sheet'!$F$2:'Raw sheet'!$F$1500),'Raw sheet'!F1390)</f>
        <v>3.68</v>
      </c>
      <c r="H1390" s="18">
        <v>91.4</v>
      </c>
      <c r="I1390" s="9" t="str">
        <f t="shared" si="42"/>
        <v>Good</v>
      </c>
      <c r="J1390" s="2">
        <v>3</v>
      </c>
      <c r="K1390" s="2">
        <v>40.299999999999997</v>
      </c>
      <c r="L1390" s="2" t="s">
        <v>3</v>
      </c>
      <c r="M1390" s="2" t="s">
        <v>3</v>
      </c>
      <c r="N1390" s="5">
        <f>IF(ISBLANK('Raw sheet'!L1390),AVERAGE('Raw sheet'!$L$2:'Raw sheet'!$L$1500),'Raw sheet'!L1390)</f>
        <v>7.9</v>
      </c>
      <c r="O1390" s="5" t="str">
        <f>IF(Table1[[#This Row],[Stress_Index]]&gt;=8,"High",IF(N1390&gt;=5,"Medium","Low"))</f>
        <v>Medium</v>
      </c>
      <c r="P1390" s="3">
        <v>0.87</v>
      </c>
      <c r="Q1390" s="2">
        <v>0.82</v>
      </c>
      <c r="R1390" s="3">
        <v>0.81</v>
      </c>
      <c r="S1390" s="3" t="str">
        <f>IF(Table1[[#This Row],[CGPA]]&gt;=3,"High",IF(R1389&gt;=2,"Medium","Low"))</f>
        <v>Medium</v>
      </c>
      <c r="T1390" s="2" t="s">
        <v>12</v>
      </c>
      <c r="U1390" s="2" t="s">
        <v>1</v>
      </c>
      <c r="V1390" s="2" t="s">
        <v>0</v>
      </c>
      <c r="W1390" s="7">
        <v>0</v>
      </c>
      <c r="X1390" t="str">
        <f t="shared" si="43"/>
        <v>Active</v>
      </c>
    </row>
    <row r="1391" spans="1:24" x14ac:dyDescent="0.3">
      <c r="A1391" s="2">
        <v>1390</v>
      </c>
      <c r="B1391" s="7">
        <v>19.3</v>
      </c>
      <c r="C1391" s="2" t="s">
        <v>11</v>
      </c>
      <c r="D1391" s="7">
        <f>IF(ISBLANK('Raw sheet'!D1391),AVERAGE('Raw sheet'!$D$2:'Raw sheet'!$D$1500),'Raw sheet'!D1391)</f>
        <v>25000</v>
      </c>
      <c r="E1391" s="7" t="str">
        <f>IF(Table1[[#This Row],[Family_Income]]&gt;=100000,"Upper",IF(D1391&gt;=50000,"Middle","Lower"))</f>
        <v>Lower</v>
      </c>
      <c r="F1391" s="2" t="s">
        <v>4</v>
      </c>
      <c r="G1391" s="3">
        <f>IF(ISBLANK('Raw sheet'!F1391),AVERAGE('Raw sheet'!$F$2:'Raw sheet'!$F$1500),'Raw sheet'!F1391)</f>
        <v>3.36</v>
      </c>
      <c r="H1391" s="18">
        <v>84.2</v>
      </c>
      <c r="I1391" s="9" t="str">
        <f t="shared" si="42"/>
        <v>Good</v>
      </c>
      <c r="J1391" s="2">
        <v>0</v>
      </c>
      <c r="K1391" s="2">
        <v>52.4</v>
      </c>
      <c r="L1391" s="2" t="s">
        <v>3</v>
      </c>
      <c r="M1391" s="2" t="s">
        <v>3</v>
      </c>
      <c r="N1391" s="5">
        <f>IF(ISBLANK('Raw sheet'!L1391),AVERAGE('Raw sheet'!$L$2:'Raw sheet'!$L$1500),'Raw sheet'!L1391)</f>
        <v>5.9</v>
      </c>
      <c r="O1391" s="5" t="str">
        <f>IF(Table1[[#This Row],[Stress_Index]]&gt;=8,"High",IF(N1391&gt;=5,"Medium","Low"))</f>
        <v>Medium</v>
      </c>
      <c r="P1391" s="3">
        <v>1.58</v>
      </c>
      <c r="Q1391" s="2">
        <v>0.89</v>
      </c>
      <c r="R1391" s="3">
        <v>0.93</v>
      </c>
      <c r="S1391" s="3" t="str">
        <f>IF(Table1[[#This Row],[CGPA]]&gt;=3,"High",IF(R1390&gt;=2,"Medium","Low"))</f>
        <v>Low</v>
      </c>
      <c r="T1391" s="2" t="s">
        <v>12</v>
      </c>
      <c r="U1391" s="2" t="s">
        <v>1</v>
      </c>
      <c r="V1391" s="2" t="s">
        <v>0</v>
      </c>
      <c r="W1391" s="7">
        <v>0</v>
      </c>
      <c r="X1391" t="str">
        <f t="shared" si="43"/>
        <v>Active</v>
      </c>
    </row>
    <row r="1392" spans="1:24" x14ac:dyDescent="0.3">
      <c r="A1392" s="2">
        <v>1391</v>
      </c>
      <c r="B1392" s="7">
        <v>22</v>
      </c>
      <c r="C1392" s="2" t="s">
        <v>5</v>
      </c>
      <c r="D1392" s="7">
        <f>IF(ISBLANK('Raw sheet'!D1392),AVERAGE('Raw sheet'!$D$2:'Raw sheet'!$D$1500),'Raw sheet'!D1392)</f>
        <v>30877</v>
      </c>
      <c r="E1392" s="7" t="str">
        <f>IF(Table1[[#This Row],[Family_Income]]&gt;=100000,"Upper",IF(D1392&gt;=50000,"Middle","Lower"))</f>
        <v>Lower</v>
      </c>
      <c r="F1392" s="2" t="s">
        <v>4</v>
      </c>
      <c r="G1392" s="3">
        <f>IF(ISBLANK('Raw sheet'!F1392),AVERAGE('Raw sheet'!$F$2:'Raw sheet'!$F$1500),'Raw sheet'!F1392)</f>
        <v>4.87</v>
      </c>
      <c r="H1392" s="18">
        <v>77.8</v>
      </c>
      <c r="I1392" s="9" t="str">
        <f t="shared" si="42"/>
        <v>Good</v>
      </c>
      <c r="J1392" s="2">
        <v>0</v>
      </c>
      <c r="K1392" s="2">
        <v>23.5</v>
      </c>
      <c r="L1392" s="2" t="s">
        <v>3</v>
      </c>
      <c r="M1392" s="2" t="s">
        <v>3</v>
      </c>
      <c r="N1392" s="5">
        <f>IF(ISBLANK('Raw sheet'!L1392),AVERAGE('Raw sheet'!$L$2:'Raw sheet'!$L$1500),'Raw sheet'!L1392)</f>
        <v>5.4</v>
      </c>
      <c r="O1392" s="5" t="str">
        <f>IF(Table1[[#This Row],[Stress_Index]]&gt;=8,"High",IF(N1392&gt;=5,"Medium","Low"))</f>
        <v>Medium</v>
      </c>
      <c r="P1392" s="3">
        <v>2.96</v>
      </c>
      <c r="Q1392" s="2">
        <v>2.98</v>
      </c>
      <c r="R1392" s="3">
        <v>2.98</v>
      </c>
      <c r="S1392" s="3" t="str">
        <f>IF(Table1[[#This Row],[CGPA]]&gt;=3,"High",IF(R1391&gt;=2,"Medium","Low"))</f>
        <v>Low</v>
      </c>
      <c r="T1392" s="2" t="s">
        <v>2</v>
      </c>
      <c r="U1392" s="2" t="s">
        <v>6</v>
      </c>
      <c r="V1392" s="2" t="s">
        <v>9</v>
      </c>
      <c r="W1392" s="7">
        <v>0</v>
      </c>
      <c r="X1392" t="str">
        <f t="shared" si="43"/>
        <v>Active</v>
      </c>
    </row>
    <row r="1393" spans="1:24" x14ac:dyDescent="0.3">
      <c r="A1393" s="2">
        <v>1392</v>
      </c>
      <c r="B1393" s="7">
        <v>19.5</v>
      </c>
      <c r="C1393" s="2" t="s">
        <v>11</v>
      </c>
      <c r="D1393" s="7">
        <f>IF(ISBLANK('Raw sheet'!D1393),AVERAGE('Raw sheet'!$D$2:'Raw sheet'!$D$1500),'Raw sheet'!D1393)</f>
        <v>25000</v>
      </c>
      <c r="E1393" s="7" t="str">
        <f>IF(Table1[[#This Row],[Family_Income]]&gt;=100000,"Upper",IF(D1393&gt;=50000,"Middle","Lower"))</f>
        <v>Lower</v>
      </c>
      <c r="F1393" s="2" t="s">
        <v>4</v>
      </c>
      <c r="G1393" s="3">
        <f>IF(ISBLANK('Raw sheet'!F1393),AVERAGE('Raw sheet'!$F$2:'Raw sheet'!$F$1500),'Raw sheet'!F1393)</f>
        <v>3.14</v>
      </c>
      <c r="H1393" s="18">
        <v>86.5</v>
      </c>
      <c r="I1393" s="9" t="str">
        <f t="shared" si="42"/>
        <v>Good</v>
      </c>
      <c r="J1393" s="2">
        <v>0</v>
      </c>
      <c r="K1393" s="2">
        <v>40.700000000000003</v>
      </c>
      <c r="L1393" s="2" t="s">
        <v>3</v>
      </c>
      <c r="M1393" s="2" t="s">
        <v>4</v>
      </c>
      <c r="N1393" s="5">
        <f>IF(ISBLANK('Raw sheet'!L1393),AVERAGE('Raw sheet'!$L$2:'Raw sheet'!$L$1500),'Raw sheet'!L1393)</f>
        <v>4</v>
      </c>
      <c r="O1393" s="5" t="str">
        <f>IF(Table1[[#This Row],[Stress_Index]]&gt;=8,"High",IF(N1393&gt;=5,"Medium","Low"))</f>
        <v>Low</v>
      </c>
      <c r="P1393" s="3">
        <v>1.31</v>
      </c>
      <c r="Q1393" s="2">
        <v>1.04</v>
      </c>
      <c r="R1393" s="3">
        <v>1.07</v>
      </c>
      <c r="S1393" s="3" t="str">
        <f>IF(Table1[[#This Row],[CGPA]]&gt;=3,"High",IF(R1392&gt;=2,"Medium","Low"))</f>
        <v>Medium</v>
      </c>
      <c r="T1393" s="2" t="s">
        <v>12</v>
      </c>
      <c r="U1393" s="2" t="s">
        <v>8</v>
      </c>
      <c r="V1393" s="2" t="s">
        <v>15</v>
      </c>
      <c r="W1393" s="7">
        <v>0</v>
      </c>
      <c r="X1393" t="str">
        <f t="shared" si="43"/>
        <v>Active</v>
      </c>
    </row>
    <row r="1394" spans="1:24" x14ac:dyDescent="0.3">
      <c r="A1394" s="2">
        <v>1393</v>
      </c>
      <c r="B1394" s="7">
        <v>25.4</v>
      </c>
      <c r="C1394" s="2" t="s">
        <v>11</v>
      </c>
      <c r="D1394" s="7">
        <f>IF(ISBLANK('Raw sheet'!D1394),AVERAGE('Raw sheet'!$D$2:'Raw sheet'!$D$1500),'Raw sheet'!D1394)</f>
        <v>25000</v>
      </c>
      <c r="E1394" s="7" t="str">
        <f>IF(Table1[[#This Row],[Family_Income]]&gt;=100000,"Upper",IF(D1394&gt;=50000,"Middle","Lower"))</f>
        <v>Lower</v>
      </c>
      <c r="F1394" s="2" t="s">
        <v>4</v>
      </c>
      <c r="G1394" s="3">
        <f>IF(ISBLANK('Raw sheet'!F1394),AVERAGE('Raw sheet'!$F$2:'Raw sheet'!$F$1500),'Raw sheet'!F1394)</f>
        <v>4.63</v>
      </c>
      <c r="H1394" s="18">
        <v>80.5</v>
      </c>
      <c r="I1394" s="9" t="str">
        <f t="shared" si="42"/>
        <v>Good</v>
      </c>
      <c r="J1394" s="2">
        <v>1</v>
      </c>
      <c r="K1394" s="2">
        <v>25.7</v>
      </c>
      <c r="L1394" s="2" t="s">
        <v>4</v>
      </c>
      <c r="M1394" s="2" t="s">
        <v>3</v>
      </c>
      <c r="N1394" s="5">
        <f>IF(ISBLANK('Raw sheet'!L1394),AVERAGE('Raw sheet'!$L$2:'Raw sheet'!$L$1500),'Raw sheet'!L1394)</f>
        <v>6.2</v>
      </c>
      <c r="O1394" s="5" t="str">
        <f>IF(Table1[[#This Row],[Stress_Index]]&gt;=8,"High",IF(N1394&gt;=5,"Medium","Low"))</f>
        <v>Medium</v>
      </c>
      <c r="P1394" s="3">
        <v>3.28</v>
      </c>
      <c r="Q1394" s="2">
        <v>3.48</v>
      </c>
      <c r="R1394" s="3">
        <v>3.51</v>
      </c>
      <c r="S1394" s="3" t="str">
        <f>IF(Table1[[#This Row],[CGPA]]&gt;=3,"High",IF(R1393&gt;=2,"Medium","Low"))</f>
        <v>High</v>
      </c>
      <c r="T1394" s="2" t="s">
        <v>10</v>
      </c>
      <c r="U1394" s="2" t="s">
        <v>6</v>
      </c>
      <c r="V1394" s="2" t="s">
        <v>9</v>
      </c>
      <c r="W1394" s="7">
        <v>0</v>
      </c>
      <c r="X1394" t="str">
        <f t="shared" si="43"/>
        <v>Active</v>
      </c>
    </row>
    <row r="1395" spans="1:24" x14ac:dyDescent="0.3">
      <c r="A1395" s="2">
        <v>1394</v>
      </c>
      <c r="B1395" s="7">
        <v>21.3</v>
      </c>
      <c r="C1395" s="2" t="s">
        <v>11</v>
      </c>
      <c r="D1395" s="7">
        <f>IF(ISBLANK('Raw sheet'!D1395),AVERAGE('Raw sheet'!$D$2:'Raw sheet'!$D$1500),'Raw sheet'!D1395)</f>
        <v>56727</v>
      </c>
      <c r="E1395" s="7" t="str">
        <f>IF(Table1[[#This Row],[Family_Income]]&gt;=100000,"Upper",IF(D1395&gt;=50000,"Middle","Lower"))</f>
        <v>Middle</v>
      </c>
      <c r="F1395" s="2" t="s">
        <v>3</v>
      </c>
      <c r="G1395" s="3">
        <f>IF(ISBLANK('Raw sheet'!F1395),AVERAGE('Raw sheet'!$F$2:'Raw sheet'!$F$1500),'Raw sheet'!F1395)</f>
        <v>5.07</v>
      </c>
      <c r="H1395" s="18">
        <v>83.6</v>
      </c>
      <c r="I1395" s="9" t="str">
        <f t="shared" si="42"/>
        <v>Good</v>
      </c>
      <c r="J1395" s="2">
        <v>0</v>
      </c>
      <c r="K1395" s="2">
        <v>18.8</v>
      </c>
      <c r="L1395" s="2" t="s">
        <v>3</v>
      </c>
      <c r="M1395" s="2" t="s">
        <v>3</v>
      </c>
      <c r="N1395" s="5">
        <f>IF(ISBLANK('Raw sheet'!L1395),AVERAGE('Raw sheet'!$L$2:'Raw sheet'!$L$1500),'Raw sheet'!L1395)</f>
        <v>4.5999999999999996</v>
      </c>
      <c r="O1395" s="5" t="str">
        <f>IF(Table1[[#This Row],[Stress_Index]]&gt;=8,"High",IF(N1395&gt;=5,"Medium","Low"))</f>
        <v>Low</v>
      </c>
      <c r="P1395" s="3">
        <v>2.4500000000000002</v>
      </c>
      <c r="Q1395" s="2">
        <v>3.25</v>
      </c>
      <c r="R1395" s="3">
        <v>3.23</v>
      </c>
      <c r="S1395" s="3" t="str">
        <f>IF(Table1[[#This Row],[CGPA]]&gt;=3,"High",IF(R1394&gt;=2,"Medium","Low"))</f>
        <v>High</v>
      </c>
      <c r="T1395" s="2" t="s">
        <v>10</v>
      </c>
      <c r="U1395" s="2" t="s">
        <v>8</v>
      </c>
      <c r="V1395" s="2" t="s">
        <v>15</v>
      </c>
      <c r="W1395" s="7">
        <v>0</v>
      </c>
      <c r="X1395" t="str">
        <f t="shared" si="43"/>
        <v>Active</v>
      </c>
    </row>
    <row r="1396" spans="1:24" x14ac:dyDescent="0.3">
      <c r="A1396" s="2">
        <v>1395</v>
      </c>
      <c r="B1396" s="7">
        <v>20.2</v>
      </c>
      <c r="C1396" s="2" t="s">
        <v>11</v>
      </c>
      <c r="D1396" s="7">
        <f>IF(ISBLANK('Raw sheet'!D1396),AVERAGE('Raw sheet'!$D$2:'Raw sheet'!$D$1500),'Raw sheet'!D1396)</f>
        <v>33033</v>
      </c>
      <c r="E1396" s="7" t="str">
        <f>IF(Table1[[#This Row],[Family_Income]]&gt;=100000,"Upper",IF(D1396&gt;=50000,"Middle","Lower"))</f>
        <v>Lower</v>
      </c>
      <c r="F1396" s="2" t="s">
        <v>4</v>
      </c>
      <c r="G1396" s="3">
        <f>IF(ISBLANK('Raw sheet'!F1396),AVERAGE('Raw sheet'!$F$2:'Raw sheet'!$F$1500),'Raw sheet'!F1396)</f>
        <v>5.82</v>
      </c>
      <c r="H1396" s="18">
        <v>87.5</v>
      </c>
      <c r="I1396" s="9" t="str">
        <f t="shared" si="42"/>
        <v>Good</v>
      </c>
      <c r="J1396" s="2">
        <v>1</v>
      </c>
      <c r="K1396" s="2">
        <v>21.5</v>
      </c>
      <c r="L1396" s="2" t="s">
        <v>3</v>
      </c>
      <c r="M1396" s="2" t="s">
        <v>3</v>
      </c>
      <c r="N1396" s="5">
        <f>IF(ISBLANK('Raw sheet'!L1396),AVERAGE('Raw sheet'!$L$2:'Raw sheet'!$L$1500),'Raw sheet'!L1396)</f>
        <v>5.4</v>
      </c>
      <c r="O1396" s="5" t="str">
        <f>IF(Table1[[#This Row],[Stress_Index]]&gt;=8,"High",IF(N1396&gt;=5,"Medium","Low"))</f>
        <v>Medium</v>
      </c>
      <c r="P1396" s="3">
        <v>1.49</v>
      </c>
      <c r="Q1396" s="2">
        <v>1.5</v>
      </c>
      <c r="R1396" s="3">
        <v>1.53</v>
      </c>
      <c r="S1396" s="3" t="str">
        <f>IF(Table1[[#This Row],[CGPA]]&gt;=3,"High",IF(R1395&gt;=2,"Medium","Low"))</f>
        <v>Medium</v>
      </c>
      <c r="T1396" s="2" t="s">
        <v>7</v>
      </c>
      <c r="U1396" s="2" t="s">
        <v>13</v>
      </c>
      <c r="V1396" s="2" t="s">
        <v>15</v>
      </c>
      <c r="W1396" s="7">
        <v>0</v>
      </c>
      <c r="X1396" t="str">
        <f t="shared" si="43"/>
        <v>Active</v>
      </c>
    </row>
    <row r="1397" spans="1:24" x14ac:dyDescent="0.3">
      <c r="A1397" s="2">
        <v>1396</v>
      </c>
      <c r="B1397" s="7">
        <v>21.4</v>
      </c>
      <c r="C1397" s="2" t="s">
        <v>5</v>
      </c>
      <c r="D1397" s="7">
        <f>IF(ISBLANK('Raw sheet'!D1397),AVERAGE('Raw sheet'!$D$2:'Raw sheet'!$D$1500),'Raw sheet'!D1397)</f>
        <v>36616</v>
      </c>
      <c r="E1397" s="7" t="str">
        <f>IF(Table1[[#This Row],[Family_Income]]&gt;=100000,"Upper",IF(D1397&gt;=50000,"Middle","Lower"))</f>
        <v>Lower</v>
      </c>
      <c r="F1397" s="2" t="s">
        <v>4</v>
      </c>
      <c r="G1397" s="3">
        <f>IF(ISBLANK('Raw sheet'!F1397),AVERAGE('Raw sheet'!$F$2:'Raw sheet'!$F$1500),'Raw sheet'!F1397)</f>
        <v>3.58</v>
      </c>
      <c r="H1397" s="18">
        <v>100</v>
      </c>
      <c r="I1397" s="9" t="str">
        <f t="shared" si="42"/>
        <v>Good</v>
      </c>
      <c r="J1397" s="2">
        <v>3</v>
      </c>
      <c r="K1397" s="2">
        <v>39.200000000000003</v>
      </c>
      <c r="L1397" s="2" t="s">
        <v>3</v>
      </c>
      <c r="M1397" s="2" t="s">
        <v>3</v>
      </c>
      <c r="N1397" s="5">
        <f>IF(ISBLANK('Raw sheet'!L1397),AVERAGE('Raw sheet'!$L$2:'Raw sheet'!$L$1500),'Raw sheet'!L1397)</f>
        <v>6.9</v>
      </c>
      <c r="O1397" s="5" t="str">
        <f>IF(Table1[[#This Row],[Stress_Index]]&gt;=8,"High",IF(N1397&gt;=5,"Medium","Low"))</f>
        <v>Medium</v>
      </c>
      <c r="P1397" s="3">
        <v>2.25</v>
      </c>
      <c r="Q1397" s="2">
        <v>2.0699999999999998</v>
      </c>
      <c r="R1397" s="3">
        <v>2.0699999999999998</v>
      </c>
      <c r="S1397" s="3" t="str">
        <f>IF(Table1[[#This Row],[CGPA]]&gt;=3,"High",IF(R1396&gt;=2,"Medium","Low"))</f>
        <v>Low</v>
      </c>
      <c r="T1397" s="2" t="s">
        <v>2</v>
      </c>
      <c r="U1397" s="2" t="s">
        <v>14</v>
      </c>
      <c r="V1397" s="2" t="s">
        <v>16</v>
      </c>
      <c r="W1397" s="7">
        <v>0</v>
      </c>
      <c r="X1397" t="str">
        <f t="shared" si="43"/>
        <v>Active</v>
      </c>
    </row>
    <row r="1398" spans="1:24" x14ac:dyDescent="0.3">
      <c r="A1398" s="2">
        <v>1397</v>
      </c>
      <c r="B1398" s="7">
        <v>18</v>
      </c>
      <c r="C1398" s="2" t="s">
        <v>11</v>
      </c>
      <c r="D1398" s="7">
        <f>IF(ISBLANK('Raw sheet'!D1398),AVERAGE('Raw sheet'!$D$2:'Raw sheet'!$D$1500),'Raw sheet'!D1398)</f>
        <v>25000</v>
      </c>
      <c r="E1398" s="7" t="str">
        <f>IF(Table1[[#This Row],[Family_Income]]&gt;=100000,"Upper",IF(D1398&gt;=50000,"Middle","Lower"))</f>
        <v>Lower</v>
      </c>
      <c r="F1398" s="2" t="s">
        <v>3</v>
      </c>
      <c r="G1398" s="3">
        <f>IF(ISBLANK('Raw sheet'!F1398),AVERAGE('Raw sheet'!$F$2:'Raw sheet'!$F$1500),'Raw sheet'!F1398)</f>
        <v>2.2799999999999998</v>
      </c>
      <c r="H1398" s="18">
        <v>96.3</v>
      </c>
      <c r="I1398" s="9" t="str">
        <f t="shared" si="42"/>
        <v>Good</v>
      </c>
      <c r="J1398" s="2">
        <v>0</v>
      </c>
      <c r="K1398" s="2">
        <v>22.3</v>
      </c>
      <c r="L1398" s="2" t="s">
        <v>3</v>
      </c>
      <c r="M1398" s="2" t="s">
        <v>3</v>
      </c>
      <c r="N1398" s="5">
        <f>IF(ISBLANK('Raw sheet'!L1398),AVERAGE('Raw sheet'!$L$2:'Raw sheet'!$L$1500),'Raw sheet'!L1398)</f>
        <v>5.4</v>
      </c>
      <c r="O1398" s="5" t="str">
        <f>IF(Table1[[#This Row],[Stress_Index]]&gt;=8,"High",IF(N1398&gt;=5,"Medium","Low"))</f>
        <v>Medium</v>
      </c>
      <c r="P1398" s="3">
        <v>3.78</v>
      </c>
      <c r="Q1398" s="2">
        <v>3.98</v>
      </c>
      <c r="R1398" s="3">
        <v>3.98</v>
      </c>
      <c r="S1398" s="3" t="str">
        <f>IF(Table1[[#This Row],[CGPA]]&gt;=3,"High",IF(R1397&gt;=2,"Medium","Low"))</f>
        <v>High</v>
      </c>
      <c r="T1398" s="2" t="s">
        <v>2</v>
      </c>
      <c r="U1398" s="2" t="s">
        <v>8</v>
      </c>
      <c r="V1398" s="2" t="s">
        <v>15</v>
      </c>
      <c r="W1398" s="7">
        <v>0</v>
      </c>
      <c r="X1398" t="str">
        <f t="shared" si="43"/>
        <v>Active</v>
      </c>
    </row>
    <row r="1399" spans="1:24" x14ac:dyDescent="0.3">
      <c r="A1399" s="2">
        <v>1398</v>
      </c>
      <c r="B1399" s="7">
        <v>18.899999999999999</v>
      </c>
      <c r="C1399" s="2" t="s">
        <v>11</v>
      </c>
      <c r="D1399" s="7">
        <f>IF(ISBLANK('Raw sheet'!D1399),AVERAGE('Raw sheet'!$D$2:'Raw sheet'!$D$1500),'Raw sheet'!D1399)</f>
        <v>38333</v>
      </c>
      <c r="E1399" s="7" t="str">
        <f>IF(Table1[[#This Row],[Family_Income]]&gt;=100000,"Upper",IF(D1399&gt;=50000,"Middle","Lower"))</f>
        <v>Lower</v>
      </c>
      <c r="F1399" s="2" t="s">
        <v>4</v>
      </c>
      <c r="G1399" s="3">
        <f>IF(ISBLANK('Raw sheet'!F1399),AVERAGE('Raw sheet'!$F$2:'Raw sheet'!$F$1500),'Raw sheet'!F1399)</f>
        <v>3.67</v>
      </c>
      <c r="H1399" s="18">
        <v>83.2</v>
      </c>
      <c r="I1399" s="9" t="str">
        <f t="shared" si="42"/>
        <v>Good</v>
      </c>
      <c r="J1399" s="2">
        <v>4</v>
      </c>
      <c r="K1399" s="2">
        <v>24.6</v>
      </c>
      <c r="L1399" s="2" t="s">
        <v>3</v>
      </c>
      <c r="M1399" s="2" t="s">
        <v>3</v>
      </c>
      <c r="N1399" s="5">
        <f>IF(ISBLANK('Raw sheet'!L1399),AVERAGE('Raw sheet'!$L$2:'Raw sheet'!$L$1500),'Raw sheet'!L1399)</f>
        <v>6.1</v>
      </c>
      <c r="O1399" s="5" t="str">
        <f>IF(Table1[[#This Row],[Stress_Index]]&gt;=8,"High",IF(N1399&gt;=5,"Medium","Low"))</f>
        <v>Medium</v>
      </c>
      <c r="P1399" s="3">
        <v>2.72</v>
      </c>
      <c r="Q1399" s="2">
        <v>2.95</v>
      </c>
      <c r="R1399" s="3">
        <v>2.95</v>
      </c>
      <c r="S1399" s="3" t="str">
        <f>IF(Table1[[#This Row],[CGPA]]&gt;=3,"High",IF(R1398&gt;=2,"Medium","Low"))</f>
        <v>Medium</v>
      </c>
      <c r="T1399" s="2" t="s">
        <v>2</v>
      </c>
      <c r="U1399" s="2" t="s">
        <v>14</v>
      </c>
      <c r="V1399" s="2" t="s">
        <v>15</v>
      </c>
      <c r="W1399" s="7">
        <v>0</v>
      </c>
      <c r="X1399" t="str">
        <f t="shared" si="43"/>
        <v>Active</v>
      </c>
    </row>
    <row r="1400" spans="1:24" x14ac:dyDescent="0.3">
      <c r="A1400" s="2">
        <v>1399</v>
      </c>
      <c r="B1400" s="7">
        <v>23.6</v>
      </c>
      <c r="C1400" s="2" t="s">
        <v>11</v>
      </c>
      <c r="D1400" s="7">
        <f>IF(ISBLANK('Raw sheet'!D1400),AVERAGE('Raw sheet'!$D$2:'Raw sheet'!$D$1500),'Raw sheet'!D1400)</f>
        <v>40874</v>
      </c>
      <c r="E1400" s="7" t="str">
        <f>IF(Table1[[#This Row],[Family_Income]]&gt;=100000,"Upper",IF(D1400&gt;=50000,"Middle","Lower"))</f>
        <v>Lower</v>
      </c>
      <c r="F1400" s="2" t="s">
        <v>4</v>
      </c>
      <c r="G1400" s="3">
        <f>IF(ISBLANK('Raw sheet'!F1400),AVERAGE('Raw sheet'!$F$2:'Raw sheet'!$F$1500),'Raw sheet'!F1400)</f>
        <v>4.2300000000000004</v>
      </c>
      <c r="H1400" s="18">
        <v>74.5</v>
      </c>
      <c r="I1400" s="9" t="str">
        <f t="shared" si="42"/>
        <v>Low</v>
      </c>
      <c r="J1400" s="2">
        <v>1</v>
      </c>
      <c r="K1400" s="2">
        <v>16.3</v>
      </c>
      <c r="L1400" s="2" t="s">
        <v>4</v>
      </c>
      <c r="M1400" s="2" t="s">
        <v>4</v>
      </c>
      <c r="N1400" s="5">
        <f>IF(ISBLANK('Raw sheet'!L1400),AVERAGE('Raw sheet'!$L$2:'Raw sheet'!$L$1500),'Raw sheet'!L1400)</f>
        <v>8.1999999999999993</v>
      </c>
      <c r="O1400" s="5" t="str">
        <f>IF(Table1[[#This Row],[Stress_Index]]&gt;=8,"High",IF(N1400&gt;=5,"Medium","Low"))</f>
        <v>High</v>
      </c>
      <c r="P1400" s="3">
        <v>2.46</v>
      </c>
      <c r="Q1400" s="2">
        <v>2.31</v>
      </c>
      <c r="R1400" s="3">
        <v>2.31</v>
      </c>
      <c r="S1400" s="3" t="str">
        <f>IF(Table1[[#This Row],[CGPA]]&gt;=3,"High",IF(R1399&gt;=2,"Medium","Low"))</f>
        <v>Medium</v>
      </c>
      <c r="T1400" s="2" t="s">
        <v>2</v>
      </c>
      <c r="U1400" s="2" t="s">
        <v>13</v>
      </c>
      <c r="V1400" s="2" t="s">
        <v>0</v>
      </c>
      <c r="W1400" s="7">
        <v>0</v>
      </c>
      <c r="X1400" t="str">
        <f t="shared" si="43"/>
        <v>Active</v>
      </c>
    </row>
    <row r="1401" spans="1:24" x14ac:dyDescent="0.3">
      <c r="A1401" s="2">
        <v>1400</v>
      </c>
      <c r="B1401" s="7">
        <v>19.600000000000001</v>
      </c>
      <c r="C1401" s="2" t="s">
        <v>5</v>
      </c>
      <c r="D1401" s="7">
        <f>IF(ISBLANK('Raw sheet'!D1401),AVERAGE('Raw sheet'!$D$2:'Raw sheet'!$D$1500),'Raw sheet'!D1401)</f>
        <v>25000</v>
      </c>
      <c r="E1401" s="7" t="str">
        <f>IF(Table1[[#This Row],[Family_Income]]&gt;=100000,"Upper",IF(D1401&gt;=50000,"Middle","Lower"))</f>
        <v>Lower</v>
      </c>
      <c r="F1401" s="2" t="s">
        <v>4</v>
      </c>
      <c r="G1401" s="3">
        <f>IF(ISBLANK('Raw sheet'!F1401),AVERAGE('Raw sheet'!$F$2:'Raw sheet'!$F$1500),'Raw sheet'!F1401)</f>
        <v>3.2</v>
      </c>
      <c r="H1401" s="18">
        <v>64</v>
      </c>
      <c r="I1401" s="9" t="str">
        <f t="shared" si="42"/>
        <v>Low</v>
      </c>
      <c r="J1401" s="2">
        <v>3</v>
      </c>
      <c r="K1401" s="2">
        <v>37.6</v>
      </c>
      <c r="L1401" s="2" t="s">
        <v>4</v>
      </c>
      <c r="M1401" s="2" t="s">
        <v>3</v>
      </c>
      <c r="N1401" s="5">
        <f>IF(ISBLANK('Raw sheet'!L1401),AVERAGE('Raw sheet'!$L$2:'Raw sheet'!$L$1500),'Raw sheet'!L1401)</f>
        <v>6.5</v>
      </c>
      <c r="O1401" s="5" t="str">
        <f>IF(Table1[[#This Row],[Stress_Index]]&gt;=8,"High",IF(N1401&gt;=5,"Medium","Low"))</f>
        <v>Medium</v>
      </c>
      <c r="P1401" s="3">
        <v>1.7</v>
      </c>
      <c r="Q1401" s="2">
        <v>1.58</v>
      </c>
      <c r="R1401" s="3">
        <v>1.62</v>
      </c>
      <c r="S1401" s="3" t="str">
        <f>IF(Table1[[#This Row],[CGPA]]&gt;=3,"High",IF(R1400&gt;=2,"Medium","Low"))</f>
        <v>Medium</v>
      </c>
      <c r="T1401" s="2" t="s">
        <v>10</v>
      </c>
      <c r="U1401" s="2" t="s">
        <v>6</v>
      </c>
      <c r="V1401" s="2" t="s">
        <v>9</v>
      </c>
      <c r="W1401" s="7">
        <v>1</v>
      </c>
      <c r="X1401" t="str">
        <f t="shared" si="43"/>
        <v>Dropped Out</v>
      </c>
    </row>
    <row r="1402" spans="1:24" x14ac:dyDescent="0.3">
      <c r="A1402" s="2">
        <v>1401</v>
      </c>
      <c r="B1402" s="7">
        <v>18.7</v>
      </c>
      <c r="C1402" s="2" t="s">
        <v>11</v>
      </c>
      <c r="D1402" s="7">
        <f>IF(ISBLANK('Raw sheet'!D1402),AVERAGE('Raw sheet'!$D$2:'Raw sheet'!$D$1500),'Raw sheet'!D1402)</f>
        <v>103883</v>
      </c>
      <c r="E1402" s="7" t="str">
        <f>IF(Table1[[#This Row],[Family_Income]]&gt;=100000,"Upper",IF(D1402&gt;=50000,"Middle","Lower"))</f>
        <v>Upper</v>
      </c>
      <c r="F1402" s="2" t="s">
        <v>3</v>
      </c>
      <c r="G1402" s="3">
        <f>IF(ISBLANK('Raw sheet'!F1402),AVERAGE('Raw sheet'!$F$2:'Raw sheet'!$F$1500),'Raw sheet'!F1402)</f>
        <v>4.17</v>
      </c>
      <c r="H1402" s="18">
        <v>92.3</v>
      </c>
      <c r="I1402" s="9" t="str">
        <f t="shared" si="42"/>
        <v>Good</v>
      </c>
      <c r="J1402" s="2">
        <v>1</v>
      </c>
      <c r="K1402" s="2">
        <v>35.5</v>
      </c>
      <c r="L1402" s="2" t="s">
        <v>3</v>
      </c>
      <c r="M1402" s="2" t="s">
        <v>4</v>
      </c>
      <c r="N1402" s="5">
        <f>IF(ISBLANK('Raw sheet'!L1402),AVERAGE('Raw sheet'!$L$2:'Raw sheet'!$L$1500),'Raw sheet'!L1402)</f>
        <v>4.3</v>
      </c>
      <c r="O1402" s="5" t="str">
        <f>IF(Table1[[#This Row],[Stress_Index]]&gt;=8,"High",IF(N1402&gt;=5,"Medium","Low"))</f>
        <v>Low</v>
      </c>
      <c r="P1402" s="3">
        <v>2.79</v>
      </c>
      <c r="Q1402" s="2">
        <v>2.99</v>
      </c>
      <c r="R1402" s="3">
        <v>2.99</v>
      </c>
      <c r="S1402" s="3" t="str">
        <f>IF(Table1[[#This Row],[CGPA]]&gt;=3,"High",IF(R1401&gt;=2,"Medium","Low"))</f>
        <v>Low</v>
      </c>
      <c r="T1402" s="2" t="s">
        <v>2</v>
      </c>
      <c r="U1402" s="2" t="s">
        <v>13</v>
      </c>
      <c r="V1402" s="2" t="s">
        <v>9</v>
      </c>
      <c r="W1402" s="7">
        <v>0</v>
      </c>
      <c r="X1402" t="str">
        <f t="shared" si="43"/>
        <v>Active</v>
      </c>
    </row>
    <row r="1403" spans="1:24" x14ac:dyDescent="0.3">
      <c r="A1403" s="2">
        <v>1402</v>
      </c>
      <c r="B1403" s="7">
        <v>22.2</v>
      </c>
      <c r="C1403" s="2" t="s">
        <v>5</v>
      </c>
      <c r="D1403" s="7">
        <f>IF(ISBLANK('Raw sheet'!D1403),AVERAGE('Raw sheet'!$D$2:'Raw sheet'!$D$1500),'Raw sheet'!D1403)</f>
        <v>25000</v>
      </c>
      <c r="E1403" s="7" t="str">
        <f>IF(Table1[[#This Row],[Family_Income]]&gt;=100000,"Upper",IF(D1403&gt;=50000,"Middle","Lower"))</f>
        <v>Lower</v>
      </c>
      <c r="F1403" s="2" t="s">
        <v>4</v>
      </c>
      <c r="G1403" s="3">
        <f>IF(ISBLANK('Raw sheet'!F1403),AVERAGE('Raw sheet'!$F$2:'Raw sheet'!$F$1500),'Raw sheet'!F1403)</f>
        <v>6.27</v>
      </c>
      <c r="H1403" s="18">
        <v>91</v>
      </c>
      <c r="I1403" s="9" t="str">
        <f t="shared" si="42"/>
        <v>Good</v>
      </c>
      <c r="J1403" s="2">
        <v>0</v>
      </c>
      <c r="K1403" s="2">
        <v>47.5</v>
      </c>
      <c r="L1403" s="2" t="s">
        <v>4</v>
      </c>
      <c r="M1403" s="2" t="s">
        <v>3</v>
      </c>
      <c r="N1403" s="5">
        <f>IF(ISBLANK('Raw sheet'!L1403),AVERAGE('Raw sheet'!$L$2:'Raw sheet'!$L$1500),'Raw sheet'!L1403)</f>
        <v>4.8</v>
      </c>
      <c r="O1403" s="5" t="str">
        <f>IF(Table1[[#This Row],[Stress_Index]]&gt;=8,"High",IF(N1403&gt;=5,"Medium","Low"))</f>
        <v>Low</v>
      </c>
      <c r="P1403" s="3">
        <v>3.64</v>
      </c>
      <c r="Q1403" s="2">
        <v>3.48</v>
      </c>
      <c r="R1403" s="3">
        <v>3.47</v>
      </c>
      <c r="S1403" s="3" t="str">
        <f>IF(Table1[[#This Row],[CGPA]]&gt;=3,"High",IF(R1402&gt;=2,"Medium","Low"))</f>
        <v>High</v>
      </c>
      <c r="T1403" s="2" t="s">
        <v>12</v>
      </c>
      <c r="U1403" s="2" t="s">
        <v>13</v>
      </c>
      <c r="V1403" s="2" t="s">
        <v>9</v>
      </c>
      <c r="W1403" s="7">
        <v>0</v>
      </c>
      <c r="X1403" t="str">
        <f t="shared" si="43"/>
        <v>Active</v>
      </c>
    </row>
    <row r="1404" spans="1:24" x14ac:dyDescent="0.3">
      <c r="A1404" s="2">
        <v>1403</v>
      </c>
      <c r="B1404" s="7">
        <v>23.6</v>
      </c>
      <c r="C1404" s="2" t="s">
        <v>11</v>
      </c>
      <c r="D1404" s="7">
        <f>IF(ISBLANK('Raw sheet'!D1404),AVERAGE('Raw sheet'!$D$2:'Raw sheet'!$D$1500),'Raw sheet'!D1404)</f>
        <v>47602</v>
      </c>
      <c r="E1404" s="7" t="str">
        <f>IF(Table1[[#This Row],[Family_Income]]&gt;=100000,"Upper",IF(D1404&gt;=50000,"Middle","Lower"))</f>
        <v>Lower</v>
      </c>
      <c r="F1404" s="2" t="s">
        <v>3</v>
      </c>
      <c r="G1404" s="3">
        <f>IF(ISBLANK('Raw sheet'!F1404),AVERAGE('Raw sheet'!$F$2:'Raw sheet'!$F$1500),'Raw sheet'!F1404)</f>
        <v>3.26</v>
      </c>
      <c r="H1404" s="18">
        <v>77</v>
      </c>
      <c r="I1404" s="9" t="str">
        <f t="shared" si="42"/>
        <v>Good</v>
      </c>
      <c r="J1404" s="2">
        <v>3</v>
      </c>
      <c r="K1404" s="2">
        <v>37.200000000000003</v>
      </c>
      <c r="L1404" s="2" t="s">
        <v>3</v>
      </c>
      <c r="M1404" s="2" t="s">
        <v>3</v>
      </c>
      <c r="N1404" s="5">
        <f>IF(ISBLANK('Raw sheet'!L1404),AVERAGE('Raw sheet'!$L$2:'Raw sheet'!$L$1500),'Raw sheet'!L1404)</f>
        <v>5.8</v>
      </c>
      <c r="O1404" s="5" t="str">
        <f>IF(Table1[[#This Row],[Stress_Index]]&gt;=8,"High",IF(N1404&gt;=5,"Medium","Low"))</f>
        <v>Medium</v>
      </c>
      <c r="P1404" s="3">
        <v>1.93</v>
      </c>
      <c r="Q1404" s="2">
        <v>2.09</v>
      </c>
      <c r="R1404" s="3">
        <v>2.17</v>
      </c>
      <c r="S1404" s="3" t="str">
        <f>IF(Table1[[#This Row],[CGPA]]&gt;=3,"High",IF(R1403&gt;=2,"Medium","Low"))</f>
        <v>Medium</v>
      </c>
      <c r="T1404" s="2" t="s">
        <v>10</v>
      </c>
      <c r="U1404" s="2" t="s">
        <v>13</v>
      </c>
      <c r="V1404" s="2" t="s">
        <v>0</v>
      </c>
      <c r="W1404" s="7">
        <v>0</v>
      </c>
      <c r="X1404" t="str">
        <f t="shared" si="43"/>
        <v>Active</v>
      </c>
    </row>
    <row r="1405" spans="1:24" x14ac:dyDescent="0.3">
      <c r="A1405" s="2">
        <v>1404</v>
      </c>
      <c r="B1405" s="7">
        <v>22.6</v>
      </c>
      <c r="C1405" s="2" t="s">
        <v>5</v>
      </c>
      <c r="D1405" s="7">
        <f>IF(ISBLANK('Raw sheet'!D1405),AVERAGE('Raw sheet'!$D$2:'Raw sheet'!$D$1500),'Raw sheet'!D1405)</f>
        <v>45601</v>
      </c>
      <c r="E1405" s="7" t="str">
        <f>IF(Table1[[#This Row],[Family_Income]]&gt;=100000,"Upper",IF(D1405&gt;=50000,"Middle","Lower"))</f>
        <v>Lower</v>
      </c>
      <c r="F1405" s="2" t="s">
        <v>4</v>
      </c>
      <c r="G1405" s="3">
        <f>IF(ISBLANK('Raw sheet'!F1405),AVERAGE('Raw sheet'!$F$2:'Raw sheet'!$F$1500),'Raw sheet'!F1405)</f>
        <v>2.95</v>
      </c>
      <c r="H1405" s="18">
        <v>81.3</v>
      </c>
      <c r="I1405" s="9" t="str">
        <f t="shared" si="42"/>
        <v>Good</v>
      </c>
      <c r="J1405" s="2">
        <v>0</v>
      </c>
      <c r="K1405" s="2">
        <v>35</v>
      </c>
      <c r="L1405" s="2" t="s">
        <v>3</v>
      </c>
      <c r="M1405" s="2" t="s">
        <v>3</v>
      </c>
      <c r="N1405" s="5">
        <f>IF(ISBLANK('Raw sheet'!L1405),AVERAGE('Raw sheet'!$L$2:'Raw sheet'!$L$1500),'Raw sheet'!L1405)</f>
        <v>9.3000000000000007</v>
      </c>
      <c r="O1405" s="5" t="str">
        <f>IF(Table1[[#This Row],[Stress_Index]]&gt;=8,"High",IF(N1405&gt;=5,"Medium","Low"))</f>
        <v>High</v>
      </c>
      <c r="P1405" s="3">
        <v>0</v>
      </c>
      <c r="Q1405" s="2">
        <v>0.46</v>
      </c>
      <c r="R1405" s="3">
        <v>0.43</v>
      </c>
      <c r="S1405" s="3" t="str">
        <f>IF(Table1[[#This Row],[CGPA]]&gt;=3,"High",IF(R1404&gt;=2,"Medium","Low"))</f>
        <v>Medium</v>
      </c>
      <c r="T1405" s="2" t="s">
        <v>7</v>
      </c>
      <c r="U1405" s="2" t="s">
        <v>8</v>
      </c>
      <c r="V1405" s="2" t="s">
        <v>9</v>
      </c>
      <c r="W1405" s="7">
        <v>1</v>
      </c>
      <c r="X1405" t="str">
        <f t="shared" si="43"/>
        <v>Dropped Out</v>
      </c>
    </row>
    <row r="1406" spans="1:24" x14ac:dyDescent="0.3">
      <c r="A1406" s="2">
        <v>1405</v>
      </c>
      <c r="B1406" s="7">
        <v>23.2</v>
      </c>
      <c r="C1406" s="2" t="s">
        <v>5</v>
      </c>
      <c r="D1406" s="7">
        <f>IF(ISBLANK('Raw sheet'!D1406),AVERAGE('Raw sheet'!$D$2:'Raw sheet'!$D$1500),'Raw sheet'!D1406)</f>
        <v>41149</v>
      </c>
      <c r="E1406" s="7" t="str">
        <f>IF(Table1[[#This Row],[Family_Income]]&gt;=100000,"Upper",IF(D1406&gt;=50000,"Middle","Lower"))</f>
        <v>Lower</v>
      </c>
      <c r="F1406" s="2" t="s">
        <v>4</v>
      </c>
      <c r="G1406" s="3">
        <f>IF(ISBLANK('Raw sheet'!F1406),AVERAGE('Raw sheet'!$F$2:'Raw sheet'!$F$1500),'Raw sheet'!F1406)</f>
        <v>5.22</v>
      </c>
      <c r="H1406" s="18">
        <v>83.7</v>
      </c>
      <c r="I1406" s="9" t="str">
        <f t="shared" si="42"/>
        <v>Good</v>
      </c>
      <c r="J1406" s="2">
        <v>1</v>
      </c>
      <c r="K1406" s="2">
        <v>37</v>
      </c>
      <c r="L1406" s="2" t="s">
        <v>3</v>
      </c>
      <c r="M1406" s="2" t="s">
        <v>4</v>
      </c>
      <c r="N1406" s="5">
        <f>IF(ISBLANK('Raw sheet'!L1406),AVERAGE('Raw sheet'!$L$2:'Raw sheet'!$L$1500),'Raw sheet'!L1406)</f>
        <v>3.1</v>
      </c>
      <c r="O1406" s="5" t="str">
        <f>IF(Table1[[#This Row],[Stress_Index]]&gt;=8,"High",IF(N1406&gt;=5,"Medium","Low"))</f>
        <v>Low</v>
      </c>
      <c r="P1406" s="3">
        <v>1.75</v>
      </c>
      <c r="Q1406" s="2">
        <v>1.87</v>
      </c>
      <c r="R1406" s="3">
        <v>1.84</v>
      </c>
      <c r="S1406" s="3" t="str">
        <f>IF(Table1[[#This Row],[CGPA]]&gt;=3,"High",IF(R1405&gt;=2,"Medium","Low"))</f>
        <v>Low</v>
      </c>
      <c r="T1406" s="2" t="s">
        <v>12</v>
      </c>
      <c r="U1406" s="2" t="s">
        <v>13</v>
      </c>
      <c r="V1406" s="2" t="s">
        <v>9</v>
      </c>
      <c r="W1406" s="7">
        <v>0</v>
      </c>
      <c r="X1406" t="str">
        <f t="shared" si="43"/>
        <v>Active</v>
      </c>
    </row>
    <row r="1407" spans="1:24" x14ac:dyDescent="0.3">
      <c r="A1407" s="2">
        <v>1406</v>
      </c>
      <c r="B1407" s="7">
        <v>19.3</v>
      </c>
      <c r="C1407" s="2" t="s">
        <v>11</v>
      </c>
      <c r="D1407" s="7">
        <f>IF(ISBLANK('Raw sheet'!D1407),AVERAGE('Raw sheet'!$D$2:'Raw sheet'!$D$1500),'Raw sheet'!D1407)</f>
        <v>33048</v>
      </c>
      <c r="E1407" s="7" t="str">
        <f>IF(Table1[[#This Row],[Family_Income]]&gt;=100000,"Upper",IF(D1407&gt;=50000,"Middle","Lower"))</f>
        <v>Lower</v>
      </c>
      <c r="F1407" s="2" t="s">
        <v>4</v>
      </c>
      <c r="G1407" s="3">
        <f>IF(ISBLANK('Raw sheet'!F1407),AVERAGE('Raw sheet'!$F$2:'Raw sheet'!$F$1500),'Raw sheet'!F1407)</f>
        <v>2.39</v>
      </c>
      <c r="H1407" s="18">
        <v>86.8</v>
      </c>
      <c r="I1407" s="9" t="str">
        <f t="shared" si="42"/>
        <v>Good</v>
      </c>
      <c r="J1407" s="2">
        <v>1</v>
      </c>
      <c r="K1407" s="2">
        <v>26.9</v>
      </c>
      <c r="L1407" s="2" t="s">
        <v>3</v>
      </c>
      <c r="M1407" s="2" t="s">
        <v>3</v>
      </c>
      <c r="N1407" s="5">
        <f>IF(ISBLANK('Raw sheet'!L1407),AVERAGE('Raw sheet'!$L$2:'Raw sheet'!$L$1500),'Raw sheet'!L1407)</f>
        <v>5.8</v>
      </c>
      <c r="O1407" s="5" t="str">
        <f>IF(Table1[[#This Row],[Stress_Index]]&gt;=8,"High",IF(N1407&gt;=5,"Medium","Low"))</f>
        <v>Medium</v>
      </c>
      <c r="P1407" s="3">
        <v>2.2799999999999998</v>
      </c>
      <c r="Q1407" s="2">
        <v>2.4</v>
      </c>
      <c r="R1407" s="3">
        <v>2.4</v>
      </c>
      <c r="S1407" s="3" t="str">
        <f>IF(Table1[[#This Row],[CGPA]]&gt;=3,"High",IF(R1406&gt;=2,"Medium","Low"))</f>
        <v>Low</v>
      </c>
      <c r="T1407" s="2" t="s">
        <v>2</v>
      </c>
      <c r="U1407" s="2" t="s">
        <v>8</v>
      </c>
      <c r="V1407" s="2" t="s">
        <v>16</v>
      </c>
      <c r="W1407" s="7">
        <v>0</v>
      </c>
      <c r="X1407" t="str">
        <f t="shared" si="43"/>
        <v>Active</v>
      </c>
    </row>
    <row r="1408" spans="1:24" x14ac:dyDescent="0.3">
      <c r="A1408" s="2">
        <v>1407</v>
      </c>
      <c r="B1408" s="7">
        <v>17.899999999999999</v>
      </c>
      <c r="C1408" s="2" t="s">
        <v>5</v>
      </c>
      <c r="D1408" s="7">
        <f>IF(ISBLANK('Raw sheet'!D1408),AVERAGE('Raw sheet'!$D$2:'Raw sheet'!$D$1500),'Raw sheet'!D1408)</f>
        <v>41374</v>
      </c>
      <c r="E1408" s="7" t="str">
        <f>IF(Table1[[#This Row],[Family_Income]]&gt;=100000,"Upper",IF(D1408&gt;=50000,"Middle","Lower"))</f>
        <v>Lower</v>
      </c>
      <c r="F1408" s="2" t="s">
        <v>4</v>
      </c>
      <c r="G1408" s="3">
        <f>IF(ISBLANK('Raw sheet'!F1408),AVERAGE('Raw sheet'!$F$2:'Raw sheet'!$F$1500),'Raw sheet'!F1408)</f>
        <v>4.0199999999999996</v>
      </c>
      <c r="H1408" s="18">
        <v>95.2</v>
      </c>
      <c r="I1408" s="9" t="str">
        <f t="shared" si="42"/>
        <v>Good</v>
      </c>
      <c r="J1408" s="2">
        <v>5</v>
      </c>
      <c r="K1408" s="2">
        <v>31.3</v>
      </c>
      <c r="L1408" s="2" t="s">
        <v>3</v>
      </c>
      <c r="M1408" s="2" t="s">
        <v>3</v>
      </c>
      <c r="N1408" s="5">
        <f>IF(ISBLANK('Raw sheet'!L1408),AVERAGE('Raw sheet'!$L$2:'Raw sheet'!$L$1500),'Raw sheet'!L1408)</f>
        <v>8</v>
      </c>
      <c r="O1408" s="5" t="str">
        <f>IF(Table1[[#This Row],[Stress_Index]]&gt;=8,"High",IF(N1408&gt;=5,"Medium","Low"))</f>
        <v>High</v>
      </c>
      <c r="P1408" s="3">
        <v>1.89</v>
      </c>
      <c r="Q1408" s="2">
        <v>2.29</v>
      </c>
      <c r="R1408" s="3">
        <v>2.37</v>
      </c>
      <c r="S1408" s="3" t="str">
        <f>IF(Table1[[#This Row],[CGPA]]&gt;=3,"High",IF(R1407&gt;=2,"Medium","Low"))</f>
        <v>Medium</v>
      </c>
      <c r="T1408" s="2" t="s">
        <v>10</v>
      </c>
      <c r="U1408" s="2" t="s">
        <v>8</v>
      </c>
      <c r="V1408" s="2" t="s">
        <v>15</v>
      </c>
      <c r="W1408" s="7">
        <v>0</v>
      </c>
      <c r="X1408" t="str">
        <f t="shared" si="43"/>
        <v>Active</v>
      </c>
    </row>
    <row r="1409" spans="1:24" x14ac:dyDescent="0.3">
      <c r="A1409" s="2">
        <v>1408</v>
      </c>
      <c r="B1409" s="7">
        <v>24.3</v>
      </c>
      <c r="C1409" s="2" t="s">
        <v>11</v>
      </c>
      <c r="D1409" s="7">
        <f>IF(ISBLANK('Raw sheet'!D1409),AVERAGE('Raw sheet'!$D$2:'Raw sheet'!$D$1500),'Raw sheet'!D1409)</f>
        <v>50056</v>
      </c>
      <c r="E1409" s="7" t="str">
        <f>IF(Table1[[#This Row],[Family_Income]]&gt;=100000,"Upper",IF(D1409&gt;=50000,"Middle","Lower"))</f>
        <v>Middle</v>
      </c>
      <c r="F1409" s="2" t="s">
        <v>4</v>
      </c>
      <c r="G1409" s="3">
        <f>IF(ISBLANK('Raw sheet'!F1409),AVERAGE('Raw sheet'!$F$2:'Raw sheet'!$F$1500),'Raw sheet'!F1409)</f>
        <v>3.32</v>
      </c>
      <c r="H1409" s="18">
        <v>71.599999999999994</v>
      </c>
      <c r="I1409" s="9" t="str">
        <f t="shared" si="42"/>
        <v>Low</v>
      </c>
      <c r="J1409" s="2">
        <v>2</v>
      </c>
      <c r="K1409" s="2">
        <v>41.2</v>
      </c>
      <c r="L1409" s="2" t="s">
        <v>4</v>
      </c>
      <c r="M1409" s="2" t="s">
        <v>3</v>
      </c>
      <c r="N1409" s="5">
        <f>IF(ISBLANK('Raw sheet'!L1409),AVERAGE('Raw sheet'!$L$2:'Raw sheet'!$L$1500),'Raw sheet'!L1409)</f>
        <v>6.6</v>
      </c>
      <c r="O1409" s="5" t="str">
        <f>IF(Table1[[#This Row],[Stress_Index]]&gt;=8,"High",IF(N1409&gt;=5,"Medium","Low"))</f>
        <v>Medium</v>
      </c>
      <c r="P1409" s="3">
        <v>0.4</v>
      </c>
      <c r="Q1409" s="2">
        <v>0.04</v>
      </c>
      <c r="R1409" s="3">
        <v>0.05</v>
      </c>
      <c r="S1409" s="3" t="str">
        <f>IF(Table1[[#This Row],[CGPA]]&gt;=3,"High",IF(R1408&gt;=2,"Medium","Low"))</f>
        <v>Medium</v>
      </c>
      <c r="T1409" s="2" t="s">
        <v>12</v>
      </c>
      <c r="U1409" s="2" t="s">
        <v>14</v>
      </c>
      <c r="V1409" s="2" t="s">
        <v>9</v>
      </c>
      <c r="W1409" s="7">
        <v>0</v>
      </c>
      <c r="X1409" t="str">
        <f t="shared" si="43"/>
        <v>Active</v>
      </c>
    </row>
    <row r="1410" spans="1:24" x14ac:dyDescent="0.3">
      <c r="A1410" s="2">
        <v>1409</v>
      </c>
      <c r="B1410" s="7">
        <v>20.3</v>
      </c>
      <c r="C1410" s="2" t="s">
        <v>11</v>
      </c>
      <c r="D1410" s="7">
        <f>IF(ISBLANK('Raw sheet'!D1410),AVERAGE('Raw sheet'!$D$2:'Raw sheet'!$D$1500),'Raw sheet'!D1410)</f>
        <v>38587.00282087447</v>
      </c>
      <c r="E1410" s="7" t="str">
        <f>IF(Table1[[#This Row],[Family_Income]]&gt;=100000,"Upper",IF(D1410&gt;=50000,"Middle","Lower"))</f>
        <v>Lower</v>
      </c>
      <c r="F1410" s="2" t="s">
        <v>3</v>
      </c>
      <c r="G1410" s="3">
        <f>IF(ISBLANK('Raw sheet'!F1410),AVERAGE('Raw sheet'!$F$2:'Raw sheet'!$F$1500),'Raw sheet'!F1410)</f>
        <v>4.0178702397743278</v>
      </c>
      <c r="H1410" s="18">
        <v>87.4</v>
      </c>
      <c r="I1410" s="9" t="str">
        <f t="shared" ref="I1410:I1473" si="44">IF(H1410&gt;=75,"Good","Low")</f>
        <v>Good</v>
      </c>
      <c r="J1410" s="2">
        <v>1</v>
      </c>
      <c r="K1410" s="2">
        <v>20.2</v>
      </c>
      <c r="L1410" s="2" t="s">
        <v>3</v>
      </c>
      <c r="M1410" s="2" t="s">
        <v>4</v>
      </c>
      <c r="N1410" s="5">
        <f>IF(ISBLANK('Raw sheet'!L1410),AVERAGE('Raw sheet'!$L$2:'Raw sheet'!$L$1500),'Raw sheet'!L1410)</f>
        <v>5.5242595204513369</v>
      </c>
      <c r="O1410" s="5" t="str">
        <f>IF(Table1[[#This Row],[Stress_Index]]&gt;=8,"High",IF(N1410&gt;=5,"Medium","Low"))</f>
        <v>Medium</v>
      </c>
      <c r="P1410" s="3">
        <v>3.93</v>
      </c>
      <c r="Q1410" s="2">
        <v>3.31</v>
      </c>
      <c r="R1410" s="3">
        <v>3.26</v>
      </c>
      <c r="S1410" s="3" t="str">
        <f>IF(Table1[[#This Row],[CGPA]]&gt;=3,"High",IF(R1409&gt;=2,"Medium","Low"))</f>
        <v>High</v>
      </c>
      <c r="T1410" s="2" t="s">
        <v>7</v>
      </c>
      <c r="U1410" s="2" t="s">
        <v>8</v>
      </c>
      <c r="V1410" s="2" t="s">
        <v>9</v>
      </c>
      <c r="W1410" s="7">
        <v>0</v>
      </c>
      <c r="X1410" t="str">
        <f t="shared" ref="X1410:X1473" si="45">IF(W1410=1,"Dropped Out","Active")</f>
        <v>Active</v>
      </c>
    </row>
    <row r="1411" spans="1:24" x14ac:dyDescent="0.3">
      <c r="A1411" s="2">
        <v>1410</v>
      </c>
      <c r="B1411" s="7">
        <v>20.399999999999999</v>
      </c>
      <c r="C1411" s="2" t="s">
        <v>5</v>
      </c>
      <c r="D1411" s="7">
        <f>IF(ISBLANK('Raw sheet'!D1411),AVERAGE('Raw sheet'!$D$2:'Raw sheet'!$D$1500),'Raw sheet'!D1411)</f>
        <v>35579</v>
      </c>
      <c r="E1411" s="7" t="str">
        <f>IF(Table1[[#This Row],[Family_Income]]&gt;=100000,"Upper",IF(D1411&gt;=50000,"Middle","Lower"))</f>
        <v>Lower</v>
      </c>
      <c r="F1411" s="2" t="s">
        <v>4</v>
      </c>
      <c r="G1411" s="3">
        <f>IF(ISBLANK('Raw sheet'!F1411),AVERAGE('Raw sheet'!$F$2:'Raw sheet'!$F$1500),'Raw sheet'!F1411)</f>
        <v>3.81</v>
      </c>
      <c r="H1411" s="18">
        <v>83.8</v>
      </c>
      <c r="I1411" s="9" t="str">
        <f t="shared" si="44"/>
        <v>Good</v>
      </c>
      <c r="J1411" s="2">
        <v>1</v>
      </c>
      <c r="K1411" s="2">
        <v>50.4</v>
      </c>
      <c r="L1411" s="2" t="s">
        <v>4</v>
      </c>
      <c r="M1411" s="2" t="s">
        <v>3</v>
      </c>
      <c r="N1411" s="5">
        <f>IF(ISBLANK('Raw sheet'!L1411),AVERAGE('Raw sheet'!$L$2:'Raw sheet'!$L$1500),'Raw sheet'!L1411)</f>
        <v>2.4</v>
      </c>
      <c r="O1411" s="5" t="str">
        <f>IF(Table1[[#This Row],[Stress_Index]]&gt;=8,"High",IF(N1411&gt;=5,"Medium","Low"))</f>
        <v>Low</v>
      </c>
      <c r="P1411" s="3">
        <v>4</v>
      </c>
      <c r="Q1411" s="2">
        <v>3.77</v>
      </c>
      <c r="R1411" s="3">
        <v>3.75</v>
      </c>
      <c r="S1411" s="3" t="str">
        <f>IF(Table1[[#This Row],[CGPA]]&gt;=3,"High",IF(R1410&gt;=2,"Medium","Low"))</f>
        <v>High</v>
      </c>
      <c r="T1411" s="2" t="s">
        <v>7</v>
      </c>
      <c r="U1411" s="2" t="s">
        <v>14</v>
      </c>
      <c r="V1411" s="2" t="s">
        <v>15</v>
      </c>
      <c r="W1411" s="7">
        <v>0</v>
      </c>
      <c r="X1411" t="str">
        <f t="shared" si="45"/>
        <v>Active</v>
      </c>
    </row>
    <row r="1412" spans="1:24" x14ac:dyDescent="0.3">
      <c r="A1412" s="2">
        <v>1411</v>
      </c>
      <c r="B1412" s="7">
        <v>23.9</v>
      </c>
      <c r="C1412" s="2" t="s">
        <v>5</v>
      </c>
      <c r="D1412" s="7">
        <f>IF(ISBLANK('Raw sheet'!D1412),AVERAGE('Raw sheet'!$D$2:'Raw sheet'!$D$1500),'Raw sheet'!D1412)</f>
        <v>26636</v>
      </c>
      <c r="E1412" s="7" t="str">
        <f>IF(Table1[[#This Row],[Family_Income]]&gt;=100000,"Upper",IF(D1412&gt;=50000,"Middle","Lower"))</f>
        <v>Lower</v>
      </c>
      <c r="F1412" s="2" t="s">
        <v>4</v>
      </c>
      <c r="G1412" s="3">
        <f>IF(ISBLANK('Raw sheet'!F1412),AVERAGE('Raw sheet'!$F$2:'Raw sheet'!$F$1500),'Raw sheet'!F1412)</f>
        <v>3.18</v>
      </c>
      <c r="H1412" s="18">
        <v>77.900000000000006</v>
      </c>
      <c r="I1412" s="9" t="str">
        <f t="shared" si="44"/>
        <v>Good</v>
      </c>
      <c r="J1412" s="2">
        <v>0</v>
      </c>
      <c r="K1412" s="2">
        <v>37.700000000000003</v>
      </c>
      <c r="L1412" s="2" t="s">
        <v>4</v>
      </c>
      <c r="M1412" s="2" t="s">
        <v>4</v>
      </c>
      <c r="N1412" s="5">
        <f>IF(ISBLANK('Raw sheet'!L1412),AVERAGE('Raw sheet'!$L$2:'Raw sheet'!$L$1500),'Raw sheet'!L1412)</f>
        <v>8.1999999999999993</v>
      </c>
      <c r="O1412" s="5" t="str">
        <f>IF(Table1[[#This Row],[Stress_Index]]&gt;=8,"High",IF(N1412&gt;=5,"Medium","Low"))</f>
        <v>High</v>
      </c>
      <c r="P1412" s="3">
        <v>1.93</v>
      </c>
      <c r="Q1412" s="2">
        <v>1.75</v>
      </c>
      <c r="R1412" s="3">
        <v>1.75</v>
      </c>
      <c r="S1412" s="3" t="str">
        <f>IF(Table1[[#This Row],[CGPA]]&gt;=3,"High",IF(R1411&gt;=2,"Medium","Low"))</f>
        <v>Medium</v>
      </c>
      <c r="T1412" s="2" t="s">
        <v>10</v>
      </c>
      <c r="U1412" s="2" t="s">
        <v>1</v>
      </c>
      <c r="V1412" s="2" t="s">
        <v>0</v>
      </c>
      <c r="W1412" s="7">
        <v>0</v>
      </c>
      <c r="X1412" t="str">
        <f t="shared" si="45"/>
        <v>Active</v>
      </c>
    </row>
    <row r="1413" spans="1:24" x14ac:dyDescent="0.3">
      <c r="A1413" s="2">
        <v>1412</v>
      </c>
      <c r="B1413" s="7">
        <v>22.2</v>
      </c>
      <c r="C1413" s="2" t="s">
        <v>11</v>
      </c>
      <c r="D1413" s="7">
        <f>IF(ISBLANK('Raw sheet'!D1413),AVERAGE('Raw sheet'!$D$2:'Raw sheet'!$D$1500),'Raw sheet'!D1413)</f>
        <v>25000</v>
      </c>
      <c r="E1413" s="7" t="str">
        <f>IF(Table1[[#This Row],[Family_Income]]&gt;=100000,"Upper",IF(D1413&gt;=50000,"Middle","Lower"))</f>
        <v>Lower</v>
      </c>
      <c r="F1413" s="2" t="s">
        <v>4</v>
      </c>
      <c r="G1413" s="3">
        <f>IF(ISBLANK('Raw sheet'!F1413),AVERAGE('Raw sheet'!$F$2:'Raw sheet'!$F$1500),'Raw sheet'!F1413)</f>
        <v>4.66</v>
      </c>
      <c r="H1413" s="18">
        <v>88.5</v>
      </c>
      <c r="I1413" s="9" t="str">
        <f t="shared" si="44"/>
        <v>Good</v>
      </c>
      <c r="J1413" s="2">
        <v>1</v>
      </c>
      <c r="K1413" s="2">
        <v>54.3</v>
      </c>
      <c r="L1413" s="2" t="s">
        <v>3</v>
      </c>
      <c r="M1413" s="2" t="s">
        <v>4</v>
      </c>
      <c r="N1413" s="5">
        <f>IF(ISBLANK('Raw sheet'!L1413),AVERAGE('Raw sheet'!$L$2:'Raw sheet'!$L$1500),'Raw sheet'!L1413)</f>
        <v>4.5999999999999996</v>
      </c>
      <c r="O1413" s="5" t="str">
        <f>IF(Table1[[#This Row],[Stress_Index]]&gt;=8,"High",IF(N1413&gt;=5,"Medium","Low"))</f>
        <v>Low</v>
      </c>
      <c r="P1413" s="3">
        <v>3.69</v>
      </c>
      <c r="Q1413" s="2">
        <v>3.58</v>
      </c>
      <c r="R1413" s="3">
        <v>3.7</v>
      </c>
      <c r="S1413" s="3" t="str">
        <f>IF(Table1[[#This Row],[CGPA]]&gt;=3,"High",IF(R1412&gt;=2,"Medium","Low"))</f>
        <v>High</v>
      </c>
      <c r="T1413" s="2" t="s">
        <v>12</v>
      </c>
      <c r="U1413" s="2" t="s">
        <v>6</v>
      </c>
      <c r="V1413" s="2" t="s">
        <v>9</v>
      </c>
      <c r="W1413" s="7">
        <v>0</v>
      </c>
      <c r="X1413" t="str">
        <f t="shared" si="45"/>
        <v>Active</v>
      </c>
    </row>
    <row r="1414" spans="1:24" x14ac:dyDescent="0.3">
      <c r="A1414" s="2">
        <v>1413</v>
      </c>
      <c r="B1414" s="7">
        <v>22</v>
      </c>
      <c r="C1414" s="2" t="s">
        <v>5</v>
      </c>
      <c r="D1414" s="7">
        <f>IF(ISBLANK('Raw sheet'!D1414),AVERAGE('Raw sheet'!$D$2:'Raw sheet'!$D$1500),'Raw sheet'!D1414)</f>
        <v>45720</v>
      </c>
      <c r="E1414" s="7" t="str">
        <f>IF(Table1[[#This Row],[Family_Income]]&gt;=100000,"Upper",IF(D1414&gt;=50000,"Middle","Lower"))</f>
        <v>Lower</v>
      </c>
      <c r="F1414" s="2" t="s">
        <v>4</v>
      </c>
      <c r="G1414" s="3">
        <f>IF(ISBLANK('Raw sheet'!F1414),AVERAGE('Raw sheet'!$F$2:'Raw sheet'!$F$1500),'Raw sheet'!F1414)</f>
        <v>4.26</v>
      </c>
      <c r="H1414" s="18">
        <v>81.099999999999994</v>
      </c>
      <c r="I1414" s="9" t="str">
        <f t="shared" si="44"/>
        <v>Good</v>
      </c>
      <c r="J1414" s="2">
        <v>2</v>
      </c>
      <c r="K1414" s="2">
        <v>15.9</v>
      </c>
      <c r="L1414" s="2" t="s">
        <v>3</v>
      </c>
      <c r="M1414" s="2" t="s">
        <v>4</v>
      </c>
      <c r="N1414" s="5">
        <f>IF(ISBLANK('Raw sheet'!L1414),AVERAGE('Raw sheet'!$L$2:'Raw sheet'!$L$1500),'Raw sheet'!L1414)</f>
        <v>3.8</v>
      </c>
      <c r="O1414" s="5" t="str">
        <f>IF(Table1[[#This Row],[Stress_Index]]&gt;=8,"High",IF(N1414&gt;=5,"Medium","Low"))</f>
        <v>Low</v>
      </c>
      <c r="P1414" s="3">
        <v>3.14</v>
      </c>
      <c r="Q1414" s="2">
        <v>2.67</v>
      </c>
      <c r="R1414" s="3">
        <v>2.63</v>
      </c>
      <c r="S1414" s="3" t="str">
        <f>IF(Table1[[#This Row],[CGPA]]&gt;=3,"High",IF(R1413&gt;=2,"Medium","Low"))</f>
        <v>Medium</v>
      </c>
      <c r="T1414" s="2" t="s">
        <v>10</v>
      </c>
      <c r="U1414" s="2" t="s">
        <v>8</v>
      </c>
      <c r="V1414" s="2" t="s">
        <v>0</v>
      </c>
      <c r="W1414" s="7">
        <v>0</v>
      </c>
      <c r="X1414" t="str">
        <f t="shared" si="45"/>
        <v>Active</v>
      </c>
    </row>
    <row r="1415" spans="1:24" x14ac:dyDescent="0.3">
      <c r="A1415" s="2">
        <v>1414</v>
      </c>
      <c r="B1415" s="7">
        <v>25.8</v>
      </c>
      <c r="C1415" s="2" t="s">
        <v>11</v>
      </c>
      <c r="D1415" s="7">
        <f>IF(ISBLANK('Raw sheet'!D1415),AVERAGE('Raw sheet'!$D$2:'Raw sheet'!$D$1500),'Raw sheet'!D1415)</f>
        <v>25000</v>
      </c>
      <c r="E1415" s="7" t="str">
        <f>IF(Table1[[#This Row],[Family_Income]]&gt;=100000,"Upper",IF(D1415&gt;=50000,"Middle","Lower"))</f>
        <v>Lower</v>
      </c>
      <c r="F1415" s="2" t="s">
        <v>4</v>
      </c>
      <c r="G1415" s="3">
        <f>IF(ISBLANK('Raw sheet'!F1415),AVERAGE('Raw sheet'!$F$2:'Raw sheet'!$F$1500),'Raw sheet'!F1415)</f>
        <v>4.2300000000000004</v>
      </c>
      <c r="H1415" s="18">
        <v>81.400000000000006</v>
      </c>
      <c r="I1415" s="9" t="str">
        <f t="shared" si="44"/>
        <v>Good</v>
      </c>
      <c r="J1415" s="2">
        <v>2</v>
      </c>
      <c r="K1415" s="2">
        <v>15.9</v>
      </c>
      <c r="L1415" s="2" t="s">
        <v>3</v>
      </c>
      <c r="M1415" s="2" t="s">
        <v>3</v>
      </c>
      <c r="N1415" s="5">
        <f>IF(ISBLANK('Raw sheet'!L1415),AVERAGE('Raw sheet'!$L$2:'Raw sheet'!$L$1500),'Raw sheet'!L1415)</f>
        <v>6</v>
      </c>
      <c r="O1415" s="5" t="str">
        <f>IF(Table1[[#This Row],[Stress_Index]]&gt;=8,"High",IF(N1415&gt;=5,"Medium","Low"))</f>
        <v>Medium</v>
      </c>
      <c r="P1415" s="3">
        <v>2.52</v>
      </c>
      <c r="Q1415" s="2">
        <v>2.2999999999999998</v>
      </c>
      <c r="R1415" s="3">
        <v>2.2999999999999998</v>
      </c>
      <c r="S1415" s="3" t="str">
        <f>IF(Table1[[#This Row],[CGPA]]&gt;=3,"High",IF(R1414&gt;=2,"Medium","Low"))</f>
        <v>Medium</v>
      </c>
      <c r="T1415" s="2" t="s">
        <v>2</v>
      </c>
      <c r="U1415" s="2" t="s">
        <v>8</v>
      </c>
      <c r="V1415" s="2" t="s">
        <v>15</v>
      </c>
      <c r="W1415" s="7">
        <v>0</v>
      </c>
      <c r="X1415" t="str">
        <f t="shared" si="45"/>
        <v>Active</v>
      </c>
    </row>
    <row r="1416" spans="1:24" x14ac:dyDescent="0.3">
      <c r="A1416" s="2">
        <v>1415</v>
      </c>
      <c r="B1416" s="7">
        <v>19.600000000000001</v>
      </c>
      <c r="C1416" s="2" t="s">
        <v>11</v>
      </c>
      <c r="D1416" s="7">
        <f>IF(ISBLANK('Raw sheet'!D1416),AVERAGE('Raw sheet'!$D$2:'Raw sheet'!$D$1500),'Raw sheet'!D1416)</f>
        <v>25000</v>
      </c>
      <c r="E1416" s="7" t="str">
        <f>IF(Table1[[#This Row],[Family_Income]]&gt;=100000,"Upper",IF(D1416&gt;=50000,"Middle","Lower"))</f>
        <v>Lower</v>
      </c>
      <c r="F1416" s="2" t="s">
        <v>3</v>
      </c>
      <c r="G1416" s="3">
        <f>IF(ISBLANK('Raw sheet'!F1416),AVERAGE('Raw sheet'!$F$2:'Raw sheet'!$F$1500),'Raw sheet'!F1416)</f>
        <v>2.77</v>
      </c>
      <c r="H1416" s="18">
        <v>84.5</v>
      </c>
      <c r="I1416" s="9" t="str">
        <f t="shared" si="44"/>
        <v>Good</v>
      </c>
      <c r="J1416" s="2">
        <v>1</v>
      </c>
      <c r="K1416" s="2">
        <v>34.5</v>
      </c>
      <c r="L1416" s="2" t="s">
        <v>3</v>
      </c>
      <c r="M1416" s="2" t="s">
        <v>3</v>
      </c>
      <c r="N1416" s="5">
        <f>IF(ISBLANK('Raw sheet'!L1416),AVERAGE('Raw sheet'!$L$2:'Raw sheet'!$L$1500),'Raw sheet'!L1416)</f>
        <v>8.1</v>
      </c>
      <c r="O1416" s="5" t="str">
        <f>IF(Table1[[#This Row],[Stress_Index]]&gt;=8,"High",IF(N1416&gt;=5,"Medium","Low"))</f>
        <v>High</v>
      </c>
      <c r="P1416" s="3">
        <v>1.26</v>
      </c>
      <c r="Q1416" s="2">
        <v>1.82</v>
      </c>
      <c r="R1416" s="3">
        <v>1.76</v>
      </c>
      <c r="S1416" s="3" t="str">
        <f>IF(Table1[[#This Row],[CGPA]]&gt;=3,"High",IF(R1415&gt;=2,"Medium","Low"))</f>
        <v>Medium</v>
      </c>
      <c r="T1416" s="2" t="s">
        <v>7</v>
      </c>
      <c r="U1416" s="2" t="s">
        <v>13</v>
      </c>
      <c r="V1416" s="2" t="s">
        <v>9</v>
      </c>
      <c r="W1416" s="7">
        <v>0</v>
      </c>
      <c r="X1416" t="str">
        <f t="shared" si="45"/>
        <v>Active</v>
      </c>
    </row>
    <row r="1417" spans="1:24" x14ac:dyDescent="0.3">
      <c r="A1417" s="2">
        <v>1416</v>
      </c>
      <c r="B1417" s="7">
        <v>23</v>
      </c>
      <c r="C1417" s="2" t="s">
        <v>5</v>
      </c>
      <c r="D1417" s="7">
        <f>IF(ISBLANK('Raw sheet'!D1417),AVERAGE('Raw sheet'!$D$2:'Raw sheet'!$D$1500),'Raw sheet'!D1417)</f>
        <v>25000</v>
      </c>
      <c r="E1417" s="7" t="str">
        <f>IF(Table1[[#This Row],[Family_Income]]&gt;=100000,"Upper",IF(D1417&gt;=50000,"Middle","Lower"))</f>
        <v>Lower</v>
      </c>
      <c r="F1417" s="2" t="s">
        <v>4</v>
      </c>
      <c r="G1417" s="3">
        <f>IF(ISBLANK('Raw sheet'!F1417),AVERAGE('Raw sheet'!$F$2:'Raw sheet'!$F$1500),'Raw sheet'!F1417)</f>
        <v>3.26</v>
      </c>
      <c r="H1417" s="18">
        <v>78.3</v>
      </c>
      <c r="I1417" s="9" t="str">
        <f t="shared" si="44"/>
        <v>Good</v>
      </c>
      <c r="J1417" s="2">
        <v>3</v>
      </c>
      <c r="K1417" s="2">
        <v>31.5</v>
      </c>
      <c r="L1417" s="2" t="s">
        <v>4</v>
      </c>
      <c r="M1417" s="2" t="s">
        <v>3</v>
      </c>
      <c r="N1417" s="5">
        <f>IF(ISBLANK('Raw sheet'!L1417),AVERAGE('Raw sheet'!$L$2:'Raw sheet'!$L$1500),'Raw sheet'!L1417)</f>
        <v>6.2</v>
      </c>
      <c r="O1417" s="5" t="str">
        <f>IF(Table1[[#This Row],[Stress_Index]]&gt;=8,"High",IF(N1417&gt;=5,"Medium","Low"))</f>
        <v>Medium</v>
      </c>
      <c r="P1417" s="3">
        <v>2.4500000000000002</v>
      </c>
      <c r="Q1417" s="2">
        <v>2.5299999999999998</v>
      </c>
      <c r="R1417" s="3">
        <v>2.5099999999999998</v>
      </c>
      <c r="S1417" s="3" t="str">
        <f>IF(Table1[[#This Row],[CGPA]]&gt;=3,"High",IF(R1416&gt;=2,"Medium","Low"))</f>
        <v>Low</v>
      </c>
      <c r="T1417" s="2" t="s">
        <v>7</v>
      </c>
      <c r="U1417" s="2" t="s">
        <v>8</v>
      </c>
      <c r="V1417" s="2" t="s">
        <v>9</v>
      </c>
      <c r="W1417" s="7">
        <v>0</v>
      </c>
      <c r="X1417" t="str">
        <f t="shared" si="45"/>
        <v>Active</v>
      </c>
    </row>
    <row r="1418" spans="1:24" x14ac:dyDescent="0.3">
      <c r="A1418" s="2">
        <v>1417</v>
      </c>
      <c r="B1418" s="7">
        <v>21.1</v>
      </c>
      <c r="C1418" s="2" t="s">
        <v>5</v>
      </c>
      <c r="D1418" s="7">
        <f>IF(ISBLANK('Raw sheet'!D1418),AVERAGE('Raw sheet'!$D$2:'Raw sheet'!$D$1500),'Raw sheet'!D1418)</f>
        <v>25000</v>
      </c>
      <c r="E1418" s="7" t="str">
        <f>IF(Table1[[#This Row],[Family_Income]]&gt;=100000,"Upper",IF(D1418&gt;=50000,"Middle","Lower"))</f>
        <v>Lower</v>
      </c>
      <c r="F1418" s="2" t="s">
        <v>4</v>
      </c>
      <c r="G1418" s="3">
        <f>IF(ISBLANK('Raw sheet'!F1418),AVERAGE('Raw sheet'!$F$2:'Raw sheet'!$F$1500),'Raw sheet'!F1418)</f>
        <v>4.33</v>
      </c>
      <c r="H1418" s="18">
        <v>87.2</v>
      </c>
      <c r="I1418" s="9" t="str">
        <f t="shared" si="44"/>
        <v>Good</v>
      </c>
      <c r="J1418" s="2">
        <v>2</v>
      </c>
      <c r="K1418" s="2">
        <v>24.5</v>
      </c>
      <c r="L1418" s="2" t="s">
        <v>3</v>
      </c>
      <c r="M1418" s="2" t="s">
        <v>3</v>
      </c>
      <c r="N1418" s="5">
        <f>IF(ISBLANK('Raw sheet'!L1418),AVERAGE('Raw sheet'!$L$2:'Raw sheet'!$L$1500),'Raw sheet'!L1418)</f>
        <v>4.8</v>
      </c>
      <c r="O1418" s="5" t="str">
        <f>IF(Table1[[#This Row],[Stress_Index]]&gt;=8,"High",IF(N1418&gt;=5,"Medium","Low"))</f>
        <v>Low</v>
      </c>
      <c r="P1418" s="3">
        <v>2.96</v>
      </c>
      <c r="Q1418" s="2">
        <v>2.94</v>
      </c>
      <c r="R1418" s="3">
        <v>2.9</v>
      </c>
      <c r="S1418" s="3" t="str">
        <f>IF(Table1[[#This Row],[CGPA]]&gt;=3,"High",IF(R1417&gt;=2,"Medium","Low"))</f>
        <v>Medium</v>
      </c>
      <c r="T1418" s="2" t="s">
        <v>10</v>
      </c>
      <c r="U1418" s="2" t="s">
        <v>1</v>
      </c>
      <c r="V1418" s="2" t="s">
        <v>0</v>
      </c>
      <c r="W1418" s="7">
        <v>1</v>
      </c>
      <c r="X1418" t="str">
        <f t="shared" si="45"/>
        <v>Dropped Out</v>
      </c>
    </row>
    <row r="1419" spans="1:24" x14ac:dyDescent="0.3">
      <c r="A1419" s="2">
        <v>1418</v>
      </c>
      <c r="B1419" s="7">
        <v>21.6</v>
      </c>
      <c r="C1419" s="2" t="s">
        <v>5</v>
      </c>
      <c r="D1419" s="7">
        <f>IF(ISBLANK('Raw sheet'!D1419),AVERAGE('Raw sheet'!$D$2:'Raw sheet'!$D$1500),'Raw sheet'!D1419)</f>
        <v>55110</v>
      </c>
      <c r="E1419" s="7" t="str">
        <f>IF(Table1[[#This Row],[Family_Income]]&gt;=100000,"Upper",IF(D1419&gt;=50000,"Middle","Lower"))</f>
        <v>Middle</v>
      </c>
      <c r="F1419" s="2" t="s">
        <v>4</v>
      </c>
      <c r="G1419" s="3">
        <f>IF(ISBLANK('Raw sheet'!F1419),AVERAGE('Raw sheet'!$F$2:'Raw sheet'!$F$1500),'Raw sheet'!F1419)</f>
        <v>2.84</v>
      </c>
      <c r="H1419" s="18">
        <v>78.8</v>
      </c>
      <c r="I1419" s="9" t="str">
        <f t="shared" si="44"/>
        <v>Good</v>
      </c>
      <c r="J1419" s="2">
        <v>3</v>
      </c>
      <c r="K1419" s="2">
        <v>14.8</v>
      </c>
      <c r="L1419" s="2" t="s">
        <v>4</v>
      </c>
      <c r="M1419" s="2" t="s">
        <v>3</v>
      </c>
      <c r="N1419" s="5">
        <f>IF(ISBLANK('Raw sheet'!L1419),AVERAGE('Raw sheet'!$L$2:'Raw sheet'!$L$1500),'Raw sheet'!L1419)</f>
        <v>5.9</v>
      </c>
      <c r="O1419" s="5" t="str">
        <f>IF(Table1[[#This Row],[Stress_Index]]&gt;=8,"High",IF(N1419&gt;=5,"Medium","Low"))</f>
        <v>Medium</v>
      </c>
      <c r="P1419" s="3">
        <v>0.05</v>
      </c>
      <c r="Q1419" s="2">
        <v>0.17</v>
      </c>
      <c r="R1419" s="3">
        <v>0.15</v>
      </c>
      <c r="S1419" s="3" t="str">
        <f>IF(Table1[[#This Row],[CGPA]]&gt;=3,"High",IF(R1418&gt;=2,"Medium","Low"))</f>
        <v>Medium</v>
      </c>
      <c r="T1419" s="2" t="s">
        <v>12</v>
      </c>
      <c r="U1419" s="2" t="s">
        <v>14</v>
      </c>
      <c r="V1419" s="2" t="s">
        <v>15</v>
      </c>
      <c r="W1419" s="7">
        <v>0</v>
      </c>
      <c r="X1419" t="str">
        <f t="shared" si="45"/>
        <v>Active</v>
      </c>
    </row>
    <row r="1420" spans="1:24" x14ac:dyDescent="0.3">
      <c r="A1420" s="2">
        <v>1419</v>
      </c>
      <c r="B1420" s="7">
        <v>24.4</v>
      </c>
      <c r="C1420" s="2" t="s">
        <v>11</v>
      </c>
      <c r="D1420" s="7">
        <f>IF(ISBLANK('Raw sheet'!D1420),AVERAGE('Raw sheet'!$D$2:'Raw sheet'!$D$1500),'Raw sheet'!D1420)</f>
        <v>32595</v>
      </c>
      <c r="E1420" s="7" t="str">
        <f>IF(Table1[[#This Row],[Family_Income]]&gt;=100000,"Upper",IF(D1420&gt;=50000,"Middle","Lower"))</f>
        <v>Lower</v>
      </c>
      <c r="F1420" s="2" t="s">
        <v>4</v>
      </c>
      <c r="G1420" s="3">
        <f>IF(ISBLANK('Raw sheet'!F1420),AVERAGE('Raw sheet'!$F$2:'Raw sheet'!$F$1500),'Raw sheet'!F1420)</f>
        <v>3.95</v>
      </c>
      <c r="H1420" s="18">
        <v>95.5</v>
      </c>
      <c r="I1420" s="9" t="str">
        <f t="shared" si="44"/>
        <v>Good</v>
      </c>
      <c r="J1420" s="2">
        <v>2</v>
      </c>
      <c r="K1420" s="2">
        <v>26.8</v>
      </c>
      <c r="L1420" s="2" t="s">
        <v>3</v>
      </c>
      <c r="M1420" s="2" t="s">
        <v>3</v>
      </c>
      <c r="N1420" s="5">
        <f>IF(ISBLANK('Raw sheet'!L1420),AVERAGE('Raw sheet'!$L$2:'Raw sheet'!$L$1500),'Raw sheet'!L1420)</f>
        <v>5.7</v>
      </c>
      <c r="O1420" s="5" t="str">
        <f>IF(Table1[[#This Row],[Stress_Index]]&gt;=8,"High",IF(N1420&gt;=5,"Medium","Low"))</f>
        <v>Medium</v>
      </c>
      <c r="P1420" s="3">
        <v>2.82</v>
      </c>
      <c r="Q1420" s="2">
        <v>2.94</v>
      </c>
      <c r="R1420" s="3">
        <v>2.92</v>
      </c>
      <c r="S1420" s="3" t="str">
        <f>IF(Table1[[#This Row],[CGPA]]&gt;=3,"High",IF(R1419&gt;=2,"Medium","Low"))</f>
        <v>Low</v>
      </c>
      <c r="T1420" s="2" t="s">
        <v>10</v>
      </c>
      <c r="U1420" s="2" t="s">
        <v>1</v>
      </c>
      <c r="V1420" s="2" t="s">
        <v>9</v>
      </c>
      <c r="W1420" s="7">
        <v>0</v>
      </c>
      <c r="X1420" t="str">
        <f t="shared" si="45"/>
        <v>Active</v>
      </c>
    </row>
    <row r="1421" spans="1:24" x14ac:dyDescent="0.3">
      <c r="A1421" s="2">
        <v>1420</v>
      </c>
      <c r="B1421" s="7">
        <v>22.1</v>
      </c>
      <c r="C1421" s="2" t="s">
        <v>5</v>
      </c>
      <c r="D1421" s="7">
        <f>IF(ISBLANK('Raw sheet'!D1421),AVERAGE('Raw sheet'!$D$2:'Raw sheet'!$D$1500),'Raw sheet'!D1421)</f>
        <v>68147</v>
      </c>
      <c r="E1421" s="7" t="str">
        <f>IF(Table1[[#This Row],[Family_Income]]&gt;=100000,"Upper",IF(D1421&gt;=50000,"Middle","Lower"))</f>
        <v>Middle</v>
      </c>
      <c r="F1421" s="2" t="s">
        <v>4</v>
      </c>
      <c r="G1421" s="3">
        <f>IF(ISBLANK('Raw sheet'!F1421),AVERAGE('Raw sheet'!$F$2:'Raw sheet'!$F$1500),'Raw sheet'!F1421)</f>
        <v>4.45</v>
      </c>
      <c r="H1421" s="18">
        <v>83.8</v>
      </c>
      <c r="I1421" s="9" t="str">
        <f t="shared" si="44"/>
        <v>Good</v>
      </c>
      <c r="J1421" s="2">
        <v>1</v>
      </c>
      <c r="K1421" s="2">
        <v>32.6</v>
      </c>
      <c r="L1421" s="2" t="s">
        <v>3</v>
      </c>
      <c r="M1421" s="2" t="s">
        <v>3</v>
      </c>
      <c r="N1421" s="5">
        <f>IF(ISBLANK('Raw sheet'!L1421),AVERAGE('Raw sheet'!$L$2:'Raw sheet'!$L$1500),'Raw sheet'!L1421)</f>
        <v>4.7</v>
      </c>
      <c r="O1421" s="5" t="str">
        <f>IF(Table1[[#This Row],[Stress_Index]]&gt;=8,"High",IF(N1421&gt;=5,"Medium","Low"))</f>
        <v>Low</v>
      </c>
      <c r="P1421" s="3">
        <v>2.5</v>
      </c>
      <c r="Q1421" s="2">
        <v>2.2799999999999998</v>
      </c>
      <c r="R1421" s="3">
        <v>2.3199999999999998</v>
      </c>
      <c r="S1421" s="3" t="str">
        <f>IF(Table1[[#This Row],[CGPA]]&gt;=3,"High",IF(R1420&gt;=2,"Medium","Low"))</f>
        <v>Medium</v>
      </c>
      <c r="T1421" s="2" t="s">
        <v>7</v>
      </c>
      <c r="U1421" s="2" t="s">
        <v>13</v>
      </c>
      <c r="V1421" s="2" t="s">
        <v>0</v>
      </c>
      <c r="W1421" s="7">
        <v>0</v>
      </c>
      <c r="X1421" t="str">
        <f t="shared" si="45"/>
        <v>Active</v>
      </c>
    </row>
    <row r="1422" spans="1:24" x14ac:dyDescent="0.3">
      <c r="A1422" s="2">
        <v>1421</v>
      </c>
      <c r="B1422" s="7">
        <v>22.2</v>
      </c>
      <c r="C1422" s="2" t="s">
        <v>5</v>
      </c>
      <c r="D1422" s="7">
        <f>IF(ISBLANK('Raw sheet'!D1422),AVERAGE('Raw sheet'!$D$2:'Raw sheet'!$D$1500),'Raw sheet'!D1422)</f>
        <v>25000</v>
      </c>
      <c r="E1422" s="7" t="str">
        <f>IF(Table1[[#This Row],[Family_Income]]&gt;=100000,"Upper",IF(D1422&gt;=50000,"Middle","Lower"))</f>
        <v>Lower</v>
      </c>
      <c r="F1422" s="2" t="s">
        <v>4</v>
      </c>
      <c r="G1422" s="3">
        <f>IF(ISBLANK('Raw sheet'!F1422),AVERAGE('Raw sheet'!$F$2:'Raw sheet'!$F$1500),'Raw sheet'!F1422)</f>
        <v>4.97</v>
      </c>
      <c r="H1422" s="18">
        <v>76.599999999999994</v>
      </c>
      <c r="I1422" s="9" t="str">
        <f t="shared" si="44"/>
        <v>Good</v>
      </c>
      <c r="J1422" s="2">
        <v>0</v>
      </c>
      <c r="K1422" s="2">
        <v>14.3</v>
      </c>
      <c r="L1422" s="2" t="s">
        <v>4</v>
      </c>
      <c r="M1422" s="2" t="s">
        <v>3</v>
      </c>
      <c r="N1422" s="5">
        <f>IF(ISBLANK('Raw sheet'!L1422),AVERAGE('Raw sheet'!$L$2:'Raw sheet'!$L$1500),'Raw sheet'!L1422)</f>
        <v>5.6</v>
      </c>
      <c r="O1422" s="5" t="str">
        <f>IF(Table1[[#This Row],[Stress_Index]]&gt;=8,"High",IF(N1422&gt;=5,"Medium","Low"))</f>
        <v>Medium</v>
      </c>
      <c r="P1422" s="3">
        <v>2.88</v>
      </c>
      <c r="Q1422" s="2">
        <v>2.65</v>
      </c>
      <c r="R1422" s="3">
        <v>2.65</v>
      </c>
      <c r="S1422" s="3" t="str">
        <f>IF(Table1[[#This Row],[CGPA]]&gt;=3,"High",IF(R1421&gt;=2,"Medium","Low"))</f>
        <v>Medium</v>
      </c>
      <c r="T1422" s="2" t="s">
        <v>2</v>
      </c>
      <c r="U1422" s="2" t="s">
        <v>8</v>
      </c>
      <c r="V1422" s="2" t="s">
        <v>0</v>
      </c>
      <c r="W1422" s="7">
        <v>0</v>
      </c>
      <c r="X1422" t="str">
        <f t="shared" si="45"/>
        <v>Active</v>
      </c>
    </row>
    <row r="1423" spans="1:24" x14ac:dyDescent="0.3">
      <c r="A1423" s="2">
        <v>1422</v>
      </c>
      <c r="B1423" s="7">
        <v>23.4</v>
      </c>
      <c r="C1423" s="2" t="s">
        <v>11</v>
      </c>
      <c r="D1423" s="7">
        <f>IF(ISBLANK('Raw sheet'!D1423),AVERAGE('Raw sheet'!$D$2:'Raw sheet'!$D$1500),'Raw sheet'!D1423)</f>
        <v>50237</v>
      </c>
      <c r="E1423" s="7" t="str">
        <f>IF(Table1[[#This Row],[Family_Income]]&gt;=100000,"Upper",IF(D1423&gt;=50000,"Middle","Lower"))</f>
        <v>Middle</v>
      </c>
      <c r="F1423" s="2" t="s">
        <v>4</v>
      </c>
      <c r="G1423" s="3">
        <f>IF(ISBLANK('Raw sheet'!F1423),AVERAGE('Raw sheet'!$F$2:'Raw sheet'!$F$1500),'Raw sheet'!F1423)</f>
        <v>3.3</v>
      </c>
      <c r="H1423" s="18">
        <v>84.5</v>
      </c>
      <c r="I1423" s="9" t="str">
        <f t="shared" si="44"/>
        <v>Good</v>
      </c>
      <c r="J1423" s="2">
        <v>3</v>
      </c>
      <c r="K1423" s="2">
        <v>25.1</v>
      </c>
      <c r="L1423" s="2" t="s">
        <v>3</v>
      </c>
      <c r="M1423" s="2" t="s">
        <v>3</v>
      </c>
      <c r="N1423" s="5">
        <f>IF(ISBLANK('Raw sheet'!L1423),AVERAGE('Raw sheet'!$L$2:'Raw sheet'!$L$1500),'Raw sheet'!L1423)</f>
        <v>4</v>
      </c>
      <c r="O1423" s="5" t="str">
        <f>IF(Table1[[#This Row],[Stress_Index]]&gt;=8,"High",IF(N1423&gt;=5,"Medium","Low"))</f>
        <v>Low</v>
      </c>
      <c r="P1423" s="3">
        <v>2.62</v>
      </c>
      <c r="Q1423" s="2">
        <v>2.81</v>
      </c>
      <c r="R1423" s="3">
        <v>2.81</v>
      </c>
      <c r="S1423" s="3" t="str">
        <f>IF(Table1[[#This Row],[CGPA]]&gt;=3,"High",IF(R1422&gt;=2,"Medium","Low"))</f>
        <v>Medium</v>
      </c>
      <c r="T1423" s="2" t="s">
        <v>2</v>
      </c>
      <c r="U1423" s="2" t="s">
        <v>13</v>
      </c>
      <c r="V1423" s="2" t="s">
        <v>9</v>
      </c>
      <c r="W1423" s="7">
        <v>0</v>
      </c>
      <c r="X1423" t="str">
        <f t="shared" si="45"/>
        <v>Active</v>
      </c>
    </row>
    <row r="1424" spans="1:24" x14ac:dyDescent="0.3">
      <c r="A1424" s="2">
        <v>1423</v>
      </c>
      <c r="B1424" s="7">
        <v>20.2</v>
      </c>
      <c r="C1424" s="2" t="s">
        <v>11</v>
      </c>
      <c r="D1424" s="7">
        <f>IF(ISBLANK('Raw sheet'!D1424),AVERAGE('Raw sheet'!$D$2:'Raw sheet'!$D$1500),'Raw sheet'!D1424)</f>
        <v>163370</v>
      </c>
      <c r="E1424" s="7" t="str">
        <f>IF(Table1[[#This Row],[Family_Income]]&gt;=100000,"Upper",IF(D1424&gt;=50000,"Middle","Lower"))</f>
        <v>Upper</v>
      </c>
      <c r="F1424" s="2" t="s">
        <v>4</v>
      </c>
      <c r="G1424" s="3">
        <f>IF(ISBLANK('Raw sheet'!F1424),AVERAGE('Raw sheet'!$F$2:'Raw sheet'!$F$1500),'Raw sheet'!F1424)</f>
        <v>3.49</v>
      </c>
      <c r="H1424" s="18">
        <v>89.9</v>
      </c>
      <c r="I1424" s="9" t="str">
        <f t="shared" si="44"/>
        <v>Good</v>
      </c>
      <c r="J1424" s="2">
        <v>1</v>
      </c>
      <c r="K1424" s="2">
        <v>34.6</v>
      </c>
      <c r="L1424" s="2" t="s">
        <v>3</v>
      </c>
      <c r="M1424" s="2" t="s">
        <v>4</v>
      </c>
      <c r="N1424" s="5">
        <f>IF(ISBLANK('Raw sheet'!L1424),AVERAGE('Raw sheet'!$L$2:'Raw sheet'!$L$1500),'Raw sheet'!L1424)</f>
        <v>3.7</v>
      </c>
      <c r="O1424" s="5" t="str">
        <f>IF(Table1[[#This Row],[Stress_Index]]&gt;=8,"High",IF(N1424&gt;=5,"Medium","Low"))</f>
        <v>Low</v>
      </c>
      <c r="P1424" s="3">
        <v>2.93</v>
      </c>
      <c r="Q1424" s="2">
        <v>2.62</v>
      </c>
      <c r="R1424" s="3">
        <v>2.61</v>
      </c>
      <c r="S1424" s="3" t="str">
        <f>IF(Table1[[#This Row],[CGPA]]&gt;=3,"High",IF(R1423&gt;=2,"Medium","Low"))</f>
        <v>Medium</v>
      </c>
      <c r="T1424" s="2" t="s">
        <v>7</v>
      </c>
      <c r="U1424" s="2" t="s">
        <v>8</v>
      </c>
      <c r="V1424" s="2" t="s">
        <v>9</v>
      </c>
      <c r="W1424" s="7">
        <v>0</v>
      </c>
      <c r="X1424" t="str">
        <f t="shared" si="45"/>
        <v>Active</v>
      </c>
    </row>
    <row r="1425" spans="1:24" x14ac:dyDescent="0.3">
      <c r="A1425" s="2">
        <v>1424</v>
      </c>
      <c r="B1425" s="7">
        <v>19.2</v>
      </c>
      <c r="C1425" s="2" t="s">
        <v>5</v>
      </c>
      <c r="D1425" s="7">
        <f>IF(ISBLANK('Raw sheet'!D1425),AVERAGE('Raw sheet'!$D$2:'Raw sheet'!$D$1500),'Raw sheet'!D1425)</f>
        <v>36813</v>
      </c>
      <c r="E1425" s="7" t="str">
        <f>IF(Table1[[#This Row],[Family_Income]]&gt;=100000,"Upper",IF(D1425&gt;=50000,"Middle","Lower"))</f>
        <v>Lower</v>
      </c>
      <c r="F1425" s="2" t="s">
        <v>3</v>
      </c>
      <c r="G1425" s="3">
        <f>IF(ISBLANK('Raw sheet'!F1425),AVERAGE('Raw sheet'!$F$2:'Raw sheet'!$F$1500),'Raw sheet'!F1425)</f>
        <v>4.26</v>
      </c>
      <c r="H1425" s="18">
        <v>69.400000000000006</v>
      </c>
      <c r="I1425" s="9" t="str">
        <f t="shared" si="44"/>
        <v>Low</v>
      </c>
      <c r="J1425" s="2">
        <v>1</v>
      </c>
      <c r="K1425" s="2">
        <v>39.5</v>
      </c>
      <c r="L1425" s="2" t="s">
        <v>3</v>
      </c>
      <c r="M1425" s="2" t="s">
        <v>4</v>
      </c>
      <c r="N1425" s="5">
        <f>IF(ISBLANK('Raw sheet'!L1425),AVERAGE('Raw sheet'!$L$2:'Raw sheet'!$L$1500),'Raw sheet'!L1425)</f>
        <v>6.5</v>
      </c>
      <c r="O1425" s="5" t="str">
        <f>IF(Table1[[#This Row],[Stress_Index]]&gt;=8,"High",IF(N1425&gt;=5,"Medium","Low"))</f>
        <v>Medium</v>
      </c>
      <c r="P1425" s="3">
        <v>4</v>
      </c>
      <c r="Q1425" s="2">
        <v>3.79</v>
      </c>
      <c r="R1425" s="3">
        <v>3.79</v>
      </c>
      <c r="S1425" s="3" t="str">
        <f>IF(Table1[[#This Row],[CGPA]]&gt;=3,"High",IF(R1424&gt;=2,"Medium","Low"))</f>
        <v>High</v>
      </c>
      <c r="T1425" s="2" t="s">
        <v>2</v>
      </c>
      <c r="U1425" s="2" t="s">
        <v>1</v>
      </c>
      <c r="V1425" s="2" t="s">
        <v>9</v>
      </c>
      <c r="W1425" s="7">
        <v>0</v>
      </c>
      <c r="X1425" t="str">
        <f t="shared" si="45"/>
        <v>Active</v>
      </c>
    </row>
    <row r="1426" spans="1:24" x14ac:dyDescent="0.3">
      <c r="A1426" s="2">
        <v>1425</v>
      </c>
      <c r="B1426" s="7">
        <v>18.7</v>
      </c>
      <c r="C1426" s="2" t="s">
        <v>5</v>
      </c>
      <c r="D1426" s="7">
        <f>IF(ISBLANK('Raw sheet'!D1426),AVERAGE('Raw sheet'!$D$2:'Raw sheet'!$D$1500),'Raw sheet'!D1426)</f>
        <v>49861</v>
      </c>
      <c r="E1426" s="7" t="str">
        <f>IF(Table1[[#This Row],[Family_Income]]&gt;=100000,"Upper",IF(D1426&gt;=50000,"Middle","Lower"))</f>
        <v>Lower</v>
      </c>
      <c r="F1426" s="2" t="s">
        <v>4</v>
      </c>
      <c r="G1426" s="3">
        <f>IF(ISBLANK('Raw sheet'!F1426),AVERAGE('Raw sheet'!$F$2:'Raw sheet'!$F$1500),'Raw sheet'!F1426)</f>
        <v>3.05</v>
      </c>
      <c r="H1426" s="18">
        <v>92.1</v>
      </c>
      <c r="I1426" s="9" t="str">
        <f t="shared" si="44"/>
        <v>Good</v>
      </c>
      <c r="J1426" s="2">
        <v>2</v>
      </c>
      <c r="K1426" s="2">
        <v>26.6</v>
      </c>
      <c r="L1426" s="2" t="s">
        <v>3</v>
      </c>
      <c r="M1426" s="2" t="s">
        <v>4</v>
      </c>
      <c r="N1426" s="5">
        <f>IF(ISBLANK('Raw sheet'!L1426),AVERAGE('Raw sheet'!$L$2:'Raw sheet'!$L$1500),'Raw sheet'!L1426)</f>
        <v>4.8</v>
      </c>
      <c r="O1426" s="5" t="str">
        <f>IF(Table1[[#This Row],[Stress_Index]]&gt;=8,"High",IF(N1426&gt;=5,"Medium","Low"))</f>
        <v>Low</v>
      </c>
      <c r="P1426" s="3">
        <v>2.44</v>
      </c>
      <c r="Q1426" s="2">
        <v>2.2200000000000002</v>
      </c>
      <c r="R1426" s="3">
        <v>2.2599999999999998</v>
      </c>
      <c r="S1426" s="3" t="str">
        <f>IF(Table1[[#This Row],[CGPA]]&gt;=3,"High",IF(R1425&gt;=2,"Medium","Low"))</f>
        <v>Medium</v>
      </c>
      <c r="T1426" s="2" t="s">
        <v>12</v>
      </c>
      <c r="U1426" s="2" t="s">
        <v>8</v>
      </c>
      <c r="V1426" s="2" t="s">
        <v>0</v>
      </c>
      <c r="W1426" s="7">
        <v>0</v>
      </c>
      <c r="X1426" t="str">
        <f t="shared" si="45"/>
        <v>Active</v>
      </c>
    </row>
    <row r="1427" spans="1:24" x14ac:dyDescent="0.3">
      <c r="A1427" s="2">
        <v>1426</v>
      </c>
      <c r="B1427" s="7">
        <v>17</v>
      </c>
      <c r="C1427" s="2" t="s">
        <v>11</v>
      </c>
      <c r="D1427" s="7">
        <f>IF(ISBLANK('Raw sheet'!D1427),AVERAGE('Raw sheet'!$D$2:'Raw sheet'!$D$1500),'Raw sheet'!D1427)</f>
        <v>45076</v>
      </c>
      <c r="E1427" s="7" t="str">
        <f>IF(Table1[[#This Row],[Family_Income]]&gt;=100000,"Upper",IF(D1427&gt;=50000,"Middle","Lower"))</f>
        <v>Lower</v>
      </c>
      <c r="F1427" s="2" t="s">
        <v>4</v>
      </c>
      <c r="G1427" s="3">
        <f>IF(ISBLANK('Raw sheet'!F1427),AVERAGE('Raw sheet'!$F$2:'Raw sheet'!$F$1500),'Raw sheet'!F1427)</f>
        <v>2.2000000000000002</v>
      </c>
      <c r="H1427" s="18">
        <v>84.7</v>
      </c>
      <c r="I1427" s="9" t="str">
        <f t="shared" si="44"/>
        <v>Good</v>
      </c>
      <c r="J1427" s="2">
        <v>0</v>
      </c>
      <c r="K1427" s="2">
        <v>20.399999999999999</v>
      </c>
      <c r="L1427" s="2" t="s">
        <v>3</v>
      </c>
      <c r="M1427" s="2" t="s">
        <v>4</v>
      </c>
      <c r="N1427" s="5">
        <f>IF(ISBLANK('Raw sheet'!L1427),AVERAGE('Raw sheet'!$L$2:'Raw sheet'!$L$1500),'Raw sheet'!L1427)</f>
        <v>5.5</v>
      </c>
      <c r="O1427" s="5" t="str">
        <f>IF(Table1[[#This Row],[Stress_Index]]&gt;=8,"High",IF(N1427&gt;=5,"Medium","Low"))</f>
        <v>Medium</v>
      </c>
      <c r="P1427" s="3">
        <v>3.92</v>
      </c>
      <c r="Q1427" s="2">
        <v>4</v>
      </c>
      <c r="R1427" s="3">
        <v>4</v>
      </c>
      <c r="S1427" s="3" t="str">
        <f>IF(Table1[[#This Row],[CGPA]]&gt;=3,"High",IF(R1426&gt;=2,"Medium","Low"))</f>
        <v>High</v>
      </c>
      <c r="T1427" s="2" t="s">
        <v>7</v>
      </c>
      <c r="U1427" s="2" t="s">
        <v>6</v>
      </c>
      <c r="V1427" s="2" t="s">
        <v>0</v>
      </c>
      <c r="W1427" s="7">
        <v>0</v>
      </c>
      <c r="X1427" t="str">
        <f t="shared" si="45"/>
        <v>Active</v>
      </c>
    </row>
    <row r="1428" spans="1:24" x14ac:dyDescent="0.3">
      <c r="A1428" s="2">
        <v>1427</v>
      </c>
      <c r="B1428" s="7">
        <v>25.5</v>
      </c>
      <c r="C1428" s="2" t="s">
        <v>11</v>
      </c>
      <c r="D1428" s="7">
        <f>IF(ISBLANK('Raw sheet'!D1428),AVERAGE('Raw sheet'!$D$2:'Raw sheet'!$D$1500),'Raw sheet'!D1428)</f>
        <v>25000</v>
      </c>
      <c r="E1428" s="7" t="str">
        <f>IF(Table1[[#This Row],[Family_Income]]&gt;=100000,"Upper",IF(D1428&gt;=50000,"Middle","Lower"))</f>
        <v>Lower</v>
      </c>
      <c r="F1428" s="2" t="s">
        <v>4</v>
      </c>
      <c r="G1428" s="3">
        <f>IF(ISBLANK('Raw sheet'!F1428),AVERAGE('Raw sheet'!$F$2:'Raw sheet'!$F$1500),'Raw sheet'!F1428)</f>
        <v>4.46</v>
      </c>
      <c r="H1428" s="18">
        <v>81.8</v>
      </c>
      <c r="I1428" s="9" t="str">
        <f t="shared" si="44"/>
        <v>Good</v>
      </c>
      <c r="J1428" s="2">
        <v>0</v>
      </c>
      <c r="K1428" s="2">
        <v>31.4</v>
      </c>
      <c r="L1428" s="2" t="s">
        <v>4</v>
      </c>
      <c r="M1428" s="2" t="s">
        <v>3</v>
      </c>
      <c r="N1428" s="5">
        <f>IF(ISBLANK('Raw sheet'!L1428),AVERAGE('Raw sheet'!$L$2:'Raw sheet'!$L$1500),'Raw sheet'!L1428)</f>
        <v>4.0999999999999996</v>
      </c>
      <c r="O1428" s="5" t="str">
        <f>IF(Table1[[#This Row],[Stress_Index]]&gt;=8,"High",IF(N1428&gt;=5,"Medium","Low"))</f>
        <v>Low</v>
      </c>
      <c r="P1428" s="3">
        <v>2.71</v>
      </c>
      <c r="Q1428" s="2">
        <v>2.71</v>
      </c>
      <c r="R1428" s="3">
        <v>2.73</v>
      </c>
      <c r="S1428" s="3" t="str">
        <f>IF(Table1[[#This Row],[CGPA]]&gt;=3,"High",IF(R1427&gt;=2,"Medium","Low"))</f>
        <v>Medium</v>
      </c>
      <c r="T1428" s="2" t="s">
        <v>10</v>
      </c>
      <c r="U1428" s="2" t="s">
        <v>6</v>
      </c>
      <c r="V1428" s="2" t="s">
        <v>15</v>
      </c>
      <c r="W1428" s="7">
        <v>0</v>
      </c>
      <c r="X1428" t="str">
        <f t="shared" si="45"/>
        <v>Active</v>
      </c>
    </row>
    <row r="1429" spans="1:24" x14ac:dyDescent="0.3">
      <c r="A1429" s="2">
        <v>1428</v>
      </c>
      <c r="B1429" s="7">
        <v>18.600000000000001</v>
      </c>
      <c r="C1429" s="2" t="s">
        <v>11</v>
      </c>
      <c r="D1429" s="7">
        <f>IF(ISBLANK('Raw sheet'!D1429),AVERAGE('Raw sheet'!$D$2:'Raw sheet'!$D$1500),'Raw sheet'!D1429)</f>
        <v>42256</v>
      </c>
      <c r="E1429" s="7" t="str">
        <f>IF(Table1[[#This Row],[Family_Income]]&gt;=100000,"Upper",IF(D1429&gt;=50000,"Middle","Lower"))</f>
        <v>Lower</v>
      </c>
      <c r="F1429" s="2" t="s">
        <v>4</v>
      </c>
      <c r="G1429" s="3">
        <f>IF(ISBLANK('Raw sheet'!F1429),AVERAGE('Raw sheet'!$F$2:'Raw sheet'!$F$1500),'Raw sheet'!F1429)</f>
        <v>3.66</v>
      </c>
      <c r="H1429" s="18">
        <v>76.5</v>
      </c>
      <c r="I1429" s="9" t="str">
        <f t="shared" si="44"/>
        <v>Good</v>
      </c>
      <c r="J1429" s="2">
        <v>1</v>
      </c>
      <c r="K1429" s="2">
        <v>27.5</v>
      </c>
      <c r="L1429" s="2" t="s">
        <v>3</v>
      </c>
      <c r="M1429" s="2" t="s">
        <v>3</v>
      </c>
      <c r="N1429" s="5">
        <f>IF(ISBLANK('Raw sheet'!L1429),AVERAGE('Raw sheet'!$L$2:'Raw sheet'!$L$1500),'Raw sheet'!L1429)</f>
        <v>4.5</v>
      </c>
      <c r="O1429" s="5" t="str">
        <f>IF(Table1[[#This Row],[Stress_Index]]&gt;=8,"High",IF(N1429&gt;=5,"Medium","Low"))</f>
        <v>Low</v>
      </c>
      <c r="P1429" s="3">
        <v>1.82</v>
      </c>
      <c r="Q1429" s="2">
        <v>1.85</v>
      </c>
      <c r="R1429" s="3">
        <v>1.85</v>
      </c>
      <c r="S1429" s="3" t="str">
        <f>IF(Table1[[#This Row],[CGPA]]&gt;=3,"High",IF(R1428&gt;=2,"Medium","Low"))</f>
        <v>Medium</v>
      </c>
      <c r="T1429" s="2" t="s">
        <v>12</v>
      </c>
      <c r="U1429" s="2" t="s">
        <v>13</v>
      </c>
      <c r="V1429" s="2" t="s">
        <v>15</v>
      </c>
      <c r="W1429" s="7">
        <v>0</v>
      </c>
      <c r="X1429" t="str">
        <f t="shared" si="45"/>
        <v>Active</v>
      </c>
    </row>
    <row r="1430" spans="1:24" x14ac:dyDescent="0.3">
      <c r="A1430" s="2">
        <v>1429</v>
      </c>
      <c r="B1430" s="7">
        <v>20.5</v>
      </c>
      <c r="C1430" s="2" t="s">
        <v>11</v>
      </c>
      <c r="D1430" s="7">
        <f>IF(ISBLANK('Raw sheet'!D1430),AVERAGE('Raw sheet'!$D$2:'Raw sheet'!$D$1500),'Raw sheet'!D1430)</f>
        <v>35735</v>
      </c>
      <c r="E1430" s="7" t="str">
        <f>IF(Table1[[#This Row],[Family_Income]]&gt;=100000,"Upper",IF(D1430&gt;=50000,"Middle","Lower"))</f>
        <v>Lower</v>
      </c>
      <c r="F1430" s="2" t="s">
        <v>4</v>
      </c>
      <c r="G1430" s="3">
        <f>IF(ISBLANK('Raw sheet'!F1430),AVERAGE('Raw sheet'!$F$2:'Raw sheet'!$F$1500),'Raw sheet'!F1430)</f>
        <v>4.7</v>
      </c>
      <c r="H1430" s="18">
        <v>84.8</v>
      </c>
      <c r="I1430" s="9" t="str">
        <f t="shared" si="44"/>
        <v>Good</v>
      </c>
      <c r="J1430" s="2">
        <v>1</v>
      </c>
      <c r="K1430" s="2">
        <v>12.4</v>
      </c>
      <c r="L1430" s="2" t="s">
        <v>3</v>
      </c>
      <c r="M1430" s="2" t="s">
        <v>3</v>
      </c>
      <c r="N1430" s="5">
        <f>IF(ISBLANK('Raw sheet'!L1430),AVERAGE('Raw sheet'!$L$2:'Raw sheet'!$L$1500),'Raw sheet'!L1430)</f>
        <v>4.5999999999999996</v>
      </c>
      <c r="O1430" s="5" t="str">
        <f>IF(Table1[[#This Row],[Stress_Index]]&gt;=8,"High",IF(N1430&gt;=5,"Medium","Low"))</f>
        <v>Low</v>
      </c>
      <c r="P1430" s="3">
        <v>2.97</v>
      </c>
      <c r="Q1430" s="2">
        <v>2.81</v>
      </c>
      <c r="R1430" s="3">
        <v>2.81</v>
      </c>
      <c r="S1430" s="3" t="str">
        <f>IF(Table1[[#This Row],[CGPA]]&gt;=3,"High",IF(R1429&gt;=2,"Medium","Low"))</f>
        <v>Low</v>
      </c>
      <c r="T1430" s="2" t="s">
        <v>10</v>
      </c>
      <c r="U1430" s="2" t="s">
        <v>6</v>
      </c>
      <c r="V1430" s="2" t="s">
        <v>9</v>
      </c>
      <c r="W1430" s="7">
        <v>1</v>
      </c>
      <c r="X1430" t="str">
        <f t="shared" si="45"/>
        <v>Dropped Out</v>
      </c>
    </row>
    <row r="1431" spans="1:24" x14ac:dyDescent="0.3">
      <c r="A1431" s="2">
        <v>1430</v>
      </c>
      <c r="B1431" s="7">
        <v>20.399999999999999</v>
      </c>
      <c r="C1431" s="2" t="s">
        <v>11</v>
      </c>
      <c r="D1431" s="7">
        <f>IF(ISBLANK('Raw sheet'!D1431),AVERAGE('Raw sheet'!$D$2:'Raw sheet'!$D$1500),'Raw sheet'!D1431)</f>
        <v>25442</v>
      </c>
      <c r="E1431" s="7" t="str">
        <f>IF(Table1[[#This Row],[Family_Income]]&gt;=100000,"Upper",IF(D1431&gt;=50000,"Middle","Lower"))</f>
        <v>Lower</v>
      </c>
      <c r="F1431" s="2" t="s">
        <v>4</v>
      </c>
      <c r="G1431" s="3">
        <f>IF(ISBLANK('Raw sheet'!F1431),AVERAGE('Raw sheet'!$F$2:'Raw sheet'!$F$1500),'Raw sheet'!F1431)</f>
        <v>3.26</v>
      </c>
      <c r="H1431" s="18">
        <v>74.900000000000006</v>
      </c>
      <c r="I1431" s="9" t="str">
        <f t="shared" si="44"/>
        <v>Low</v>
      </c>
      <c r="J1431" s="2">
        <v>4</v>
      </c>
      <c r="K1431" s="2">
        <v>24.6</v>
      </c>
      <c r="L1431" s="2" t="s">
        <v>3</v>
      </c>
      <c r="M1431" s="2" t="s">
        <v>4</v>
      </c>
      <c r="N1431" s="5">
        <f>IF(ISBLANK('Raw sheet'!L1431),AVERAGE('Raw sheet'!$L$2:'Raw sheet'!$L$1500),'Raw sheet'!L1431)</f>
        <v>4.4000000000000004</v>
      </c>
      <c r="O1431" s="5" t="str">
        <f>IF(Table1[[#This Row],[Stress_Index]]&gt;=8,"High",IF(N1431&gt;=5,"Medium","Low"))</f>
        <v>Low</v>
      </c>
      <c r="P1431" s="3">
        <v>2.33</v>
      </c>
      <c r="Q1431" s="2">
        <v>2.71</v>
      </c>
      <c r="R1431" s="3">
        <v>2.64</v>
      </c>
      <c r="S1431" s="3" t="str">
        <f>IF(Table1[[#This Row],[CGPA]]&gt;=3,"High",IF(R1430&gt;=2,"Medium","Low"))</f>
        <v>Medium</v>
      </c>
      <c r="T1431" s="2" t="s">
        <v>12</v>
      </c>
      <c r="U1431" s="2" t="s">
        <v>8</v>
      </c>
      <c r="V1431" s="2" t="s">
        <v>0</v>
      </c>
      <c r="W1431" s="7">
        <v>0</v>
      </c>
      <c r="X1431" t="str">
        <f t="shared" si="45"/>
        <v>Active</v>
      </c>
    </row>
    <row r="1432" spans="1:24" x14ac:dyDescent="0.3">
      <c r="A1432" s="2">
        <v>1431</v>
      </c>
      <c r="B1432" s="7">
        <v>21.7</v>
      </c>
      <c r="C1432" s="2" t="s">
        <v>11</v>
      </c>
      <c r="D1432" s="7">
        <f>IF(ISBLANK('Raw sheet'!D1432),AVERAGE('Raw sheet'!$D$2:'Raw sheet'!$D$1500),'Raw sheet'!D1432)</f>
        <v>25000</v>
      </c>
      <c r="E1432" s="7" t="str">
        <f>IF(Table1[[#This Row],[Family_Income]]&gt;=100000,"Upper",IF(D1432&gt;=50000,"Middle","Lower"))</f>
        <v>Lower</v>
      </c>
      <c r="F1432" s="2" t="s">
        <v>3</v>
      </c>
      <c r="G1432" s="3">
        <f>IF(ISBLANK('Raw sheet'!F1432),AVERAGE('Raw sheet'!$F$2:'Raw sheet'!$F$1500),'Raw sheet'!F1432)</f>
        <v>4.1100000000000003</v>
      </c>
      <c r="H1432" s="18">
        <v>66.099999999999994</v>
      </c>
      <c r="I1432" s="9" t="str">
        <f t="shared" si="44"/>
        <v>Low</v>
      </c>
      <c r="J1432" s="2">
        <v>0</v>
      </c>
      <c r="K1432" s="2">
        <v>22.9</v>
      </c>
      <c r="L1432" s="2" t="s">
        <v>4</v>
      </c>
      <c r="M1432" s="2" t="s">
        <v>3</v>
      </c>
      <c r="N1432" s="5">
        <f>IF(ISBLANK('Raw sheet'!L1432),AVERAGE('Raw sheet'!$L$2:'Raw sheet'!$L$1500),'Raw sheet'!L1432)</f>
        <v>4.8</v>
      </c>
      <c r="O1432" s="5" t="str">
        <f>IF(Table1[[#This Row],[Stress_Index]]&gt;=8,"High",IF(N1432&gt;=5,"Medium","Low"))</f>
        <v>Low</v>
      </c>
      <c r="P1432" s="3">
        <v>1.87</v>
      </c>
      <c r="Q1432" s="2">
        <v>1.45</v>
      </c>
      <c r="R1432" s="3">
        <v>1.46</v>
      </c>
      <c r="S1432" s="3" t="str">
        <f>IF(Table1[[#This Row],[CGPA]]&gt;=3,"High",IF(R1431&gt;=2,"Medium","Low"))</f>
        <v>Medium</v>
      </c>
      <c r="T1432" s="2" t="s">
        <v>12</v>
      </c>
      <c r="U1432" s="2" t="s">
        <v>6</v>
      </c>
      <c r="V1432" s="2" t="s">
        <v>15</v>
      </c>
      <c r="W1432" s="7">
        <v>0</v>
      </c>
      <c r="X1432" t="str">
        <f t="shared" si="45"/>
        <v>Active</v>
      </c>
    </row>
    <row r="1433" spans="1:24" x14ac:dyDescent="0.3">
      <c r="A1433" s="2">
        <v>1432</v>
      </c>
      <c r="B1433" s="7">
        <v>22.8</v>
      </c>
      <c r="C1433" s="2" t="s">
        <v>11</v>
      </c>
      <c r="D1433" s="7">
        <f>IF(ISBLANK('Raw sheet'!D1433),AVERAGE('Raw sheet'!$D$2:'Raw sheet'!$D$1500),'Raw sheet'!D1433)</f>
        <v>45089</v>
      </c>
      <c r="E1433" s="7" t="str">
        <f>IF(Table1[[#This Row],[Family_Income]]&gt;=100000,"Upper",IF(D1433&gt;=50000,"Middle","Lower"))</f>
        <v>Lower</v>
      </c>
      <c r="F1433" s="2" t="s">
        <v>3</v>
      </c>
      <c r="G1433" s="3">
        <f>IF(ISBLANK('Raw sheet'!F1433),AVERAGE('Raw sheet'!$F$2:'Raw sheet'!$F$1500),'Raw sheet'!F1433)</f>
        <v>1.65</v>
      </c>
      <c r="H1433" s="18">
        <v>76.3</v>
      </c>
      <c r="I1433" s="9" t="str">
        <f t="shared" si="44"/>
        <v>Good</v>
      </c>
      <c r="J1433" s="2">
        <v>1</v>
      </c>
      <c r="K1433" s="2">
        <v>30.3</v>
      </c>
      <c r="L1433" s="2" t="s">
        <v>4</v>
      </c>
      <c r="M1433" s="2" t="s">
        <v>4</v>
      </c>
      <c r="N1433" s="5">
        <f>IF(ISBLANK('Raw sheet'!L1433),AVERAGE('Raw sheet'!$L$2:'Raw sheet'!$L$1500),'Raw sheet'!L1433)</f>
        <v>5.9</v>
      </c>
      <c r="O1433" s="5" t="str">
        <f>IF(Table1[[#This Row],[Stress_Index]]&gt;=8,"High",IF(N1433&gt;=5,"Medium","Low"))</f>
        <v>Medium</v>
      </c>
      <c r="P1433" s="3">
        <v>1.9</v>
      </c>
      <c r="Q1433" s="2">
        <v>2.0499999999999998</v>
      </c>
      <c r="R1433" s="3">
        <v>2.0699999999999998</v>
      </c>
      <c r="S1433" s="3" t="str">
        <f>IF(Table1[[#This Row],[CGPA]]&gt;=3,"High",IF(R1432&gt;=2,"Medium","Low"))</f>
        <v>Low</v>
      </c>
      <c r="T1433" s="2" t="s">
        <v>12</v>
      </c>
      <c r="U1433" s="2" t="s">
        <v>1</v>
      </c>
      <c r="V1433" s="2" t="s">
        <v>15</v>
      </c>
      <c r="W1433" s="7">
        <v>1</v>
      </c>
      <c r="X1433" t="str">
        <f t="shared" si="45"/>
        <v>Dropped Out</v>
      </c>
    </row>
    <row r="1434" spans="1:24" x14ac:dyDescent="0.3">
      <c r="A1434" s="2">
        <v>1433</v>
      </c>
      <c r="B1434" s="7">
        <v>22.9</v>
      </c>
      <c r="C1434" s="2" t="s">
        <v>11</v>
      </c>
      <c r="D1434" s="7">
        <f>IF(ISBLANK('Raw sheet'!D1434),AVERAGE('Raw sheet'!$D$2:'Raw sheet'!$D$1500),'Raw sheet'!D1434)</f>
        <v>25000</v>
      </c>
      <c r="E1434" s="7" t="str">
        <f>IF(Table1[[#This Row],[Family_Income]]&gt;=100000,"Upper",IF(D1434&gt;=50000,"Middle","Lower"))</f>
        <v>Lower</v>
      </c>
      <c r="F1434" s="2" t="s">
        <v>4</v>
      </c>
      <c r="G1434" s="3">
        <f>IF(ISBLANK('Raw sheet'!F1434),AVERAGE('Raw sheet'!$F$2:'Raw sheet'!$F$1500),'Raw sheet'!F1434)</f>
        <v>4.79</v>
      </c>
      <c r="H1434" s="18">
        <v>79.8</v>
      </c>
      <c r="I1434" s="9" t="str">
        <f t="shared" si="44"/>
        <v>Good</v>
      </c>
      <c r="J1434" s="2">
        <v>0</v>
      </c>
      <c r="K1434" s="2">
        <v>21.2</v>
      </c>
      <c r="L1434" s="2" t="s">
        <v>4</v>
      </c>
      <c r="M1434" s="2" t="s">
        <v>4</v>
      </c>
      <c r="N1434" s="5">
        <f>IF(ISBLANK('Raw sheet'!L1434),AVERAGE('Raw sheet'!$L$2:'Raw sheet'!$L$1500),'Raw sheet'!L1434)</f>
        <v>8</v>
      </c>
      <c r="O1434" s="5" t="str">
        <f>IF(Table1[[#This Row],[Stress_Index]]&gt;=8,"High",IF(N1434&gt;=5,"Medium","Low"))</f>
        <v>High</v>
      </c>
      <c r="P1434" s="3">
        <v>0.42</v>
      </c>
      <c r="Q1434" s="2">
        <v>0.21</v>
      </c>
      <c r="R1434" s="3">
        <v>0.21</v>
      </c>
      <c r="S1434" s="3" t="str">
        <f>IF(Table1[[#This Row],[CGPA]]&gt;=3,"High",IF(R1433&gt;=2,"Medium","Low"))</f>
        <v>Medium</v>
      </c>
      <c r="T1434" s="2" t="s">
        <v>12</v>
      </c>
      <c r="U1434" s="2" t="s">
        <v>1</v>
      </c>
      <c r="V1434" s="2" t="s">
        <v>9</v>
      </c>
      <c r="W1434" s="7">
        <v>0</v>
      </c>
      <c r="X1434" t="str">
        <f t="shared" si="45"/>
        <v>Active</v>
      </c>
    </row>
    <row r="1435" spans="1:24" x14ac:dyDescent="0.3">
      <c r="A1435" s="2">
        <v>1434</v>
      </c>
      <c r="B1435" s="7">
        <v>19.7</v>
      </c>
      <c r="C1435" s="2" t="s">
        <v>11</v>
      </c>
      <c r="D1435" s="7">
        <f>IF(ISBLANK('Raw sheet'!D1435),AVERAGE('Raw sheet'!$D$2:'Raw sheet'!$D$1500),'Raw sheet'!D1435)</f>
        <v>106958</v>
      </c>
      <c r="E1435" s="7" t="str">
        <f>IF(Table1[[#This Row],[Family_Income]]&gt;=100000,"Upper",IF(D1435&gt;=50000,"Middle","Lower"))</f>
        <v>Upper</v>
      </c>
      <c r="F1435" s="2" t="s">
        <v>4</v>
      </c>
      <c r="G1435" s="3">
        <f>IF(ISBLANK('Raw sheet'!F1435),AVERAGE('Raw sheet'!$F$2:'Raw sheet'!$F$1500),'Raw sheet'!F1435)</f>
        <v>3.3</v>
      </c>
      <c r="H1435" s="18">
        <v>86.9</v>
      </c>
      <c r="I1435" s="9" t="str">
        <f t="shared" si="44"/>
        <v>Good</v>
      </c>
      <c r="J1435" s="2">
        <v>0</v>
      </c>
      <c r="K1435" s="2">
        <v>23.4</v>
      </c>
      <c r="L1435" s="2" t="s">
        <v>4</v>
      </c>
      <c r="M1435" s="2" t="s">
        <v>3</v>
      </c>
      <c r="N1435" s="5">
        <f>IF(ISBLANK('Raw sheet'!L1435),AVERAGE('Raw sheet'!$L$2:'Raw sheet'!$L$1500),'Raw sheet'!L1435)</f>
        <v>6.9</v>
      </c>
      <c r="O1435" s="5" t="str">
        <f>IF(Table1[[#This Row],[Stress_Index]]&gt;=8,"High",IF(N1435&gt;=5,"Medium","Low"))</f>
        <v>Medium</v>
      </c>
      <c r="P1435" s="3">
        <v>3.42</v>
      </c>
      <c r="Q1435" s="2">
        <v>3.45</v>
      </c>
      <c r="R1435" s="3">
        <v>3.45</v>
      </c>
      <c r="S1435" s="3" t="str">
        <f>IF(Table1[[#This Row],[CGPA]]&gt;=3,"High",IF(R1434&gt;=2,"Medium","Low"))</f>
        <v>High</v>
      </c>
      <c r="T1435" s="2" t="s">
        <v>2</v>
      </c>
      <c r="U1435" s="2" t="s">
        <v>1</v>
      </c>
      <c r="V1435" s="2" t="s">
        <v>15</v>
      </c>
      <c r="W1435" s="7">
        <v>0</v>
      </c>
      <c r="X1435" t="str">
        <f t="shared" si="45"/>
        <v>Active</v>
      </c>
    </row>
    <row r="1436" spans="1:24" x14ac:dyDescent="0.3">
      <c r="A1436" s="2">
        <v>1435</v>
      </c>
      <c r="B1436" s="7">
        <v>20.6</v>
      </c>
      <c r="C1436" s="2" t="s">
        <v>5</v>
      </c>
      <c r="D1436" s="7">
        <f>IF(ISBLANK('Raw sheet'!D1436),AVERAGE('Raw sheet'!$D$2:'Raw sheet'!$D$1500),'Raw sheet'!D1436)</f>
        <v>31841</v>
      </c>
      <c r="E1436" s="7" t="str">
        <f>IF(Table1[[#This Row],[Family_Income]]&gt;=100000,"Upper",IF(D1436&gt;=50000,"Middle","Lower"))</f>
        <v>Lower</v>
      </c>
      <c r="F1436" s="2" t="s">
        <v>4</v>
      </c>
      <c r="G1436" s="3">
        <f>IF(ISBLANK('Raw sheet'!F1436),AVERAGE('Raw sheet'!$F$2:'Raw sheet'!$F$1500),'Raw sheet'!F1436)</f>
        <v>3.82</v>
      </c>
      <c r="H1436" s="18">
        <v>80.2</v>
      </c>
      <c r="I1436" s="9" t="str">
        <f t="shared" si="44"/>
        <v>Good</v>
      </c>
      <c r="J1436" s="2">
        <v>0</v>
      </c>
      <c r="K1436" s="2">
        <v>27.8</v>
      </c>
      <c r="L1436" s="2" t="s">
        <v>4</v>
      </c>
      <c r="M1436" s="2" t="s">
        <v>3</v>
      </c>
      <c r="N1436" s="5">
        <f>IF(ISBLANK('Raw sheet'!L1436),AVERAGE('Raw sheet'!$L$2:'Raw sheet'!$L$1500),'Raw sheet'!L1436)</f>
        <v>4.9000000000000004</v>
      </c>
      <c r="O1436" s="5" t="str">
        <f>IF(Table1[[#This Row],[Stress_Index]]&gt;=8,"High",IF(N1436&gt;=5,"Medium","Low"))</f>
        <v>Low</v>
      </c>
      <c r="P1436" s="3">
        <v>2.7</v>
      </c>
      <c r="Q1436" s="2">
        <v>2.93</v>
      </c>
      <c r="R1436" s="3">
        <v>2.96</v>
      </c>
      <c r="S1436" s="3" t="str">
        <f>IF(Table1[[#This Row],[CGPA]]&gt;=3,"High",IF(R1435&gt;=2,"Medium","Low"))</f>
        <v>Medium</v>
      </c>
      <c r="T1436" s="2" t="s">
        <v>12</v>
      </c>
      <c r="U1436" s="2" t="s">
        <v>1</v>
      </c>
      <c r="V1436" s="2" t="s">
        <v>0</v>
      </c>
      <c r="W1436" s="7">
        <v>0</v>
      </c>
      <c r="X1436" t="str">
        <f t="shared" si="45"/>
        <v>Active</v>
      </c>
    </row>
    <row r="1437" spans="1:24" x14ac:dyDescent="0.3">
      <c r="A1437" s="2">
        <v>1436</v>
      </c>
      <c r="B1437" s="7">
        <v>21.6</v>
      </c>
      <c r="C1437" s="2" t="s">
        <v>5</v>
      </c>
      <c r="D1437" s="7">
        <f>IF(ISBLANK('Raw sheet'!D1437),AVERAGE('Raw sheet'!$D$2:'Raw sheet'!$D$1500),'Raw sheet'!D1437)</f>
        <v>25000</v>
      </c>
      <c r="E1437" s="7" t="str">
        <f>IF(Table1[[#This Row],[Family_Income]]&gt;=100000,"Upper",IF(D1437&gt;=50000,"Middle","Lower"))</f>
        <v>Lower</v>
      </c>
      <c r="F1437" s="2" t="s">
        <v>3</v>
      </c>
      <c r="G1437" s="3">
        <f>IF(ISBLANK('Raw sheet'!F1437),AVERAGE('Raw sheet'!$F$2:'Raw sheet'!$F$1500),'Raw sheet'!F1437)</f>
        <v>3.8</v>
      </c>
      <c r="H1437" s="18">
        <v>72.8</v>
      </c>
      <c r="I1437" s="9" t="str">
        <f t="shared" si="44"/>
        <v>Low</v>
      </c>
      <c r="J1437" s="2">
        <v>2</v>
      </c>
      <c r="K1437" s="2">
        <v>37.700000000000003</v>
      </c>
      <c r="L1437" s="2" t="s">
        <v>3</v>
      </c>
      <c r="M1437" s="2" t="s">
        <v>3</v>
      </c>
      <c r="N1437" s="5">
        <f>IF(ISBLANK('Raw sheet'!L1437),AVERAGE('Raw sheet'!$L$2:'Raw sheet'!$L$1500),'Raw sheet'!L1437)</f>
        <v>4.4000000000000004</v>
      </c>
      <c r="O1437" s="5" t="str">
        <f>IF(Table1[[#This Row],[Stress_Index]]&gt;=8,"High",IF(N1437&gt;=5,"Medium","Low"))</f>
        <v>Low</v>
      </c>
      <c r="P1437" s="3">
        <v>2.85</v>
      </c>
      <c r="Q1437" s="2">
        <v>2.59</v>
      </c>
      <c r="R1437" s="3">
        <v>2.59</v>
      </c>
      <c r="S1437" s="3" t="str">
        <f>IF(Table1[[#This Row],[CGPA]]&gt;=3,"High",IF(R1436&gt;=2,"Medium","Low"))</f>
        <v>Medium</v>
      </c>
      <c r="T1437" s="2" t="s">
        <v>7</v>
      </c>
      <c r="U1437" s="2" t="s">
        <v>13</v>
      </c>
      <c r="V1437" s="2" t="s">
        <v>9</v>
      </c>
      <c r="W1437" s="7">
        <v>0</v>
      </c>
      <c r="X1437" t="str">
        <f t="shared" si="45"/>
        <v>Active</v>
      </c>
    </row>
    <row r="1438" spans="1:24" x14ac:dyDescent="0.3">
      <c r="A1438" s="2">
        <v>1437</v>
      </c>
      <c r="B1438" s="7">
        <v>20.5</v>
      </c>
      <c r="C1438" s="2" t="s">
        <v>11</v>
      </c>
      <c r="D1438" s="7">
        <f>IF(ISBLANK('Raw sheet'!D1438),AVERAGE('Raw sheet'!$D$2:'Raw sheet'!$D$1500),'Raw sheet'!D1438)</f>
        <v>25000</v>
      </c>
      <c r="E1438" s="7" t="str">
        <f>IF(Table1[[#This Row],[Family_Income]]&gt;=100000,"Upper",IF(D1438&gt;=50000,"Middle","Lower"))</f>
        <v>Lower</v>
      </c>
      <c r="F1438" s="2" t="s">
        <v>4</v>
      </c>
      <c r="G1438" s="3">
        <f>IF(ISBLANK('Raw sheet'!F1438),AVERAGE('Raw sheet'!$F$2:'Raw sheet'!$F$1500),'Raw sheet'!F1438)</f>
        <v>3.55</v>
      </c>
      <c r="H1438" s="18">
        <v>76.7</v>
      </c>
      <c r="I1438" s="9" t="str">
        <f t="shared" si="44"/>
        <v>Good</v>
      </c>
      <c r="J1438" s="2">
        <v>1</v>
      </c>
      <c r="K1438" s="2">
        <v>31.1</v>
      </c>
      <c r="L1438" s="2" t="s">
        <v>3</v>
      </c>
      <c r="M1438" s="2" t="s">
        <v>4</v>
      </c>
      <c r="N1438" s="5">
        <f>IF(ISBLANK('Raw sheet'!L1438),AVERAGE('Raw sheet'!$L$2:'Raw sheet'!$L$1500),'Raw sheet'!L1438)</f>
        <v>2.2999999999999998</v>
      </c>
      <c r="O1438" s="5" t="str">
        <f>IF(Table1[[#This Row],[Stress_Index]]&gt;=8,"High",IF(N1438&gt;=5,"Medium","Low"))</f>
        <v>Low</v>
      </c>
      <c r="P1438" s="3">
        <v>1.86</v>
      </c>
      <c r="Q1438" s="2">
        <v>2.0499999999999998</v>
      </c>
      <c r="R1438" s="3">
        <v>1.96</v>
      </c>
      <c r="S1438" s="3" t="str">
        <f>IF(Table1[[#This Row],[CGPA]]&gt;=3,"High",IF(R1437&gt;=2,"Medium","Low"))</f>
        <v>Medium</v>
      </c>
      <c r="T1438" s="2" t="s">
        <v>10</v>
      </c>
      <c r="U1438" s="2" t="s">
        <v>6</v>
      </c>
      <c r="V1438" s="2" t="s">
        <v>9</v>
      </c>
      <c r="W1438" s="7">
        <v>0</v>
      </c>
      <c r="X1438" t="str">
        <f t="shared" si="45"/>
        <v>Active</v>
      </c>
    </row>
    <row r="1439" spans="1:24" x14ac:dyDescent="0.3">
      <c r="A1439" s="2">
        <v>1438</v>
      </c>
      <c r="B1439" s="7">
        <v>24.5</v>
      </c>
      <c r="C1439" s="2" t="s">
        <v>5</v>
      </c>
      <c r="D1439" s="7">
        <f>IF(ISBLANK('Raw sheet'!D1439),AVERAGE('Raw sheet'!$D$2:'Raw sheet'!$D$1500),'Raw sheet'!D1439)</f>
        <v>25163</v>
      </c>
      <c r="E1439" s="7" t="str">
        <f>IF(Table1[[#This Row],[Family_Income]]&gt;=100000,"Upper",IF(D1439&gt;=50000,"Middle","Lower"))</f>
        <v>Lower</v>
      </c>
      <c r="F1439" s="2" t="s">
        <v>4</v>
      </c>
      <c r="G1439" s="3">
        <f>IF(ISBLANK('Raw sheet'!F1439),AVERAGE('Raw sheet'!$F$2:'Raw sheet'!$F$1500),'Raw sheet'!F1439)</f>
        <v>4.08</v>
      </c>
      <c r="H1439" s="18">
        <v>82.2</v>
      </c>
      <c r="I1439" s="9" t="str">
        <f t="shared" si="44"/>
        <v>Good</v>
      </c>
      <c r="J1439" s="2">
        <v>0</v>
      </c>
      <c r="K1439" s="2">
        <v>62</v>
      </c>
      <c r="L1439" s="2" t="s">
        <v>3</v>
      </c>
      <c r="M1439" s="2" t="s">
        <v>3</v>
      </c>
      <c r="N1439" s="5">
        <f>IF(ISBLANK('Raw sheet'!L1439),AVERAGE('Raw sheet'!$L$2:'Raw sheet'!$L$1500),'Raw sheet'!L1439)</f>
        <v>4.3</v>
      </c>
      <c r="O1439" s="5" t="str">
        <f>IF(Table1[[#This Row],[Stress_Index]]&gt;=8,"High",IF(N1439&gt;=5,"Medium","Low"))</f>
        <v>Low</v>
      </c>
      <c r="P1439" s="3">
        <v>2.62</v>
      </c>
      <c r="Q1439" s="2">
        <v>2.62</v>
      </c>
      <c r="R1439" s="3">
        <v>2.65</v>
      </c>
      <c r="S1439" s="3" t="str">
        <f>IF(Table1[[#This Row],[CGPA]]&gt;=3,"High",IF(R1438&gt;=2,"Medium","Low"))</f>
        <v>Low</v>
      </c>
      <c r="T1439" s="2" t="s">
        <v>7</v>
      </c>
      <c r="U1439" s="2" t="s">
        <v>14</v>
      </c>
      <c r="V1439" s="2" t="s">
        <v>9</v>
      </c>
      <c r="W1439" s="7">
        <v>0</v>
      </c>
      <c r="X1439" t="str">
        <f t="shared" si="45"/>
        <v>Active</v>
      </c>
    </row>
    <row r="1440" spans="1:24" x14ac:dyDescent="0.3">
      <c r="A1440" s="2">
        <v>1439</v>
      </c>
      <c r="B1440" s="7">
        <v>22.1</v>
      </c>
      <c r="C1440" s="2" t="s">
        <v>11</v>
      </c>
      <c r="D1440" s="7">
        <f>IF(ISBLANK('Raw sheet'!D1440),AVERAGE('Raw sheet'!$D$2:'Raw sheet'!$D$1500),'Raw sheet'!D1440)</f>
        <v>126428</v>
      </c>
      <c r="E1440" s="7" t="str">
        <f>IF(Table1[[#This Row],[Family_Income]]&gt;=100000,"Upper",IF(D1440&gt;=50000,"Middle","Lower"))</f>
        <v>Upper</v>
      </c>
      <c r="F1440" s="2" t="s">
        <v>4</v>
      </c>
      <c r="G1440" s="3">
        <f>IF(ISBLANK('Raw sheet'!F1440),AVERAGE('Raw sheet'!$F$2:'Raw sheet'!$F$1500),'Raw sheet'!F1440)</f>
        <v>4.0199999999999996</v>
      </c>
      <c r="H1440" s="18">
        <v>87.2</v>
      </c>
      <c r="I1440" s="9" t="str">
        <f t="shared" si="44"/>
        <v>Good</v>
      </c>
      <c r="J1440" s="2">
        <v>3</v>
      </c>
      <c r="K1440" s="2">
        <v>14.8</v>
      </c>
      <c r="L1440" s="2" t="s">
        <v>3</v>
      </c>
      <c r="M1440" s="2" t="s">
        <v>3</v>
      </c>
      <c r="N1440" s="5">
        <f>IF(ISBLANK('Raw sheet'!L1440),AVERAGE('Raw sheet'!$L$2:'Raw sheet'!$L$1500),'Raw sheet'!L1440)</f>
        <v>3.5</v>
      </c>
      <c r="O1440" s="5" t="str">
        <f>IF(Table1[[#This Row],[Stress_Index]]&gt;=8,"High",IF(N1440&gt;=5,"Medium","Low"))</f>
        <v>Low</v>
      </c>
      <c r="P1440" s="3">
        <v>3.54</v>
      </c>
      <c r="Q1440" s="2">
        <v>3.26</v>
      </c>
      <c r="R1440" s="3">
        <v>3.26</v>
      </c>
      <c r="S1440" s="3" t="str">
        <f>IF(Table1[[#This Row],[CGPA]]&gt;=3,"High",IF(R1439&gt;=2,"Medium","Low"))</f>
        <v>High</v>
      </c>
      <c r="T1440" s="2" t="s">
        <v>2</v>
      </c>
      <c r="U1440" s="2" t="s">
        <v>13</v>
      </c>
      <c r="V1440" s="2" t="s">
        <v>15</v>
      </c>
      <c r="W1440" s="7">
        <v>0</v>
      </c>
      <c r="X1440" t="str">
        <f t="shared" si="45"/>
        <v>Active</v>
      </c>
    </row>
    <row r="1441" spans="1:24" x14ac:dyDescent="0.3">
      <c r="A1441" s="2">
        <v>1440</v>
      </c>
      <c r="B1441" s="7">
        <v>22.6</v>
      </c>
      <c r="C1441" s="2" t="s">
        <v>5</v>
      </c>
      <c r="D1441" s="7">
        <f>IF(ISBLANK('Raw sheet'!D1441),AVERAGE('Raw sheet'!$D$2:'Raw sheet'!$D$1500),'Raw sheet'!D1441)</f>
        <v>25000</v>
      </c>
      <c r="E1441" s="7" t="str">
        <f>IF(Table1[[#This Row],[Family_Income]]&gt;=100000,"Upper",IF(D1441&gt;=50000,"Middle","Lower"))</f>
        <v>Lower</v>
      </c>
      <c r="F1441" s="2" t="s">
        <v>4</v>
      </c>
      <c r="G1441" s="3">
        <f>IF(ISBLANK('Raw sheet'!F1441),AVERAGE('Raw sheet'!$F$2:'Raw sheet'!$F$1500),'Raw sheet'!F1441)</f>
        <v>4.29</v>
      </c>
      <c r="H1441" s="18">
        <v>88.5</v>
      </c>
      <c r="I1441" s="9" t="str">
        <f t="shared" si="44"/>
        <v>Good</v>
      </c>
      <c r="J1441" s="2">
        <v>2</v>
      </c>
      <c r="K1441" s="2">
        <v>40.9</v>
      </c>
      <c r="L1441" s="2" t="s">
        <v>4</v>
      </c>
      <c r="M1441" s="2" t="s">
        <v>3</v>
      </c>
      <c r="N1441" s="5">
        <f>IF(ISBLANK('Raw sheet'!L1441),AVERAGE('Raw sheet'!$L$2:'Raw sheet'!$L$1500),'Raw sheet'!L1441)</f>
        <v>5.6</v>
      </c>
      <c r="O1441" s="5" t="str">
        <f>IF(Table1[[#This Row],[Stress_Index]]&gt;=8,"High",IF(N1441&gt;=5,"Medium","Low"))</f>
        <v>Medium</v>
      </c>
      <c r="P1441" s="3">
        <v>0</v>
      </c>
      <c r="Q1441" s="2">
        <v>0.28999999999999998</v>
      </c>
      <c r="R1441" s="3">
        <v>0.32</v>
      </c>
      <c r="S1441" s="3" t="str">
        <f>IF(Table1[[#This Row],[CGPA]]&gt;=3,"High",IF(R1440&gt;=2,"Medium","Low"))</f>
        <v>Medium</v>
      </c>
      <c r="T1441" s="2" t="s">
        <v>10</v>
      </c>
      <c r="U1441" s="2" t="s">
        <v>14</v>
      </c>
      <c r="V1441" s="2" t="s">
        <v>15</v>
      </c>
      <c r="W1441" s="7">
        <v>0</v>
      </c>
      <c r="X1441" t="str">
        <f t="shared" si="45"/>
        <v>Active</v>
      </c>
    </row>
    <row r="1442" spans="1:24" x14ac:dyDescent="0.3">
      <c r="A1442" s="2">
        <v>1441</v>
      </c>
      <c r="B1442" s="7">
        <v>22.5</v>
      </c>
      <c r="C1442" s="2" t="s">
        <v>11</v>
      </c>
      <c r="D1442" s="7">
        <f>IF(ISBLANK('Raw sheet'!D1442),AVERAGE('Raw sheet'!$D$2:'Raw sheet'!$D$1500),'Raw sheet'!D1442)</f>
        <v>27730</v>
      </c>
      <c r="E1442" s="7" t="str">
        <f>IF(Table1[[#This Row],[Family_Income]]&gt;=100000,"Upper",IF(D1442&gt;=50000,"Middle","Lower"))</f>
        <v>Lower</v>
      </c>
      <c r="F1442" s="2" t="s">
        <v>4</v>
      </c>
      <c r="G1442" s="3">
        <f>IF(ISBLANK('Raw sheet'!F1442),AVERAGE('Raw sheet'!$F$2:'Raw sheet'!$F$1500),'Raw sheet'!F1442)</f>
        <v>2.36</v>
      </c>
      <c r="H1442" s="18">
        <v>71.099999999999994</v>
      </c>
      <c r="I1442" s="9" t="str">
        <f t="shared" si="44"/>
        <v>Low</v>
      </c>
      <c r="J1442" s="2">
        <v>3</v>
      </c>
      <c r="K1442" s="2">
        <v>29.1</v>
      </c>
      <c r="L1442" s="2" t="s">
        <v>3</v>
      </c>
      <c r="M1442" s="2" t="s">
        <v>3</v>
      </c>
      <c r="N1442" s="5">
        <f>IF(ISBLANK('Raw sheet'!L1442),AVERAGE('Raw sheet'!$L$2:'Raw sheet'!$L$1500),'Raw sheet'!L1442)</f>
        <v>8.5</v>
      </c>
      <c r="O1442" s="5" t="str">
        <f>IF(Table1[[#This Row],[Stress_Index]]&gt;=8,"High",IF(N1442&gt;=5,"Medium","Low"))</f>
        <v>High</v>
      </c>
      <c r="P1442" s="3">
        <v>0</v>
      </c>
      <c r="Q1442" s="2">
        <v>0</v>
      </c>
      <c r="R1442" s="3">
        <v>0</v>
      </c>
      <c r="S1442" s="3" t="str">
        <f>IF(Table1[[#This Row],[CGPA]]&gt;=3,"High",IF(R1441&gt;=2,"Medium","Low"))</f>
        <v>Low</v>
      </c>
      <c r="T1442" s="2" t="s">
        <v>2</v>
      </c>
      <c r="U1442" s="2" t="s">
        <v>13</v>
      </c>
      <c r="V1442" s="2" t="s">
        <v>9</v>
      </c>
      <c r="W1442" s="7">
        <v>1</v>
      </c>
      <c r="X1442" t="str">
        <f t="shared" si="45"/>
        <v>Dropped Out</v>
      </c>
    </row>
    <row r="1443" spans="1:24" x14ac:dyDescent="0.3">
      <c r="A1443" s="2">
        <v>1442</v>
      </c>
      <c r="B1443" s="7">
        <v>23.6</v>
      </c>
      <c r="C1443" s="2" t="s">
        <v>5</v>
      </c>
      <c r="D1443" s="7">
        <f>IF(ISBLANK('Raw sheet'!D1443),AVERAGE('Raw sheet'!$D$2:'Raw sheet'!$D$1500),'Raw sheet'!D1443)</f>
        <v>25000</v>
      </c>
      <c r="E1443" s="7" t="str">
        <f>IF(Table1[[#This Row],[Family_Income]]&gt;=100000,"Upper",IF(D1443&gt;=50000,"Middle","Lower"))</f>
        <v>Lower</v>
      </c>
      <c r="F1443" s="2" t="s">
        <v>4</v>
      </c>
      <c r="G1443" s="3">
        <f>IF(ISBLANK('Raw sheet'!F1443),AVERAGE('Raw sheet'!$F$2:'Raw sheet'!$F$1500),'Raw sheet'!F1443)</f>
        <v>5</v>
      </c>
      <c r="H1443" s="18">
        <v>82.4</v>
      </c>
      <c r="I1443" s="9" t="str">
        <f t="shared" si="44"/>
        <v>Good</v>
      </c>
      <c r="J1443" s="2">
        <v>3</v>
      </c>
      <c r="K1443" s="2">
        <v>13.3</v>
      </c>
      <c r="L1443" s="2" t="s">
        <v>3</v>
      </c>
      <c r="M1443" s="2" t="s">
        <v>4</v>
      </c>
      <c r="N1443" s="5">
        <f>IF(ISBLANK('Raw sheet'!L1443),AVERAGE('Raw sheet'!$L$2:'Raw sheet'!$L$1500),'Raw sheet'!L1443)</f>
        <v>4.8</v>
      </c>
      <c r="O1443" s="5" t="str">
        <f>IF(Table1[[#This Row],[Stress_Index]]&gt;=8,"High",IF(N1443&gt;=5,"Medium","Low"))</f>
        <v>Low</v>
      </c>
      <c r="P1443" s="3">
        <v>4</v>
      </c>
      <c r="Q1443" s="2">
        <v>3.66</v>
      </c>
      <c r="R1443" s="3">
        <v>3.63</v>
      </c>
      <c r="S1443" s="3" t="str">
        <f>IF(Table1[[#This Row],[CGPA]]&gt;=3,"High",IF(R1442&gt;=2,"Medium","Low"))</f>
        <v>High</v>
      </c>
      <c r="T1443" s="2" t="s">
        <v>10</v>
      </c>
      <c r="U1443" s="2" t="s">
        <v>14</v>
      </c>
      <c r="V1443" s="2" t="s">
        <v>15</v>
      </c>
      <c r="W1443" s="7">
        <v>0</v>
      </c>
      <c r="X1443" t="str">
        <f t="shared" si="45"/>
        <v>Active</v>
      </c>
    </row>
    <row r="1444" spans="1:24" x14ac:dyDescent="0.3">
      <c r="A1444" s="2">
        <v>1443</v>
      </c>
      <c r="B1444" s="7">
        <v>21.4</v>
      </c>
      <c r="C1444" s="2" t="s">
        <v>11</v>
      </c>
      <c r="D1444" s="7">
        <f>IF(ISBLANK('Raw sheet'!D1444),AVERAGE('Raw sheet'!$D$2:'Raw sheet'!$D$1500),'Raw sheet'!D1444)</f>
        <v>40117</v>
      </c>
      <c r="E1444" s="7" t="str">
        <f>IF(Table1[[#This Row],[Family_Income]]&gt;=100000,"Upper",IF(D1444&gt;=50000,"Middle","Lower"))</f>
        <v>Lower</v>
      </c>
      <c r="F1444" s="2" t="s">
        <v>4</v>
      </c>
      <c r="G1444" s="3">
        <f>IF(ISBLANK('Raw sheet'!F1444),AVERAGE('Raw sheet'!$F$2:'Raw sheet'!$F$1500),'Raw sheet'!F1444)</f>
        <v>3.84</v>
      </c>
      <c r="H1444" s="18">
        <v>88.2</v>
      </c>
      <c r="I1444" s="9" t="str">
        <f t="shared" si="44"/>
        <v>Good</v>
      </c>
      <c r="J1444" s="2">
        <v>2</v>
      </c>
      <c r="K1444" s="2">
        <v>25.5</v>
      </c>
      <c r="L1444" s="2" t="s">
        <v>3</v>
      </c>
      <c r="M1444" s="2" t="s">
        <v>3</v>
      </c>
      <c r="N1444" s="5">
        <f>IF(ISBLANK('Raw sheet'!L1444),AVERAGE('Raw sheet'!$L$2:'Raw sheet'!$L$1500),'Raw sheet'!L1444)</f>
        <v>2.9</v>
      </c>
      <c r="O1444" s="5" t="str">
        <f>IF(Table1[[#This Row],[Stress_Index]]&gt;=8,"High",IF(N1444&gt;=5,"Medium","Low"))</f>
        <v>Low</v>
      </c>
      <c r="P1444" s="3">
        <v>1.84</v>
      </c>
      <c r="Q1444" s="2">
        <v>2.2999999999999998</v>
      </c>
      <c r="R1444" s="3">
        <v>2.33</v>
      </c>
      <c r="S1444" s="3" t="str">
        <f>IF(Table1[[#This Row],[CGPA]]&gt;=3,"High",IF(R1443&gt;=2,"Medium","Low"))</f>
        <v>Medium</v>
      </c>
      <c r="T1444" s="2" t="s">
        <v>10</v>
      </c>
      <c r="U1444" s="2" t="s">
        <v>1</v>
      </c>
      <c r="V1444" s="2" t="s">
        <v>15</v>
      </c>
      <c r="W1444" s="7">
        <v>0</v>
      </c>
      <c r="X1444" t="str">
        <f t="shared" si="45"/>
        <v>Active</v>
      </c>
    </row>
    <row r="1445" spans="1:24" x14ac:dyDescent="0.3">
      <c r="A1445" s="2">
        <v>1444</v>
      </c>
      <c r="B1445" s="7">
        <v>18.100000000000001</v>
      </c>
      <c r="C1445" s="2" t="s">
        <v>11</v>
      </c>
      <c r="D1445" s="7">
        <f>IF(ISBLANK('Raw sheet'!D1445),AVERAGE('Raw sheet'!$D$2:'Raw sheet'!$D$1500),'Raw sheet'!D1445)</f>
        <v>25000</v>
      </c>
      <c r="E1445" s="7" t="str">
        <f>IF(Table1[[#This Row],[Family_Income]]&gt;=100000,"Upper",IF(D1445&gt;=50000,"Middle","Lower"))</f>
        <v>Lower</v>
      </c>
      <c r="F1445" s="2" t="s">
        <v>4</v>
      </c>
      <c r="G1445" s="3">
        <f>IF(ISBLANK('Raw sheet'!F1445),AVERAGE('Raw sheet'!$F$2:'Raw sheet'!$F$1500),'Raw sheet'!F1445)</f>
        <v>4.4400000000000004</v>
      </c>
      <c r="H1445" s="18">
        <v>75</v>
      </c>
      <c r="I1445" s="9" t="str">
        <f t="shared" si="44"/>
        <v>Good</v>
      </c>
      <c r="J1445" s="2">
        <v>1</v>
      </c>
      <c r="K1445" s="2">
        <v>11.8</v>
      </c>
      <c r="L1445" s="2" t="s">
        <v>4</v>
      </c>
      <c r="M1445" s="2" t="s">
        <v>3</v>
      </c>
      <c r="N1445" s="5">
        <f>IF(ISBLANK('Raw sheet'!L1445),AVERAGE('Raw sheet'!$L$2:'Raw sheet'!$L$1500),'Raw sheet'!L1445)</f>
        <v>5.0999999999999996</v>
      </c>
      <c r="O1445" s="5" t="str">
        <f>IF(Table1[[#This Row],[Stress_Index]]&gt;=8,"High",IF(N1445&gt;=5,"Medium","Low"))</f>
        <v>Medium</v>
      </c>
      <c r="P1445" s="3">
        <v>1.42</v>
      </c>
      <c r="Q1445" s="2">
        <v>1.26</v>
      </c>
      <c r="R1445" s="3">
        <v>1.27</v>
      </c>
      <c r="S1445" s="3" t="str">
        <f>IF(Table1[[#This Row],[CGPA]]&gt;=3,"High",IF(R1444&gt;=2,"Medium","Low"))</f>
        <v>Medium</v>
      </c>
      <c r="T1445" s="2" t="s">
        <v>12</v>
      </c>
      <c r="U1445" s="2" t="s">
        <v>6</v>
      </c>
      <c r="V1445" s="2" t="s">
        <v>15</v>
      </c>
      <c r="W1445" s="7">
        <v>1</v>
      </c>
      <c r="X1445" t="str">
        <f t="shared" si="45"/>
        <v>Dropped Out</v>
      </c>
    </row>
    <row r="1446" spans="1:24" x14ac:dyDescent="0.3">
      <c r="A1446" s="2">
        <v>1445</v>
      </c>
      <c r="B1446" s="7">
        <v>21.9</v>
      </c>
      <c r="C1446" s="2" t="s">
        <v>5</v>
      </c>
      <c r="D1446" s="7">
        <f>IF(ISBLANK('Raw sheet'!D1446),AVERAGE('Raw sheet'!$D$2:'Raw sheet'!$D$1500),'Raw sheet'!D1446)</f>
        <v>25000</v>
      </c>
      <c r="E1446" s="7" t="str">
        <f>IF(Table1[[#This Row],[Family_Income]]&gt;=100000,"Upper",IF(D1446&gt;=50000,"Middle","Lower"))</f>
        <v>Lower</v>
      </c>
      <c r="F1446" s="2" t="s">
        <v>4</v>
      </c>
      <c r="G1446" s="3">
        <f>IF(ISBLANK('Raw sheet'!F1446),AVERAGE('Raw sheet'!$F$2:'Raw sheet'!$F$1500),'Raw sheet'!F1446)</f>
        <v>3.83</v>
      </c>
      <c r="H1446" s="18">
        <v>96.4</v>
      </c>
      <c r="I1446" s="9" t="str">
        <f t="shared" si="44"/>
        <v>Good</v>
      </c>
      <c r="J1446" s="2">
        <v>0</v>
      </c>
      <c r="K1446" s="2">
        <v>31</v>
      </c>
      <c r="L1446" s="2" t="s">
        <v>3</v>
      </c>
      <c r="M1446" s="2" t="s">
        <v>3</v>
      </c>
      <c r="N1446" s="5">
        <f>IF(ISBLANK('Raw sheet'!L1446),AVERAGE('Raw sheet'!$L$2:'Raw sheet'!$L$1500),'Raw sheet'!L1446)</f>
        <v>4.7</v>
      </c>
      <c r="O1446" s="5" t="str">
        <f>IF(Table1[[#This Row],[Stress_Index]]&gt;=8,"High",IF(N1446&gt;=5,"Medium","Low"))</f>
        <v>Low</v>
      </c>
      <c r="P1446" s="3">
        <v>3.45</v>
      </c>
      <c r="Q1446" s="2">
        <v>2.96</v>
      </c>
      <c r="R1446" s="3">
        <v>2.96</v>
      </c>
      <c r="S1446" s="3" t="str">
        <f>IF(Table1[[#This Row],[CGPA]]&gt;=3,"High",IF(R1445&gt;=2,"Medium","Low"))</f>
        <v>Low</v>
      </c>
      <c r="T1446" s="2" t="s">
        <v>2</v>
      </c>
      <c r="U1446" s="2" t="s">
        <v>8</v>
      </c>
      <c r="V1446" s="2" t="s">
        <v>15</v>
      </c>
      <c r="W1446" s="7">
        <v>0</v>
      </c>
      <c r="X1446" t="str">
        <f t="shared" si="45"/>
        <v>Active</v>
      </c>
    </row>
    <row r="1447" spans="1:24" x14ac:dyDescent="0.3">
      <c r="A1447" s="2">
        <v>1446</v>
      </c>
      <c r="B1447" s="7">
        <v>19.600000000000001</v>
      </c>
      <c r="C1447" s="2" t="s">
        <v>11</v>
      </c>
      <c r="D1447" s="7">
        <f>IF(ISBLANK('Raw sheet'!D1447),AVERAGE('Raw sheet'!$D$2:'Raw sheet'!$D$1500),'Raw sheet'!D1447)</f>
        <v>26445</v>
      </c>
      <c r="E1447" s="7" t="str">
        <f>IF(Table1[[#This Row],[Family_Income]]&gt;=100000,"Upper",IF(D1447&gt;=50000,"Middle","Lower"))</f>
        <v>Lower</v>
      </c>
      <c r="F1447" s="2" t="s">
        <v>4</v>
      </c>
      <c r="G1447" s="3">
        <f>IF(ISBLANK('Raw sheet'!F1447),AVERAGE('Raw sheet'!$F$2:'Raw sheet'!$F$1500),'Raw sheet'!F1447)</f>
        <v>2.61</v>
      </c>
      <c r="H1447" s="18">
        <v>78</v>
      </c>
      <c r="I1447" s="9" t="str">
        <f t="shared" si="44"/>
        <v>Good</v>
      </c>
      <c r="J1447" s="2">
        <v>2</v>
      </c>
      <c r="K1447" s="2">
        <v>26.3</v>
      </c>
      <c r="L1447" s="2" t="s">
        <v>4</v>
      </c>
      <c r="M1447" s="2" t="s">
        <v>3</v>
      </c>
      <c r="N1447" s="5">
        <f>IF(ISBLANK('Raw sheet'!L1447),AVERAGE('Raw sheet'!$L$2:'Raw sheet'!$L$1500),'Raw sheet'!L1447)</f>
        <v>7.8</v>
      </c>
      <c r="O1447" s="5" t="str">
        <f>IF(Table1[[#This Row],[Stress_Index]]&gt;=8,"High",IF(N1447&gt;=5,"Medium","Low"))</f>
        <v>Medium</v>
      </c>
      <c r="P1447" s="3">
        <v>1.94</v>
      </c>
      <c r="Q1447" s="2">
        <v>2.16</v>
      </c>
      <c r="R1447" s="3">
        <v>2.19</v>
      </c>
      <c r="S1447" s="3" t="str">
        <f>IF(Table1[[#This Row],[CGPA]]&gt;=3,"High",IF(R1446&gt;=2,"Medium","Low"))</f>
        <v>Medium</v>
      </c>
      <c r="T1447" s="2" t="s">
        <v>12</v>
      </c>
      <c r="U1447" s="2" t="s">
        <v>8</v>
      </c>
      <c r="V1447" s="2" t="s">
        <v>9</v>
      </c>
      <c r="W1447" s="7">
        <v>1</v>
      </c>
      <c r="X1447" t="str">
        <f t="shared" si="45"/>
        <v>Dropped Out</v>
      </c>
    </row>
    <row r="1448" spans="1:24" x14ac:dyDescent="0.3">
      <c r="A1448" s="2">
        <v>1447</v>
      </c>
      <c r="B1448" s="7">
        <v>19.8</v>
      </c>
      <c r="C1448" s="2" t="s">
        <v>5</v>
      </c>
      <c r="D1448" s="7">
        <f>IF(ISBLANK('Raw sheet'!D1448),AVERAGE('Raw sheet'!$D$2:'Raw sheet'!$D$1500),'Raw sheet'!D1448)</f>
        <v>25000</v>
      </c>
      <c r="E1448" s="7" t="str">
        <f>IF(Table1[[#This Row],[Family_Income]]&gt;=100000,"Upper",IF(D1448&gt;=50000,"Middle","Lower"))</f>
        <v>Lower</v>
      </c>
      <c r="F1448" s="2" t="s">
        <v>4</v>
      </c>
      <c r="G1448" s="3">
        <f>IF(ISBLANK('Raw sheet'!F1448),AVERAGE('Raw sheet'!$F$2:'Raw sheet'!$F$1500),'Raw sheet'!F1448)</f>
        <v>7.29</v>
      </c>
      <c r="H1448" s="18">
        <v>90.2</v>
      </c>
      <c r="I1448" s="9" t="str">
        <f t="shared" si="44"/>
        <v>Good</v>
      </c>
      <c r="J1448" s="2">
        <v>3</v>
      </c>
      <c r="K1448" s="2">
        <v>21.8</v>
      </c>
      <c r="L1448" s="2" t="s">
        <v>4</v>
      </c>
      <c r="M1448" s="2" t="s">
        <v>4</v>
      </c>
      <c r="N1448" s="5">
        <f>IF(ISBLANK('Raw sheet'!L1448),AVERAGE('Raw sheet'!$L$2:'Raw sheet'!$L$1500),'Raw sheet'!L1448)</f>
        <v>2.1</v>
      </c>
      <c r="O1448" s="5" t="str">
        <f>IF(Table1[[#This Row],[Stress_Index]]&gt;=8,"High",IF(N1448&gt;=5,"Medium","Low"))</f>
        <v>Low</v>
      </c>
      <c r="P1448" s="3">
        <v>2.78</v>
      </c>
      <c r="Q1448" s="2">
        <v>3.07</v>
      </c>
      <c r="R1448" s="3">
        <v>3.07</v>
      </c>
      <c r="S1448" s="3" t="str">
        <f>IF(Table1[[#This Row],[CGPA]]&gt;=3,"High",IF(R1447&gt;=2,"Medium","Low"))</f>
        <v>High</v>
      </c>
      <c r="T1448" s="2" t="s">
        <v>2</v>
      </c>
      <c r="U1448" s="2" t="s">
        <v>13</v>
      </c>
      <c r="V1448" s="2" t="s">
        <v>15</v>
      </c>
      <c r="W1448" s="7">
        <v>0</v>
      </c>
      <c r="X1448" t="str">
        <f t="shared" si="45"/>
        <v>Active</v>
      </c>
    </row>
    <row r="1449" spans="1:24" x14ac:dyDescent="0.3">
      <c r="A1449" s="2">
        <v>1448</v>
      </c>
      <c r="B1449" s="7">
        <v>22.3</v>
      </c>
      <c r="C1449" s="2" t="s">
        <v>5</v>
      </c>
      <c r="D1449" s="7">
        <f>IF(ISBLANK('Raw sheet'!D1449),AVERAGE('Raw sheet'!$D$2:'Raw sheet'!$D$1500),'Raw sheet'!D1449)</f>
        <v>25000</v>
      </c>
      <c r="E1449" s="7" t="str">
        <f>IF(Table1[[#This Row],[Family_Income]]&gt;=100000,"Upper",IF(D1449&gt;=50000,"Middle","Lower"))</f>
        <v>Lower</v>
      </c>
      <c r="F1449" s="2" t="s">
        <v>4</v>
      </c>
      <c r="G1449" s="3">
        <f>IF(ISBLANK('Raw sheet'!F1449),AVERAGE('Raw sheet'!$F$2:'Raw sheet'!$F$1500),'Raw sheet'!F1449)</f>
        <v>4.16</v>
      </c>
      <c r="H1449" s="18">
        <v>87.5</v>
      </c>
      <c r="I1449" s="9" t="str">
        <f t="shared" si="44"/>
        <v>Good</v>
      </c>
      <c r="J1449" s="2">
        <v>0</v>
      </c>
      <c r="K1449" s="2">
        <v>17.3</v>
      </c>
      <c r="L1449" s="2" t="s">
        <v>3</v>
      </c>
      <c r="M1449" s="2" t="s">
        <v>4</v>
      </c>
      <c r="N1449" s="5">
        <f>IF(ISBLANK('Raw sheet'!L1449),AVERAGE('Raw sheet'!$L$2:'Raw sheet'!$L$1500),'Raw sheet'!L1449)</f>
        <v>3.7</v>
      </c>
      <c r="O1449" s="5" t="str">
        <f>IF(Table1[[#This Row],[Stress_Index]]&gt;=8,"High",IF(N1449&gt;=5,"Medium","Low"))</f>
        <v>Low</v>
      </c>
      <c r="P1449" s="3">
        <v>4</v>
      </c>
      <c r="Q1449" s="2">
        <v>4</v>
      </c>
      <c r="R1449" s="3">
        <v>4</v>
      </c>
      <c r="S1449" s="3" t="str">
        <f>IF(Table1[[#This Row],[CGPA]]&gt;=3,"High",IF(R1448&gt;=2,"Medium","Low"))</f>
        <v>High</v>
      </c>
      <c r="T1449" s="2" t="s">
        <v>7</v>
      </c>
      <c r="U1449" s="2" t="s">
        <v>14</v>
      </c>
      <c r="V1449" s="2" t="s">
        <v>15</v>
      </c>
      <c r="W1449" s="7">
        <v>0</v>
      </c>
      <c r="X1449" t="str">
        <f t="shared" si="45"/>
        <v>Active</v>
      </c>
    </row>
    <row r="1450" spans="1:24" x14ac:dyDescent="0.3">
      <c r="A1450" s="2">
        <v>1449</v>
      </c>
      <c r="B1450" s="7">
        <v>23.7</v>
      </c>
      <c r="C1450" s="2" t="s">
        <v>5</v>
      </c>
      <c r="D1450" s="7">
        <f>IF(ISBLANK('Raw sheet'!D1450),AVERAGE('Raw sheet'!$D$2:'Raw sheet'!$D$1500),'Raw sheet'!D1450)</f>
        <v>25000</v>
      </c>
      <c r="E1450" s="7" t="str">
        <f>IF(Table1[[#This Row],[Family_Income]]&gt;=100000,"Upper",IF(D1450&gt;=50000,"Middle","Lower"))</f>
        <v>Lower</v>
      </c>
      <c r="F1450" s="2" t="s">
        <v>4</v>
      </c>
      <c r="G1450" s="3">
        <f>IF(ISBLANK('Raw sheet'!F1450),AVERAGE('Raw sheet'!$F$2:'Raw sheet'!$F$1500),'Raw sheet'!F1450)</f>
        <v>1.95</v>
      </c>
      <c r="H1450" s="18">
        <v>76.5</v>
      </c>
      <c r="I1450" s="9" t="str">
        <f t="shared" si="44"/>
        <v>Good</v>
      </c>
      <c r="J1450" s="2">
        <v>1</v>
      </c>
      <c r="K1450" s="2">
        <v>42.2</v>
      </c>
      <c r="L1450" s="2" t="s">
        <v>3</v>
      </c>
      <c r="M1450" s="2" t="s">
        <v>4</v>
      </c>
      <c r="N1450" s="5">
        <f>IF(ISBLANK('Raw sheet'!L1450),AVERAGE('Raw sheet'!$L$2:'Raw sheet'!$L$1500),'Raw sheet'!L1450)</f>
        <v>6.9</v>
      </c>
      <c r="O1450" s="5" t="str">
        <f>IF(Table1[[#This Row],[Stress_Index]]&gt;=8,"High",IF(N1450&gt;=5,"Medium","Low"))</f>
        <v>Medium</v>
      </c>
      <c r="P1450" s="3">
        <v>1.98</v>
      </c>
      <c r="Q1450" s="2">
        <v>1.93</v>
      </c>
      <c r="R1450" s="3">
        <v>1.93</v>
      </c>
      <c r="S1450" s="3" t="str">
        <f>IF(Table1[[#This Row],[CGPA]]&gt;=3,"High",IF(R1449&gt;=2,"Medium","Low"))</f>
        <v>Medium</v>
      </c>
      <c r="T1450" s="2" t="s">
        <v>2</v>
      </c>
      <c r="U1450" s="2" t="s">
        <v>6</v>
      </c>
      <c r="V1450" s="2" t="s">
        <v>17</v>
      </c>
      <c r="W1450" s="7">
        <v>0</v>
      </c>
      <c r="X1450" t="str">
        <f t="shared" si="45"/>
        <v>Active</v>
      </c>
    </row>
    <row r="1451" spans="1:24" x14ac:dyDescent="0.3">
      <c r="A1451" s="2">
        <v>1450</v>
      </c>
      <c r="B1451" s="7">
        <v>21</v>
      </c>
      <c r="C1451" s="2" t="s">
        <v>5</v>
      </c>
      <c r="D1451" s="7">
        <f>IF(ISBLANK('Raw sheet'!D1451),AVERAGE('Raw sheet'!$D$2:'Raw sheet'!$D$1500),'Raw sheet'!D1451)</f>
        <v>60525</v>
      </c>
      <c r="E1451" s="7" t="str">
        <f>IF(Table1[[#This Row],[Family_Income]]&gt;=100000,"Upper",IF(D1451&gt;=50000,"Middle","Lower"))</f>
        <v>Middle</v>
      </c>
      <c r="F1451" s="2" t="s">
        <v>4</v>
      </c>
      <c r="G1451" s="3">
        <f>IF(ISBLANK('Raw sheet'!F1451),AVERAGE('Raw sheet'!$F$2:'Raw sheet'!$F$1500),'Raw sheet'!F1451)</f>
        <v>3.88</v>
      </c>
      <c r="H1451" s="18">
        <v>82.1</v>
      </c>
      <c r="I1451" s="9" t="str">
        <f t="shared" si="44"/>
        <v>Good</v>
      </c>
      <c r="J1451" s="2">
        <v>0</v>
      </c>
      <c r="K1451" s="2">
        <v>28.1</v>
      </c>
      <c r="L1451" s="2" t="s">
        <v>3</v>
      </c>
      <c r="M1451" s="2" t="s">
        <v>3</v>
      </c>
      <c r="N1451" s="5">
        <f>IF(ISBLANK('Raw sheet'!L1451),AVERAGE('Raw sheet'!$L$2:'Raw sheet'!$L$1500),'Raw sheet'!L1451)</f>
        <v>2.7</v>
      </c>
      <c r="O1451" s="5" t="str">
        <f>IF(Table1[[#This Row],[Stress_Index]]&gt;=8,"High",IF(N1451&gt;=5,"Medium","Low"))</f>
        <v>Low</v>
      </c>
      <c r="P1451" s="3">
        <v>4</v>
      </c>
      <c r="Q1451" s="2">
        <v>3.92</v>
      </c>
      <c r="R1451" s="3">
        <v>3.92</v>
      </c>
      <c r="S1451" s="3" t="str">
        <f>IF(Table1[[#This Row],[CGPA]]&gt;=3,"High",IF(R1450&gt;=2,"Medium","Low"))</f>
        <v>High</v>
      </c>
      <c r="T1451" s="2" t="s">
        <v>2</v>
      </c>
      <c r="U1451" s="2" t="s">
        <v>8</v>
      </c>
      <c r="V1451" s="2" t="s">
        <v>9</v>
      </c>
      <c r="W1451" s="7">
        <v>0</v>
      </c>
      <c r="X1451" t="str">
        <f t="shared" si="45"/>
        <v>Active</v>
      </c>
    </row>
    <row r="1452" spans="1:24" x14ac:dyDescent="0.3">
      <c r="A1452" s="2">
        <v>1451</v>
      </c>
      <c r="B1452" s="7">
        <v>21.7</v>
      </c>
      <c r="C1452" s="2" t="s">
        <v>11</v>
      </c>
      <c r="D1452" s="7">
        <f>IF(ISBLANK('Raw sheet'!D1452),AVERAGE('Raw sheet'!$D$2:'Raw sheet'!$D$1500),'Raw sheet'!D1452)</f>
        <v>25000</v>
      </c>
      <c r="E1452" s="7" t="str">
        <f>IF(Table1[[#This Row],[Family_Income]]&gt;=100000,"Upper",IF(D1452&gt;=50000,"Middle","Lower"))</f>
        <v>Lower</v>
      </c>
      <c r="F1452" s="2" t="s">
        <v>3</v>
      </c>
      <c r="G1452" s="3">
        <f>IF(ISBLANK('Raw sheet'!F1452),AVERAGE('Raw sheet'!$F$2:'Raw sheet'!$F$1500),'Raw sheet'!F1452)</f>
        <v>3.49</v>
      </c>
      <c r="H1452" s="18">
        <v>92.9</v>
      </c>
      <c r="I1452" s="9" t="str">
        <f t="shared" si="44"/>
        <v>Good</v>
      </c>
      <c r="J1452" s="2">
        <v>2</v>
      </c>
      <c r="K1452" s="2">
        <v>32.5</v>
      </c>
      <c r="L1452" s="2" t="s">
        <v>4</v>
      </c>
      <c r="M1452" s="2" t="s">
        <v>4</v>
      </c>
      <c r="N1452" s="5">
        <f>IF(ISBLANK('Raw sheet'!L1452),AVERAGE('Raw sheet'!$L$2:'Raw sheet'!$L$1500),'Raw sheet'!L1452)</f>
        <v>6.5</v>
      </c>
      <c r="O1452" s="5" t="str">
        <f>IF(Table1[[#This Row],[Stress_Index]]&gt;=8,"High",IF(N1452&gt;=5,"Medium","Low"))</f>
        <v>Medium</v>
      </c>
      <c r="P1452" s="3">
        <v>1.52</v>
      </c>
      <c r="Q1452" s="2">
        <v>0.89</v>
      </c>
      <c r="R1452" s="3">
        <v>0.89</v>
      </c>
      <c r="S1452" s="3" t="str">
        <f>IF(Table1[[#This Row],[CGPA]]&gt;=3,"High",IF(R1451&gt;=2,"Medium","Low"))</f>
        <v>Medium</v>
      </c>
      <c r="T1452" s="2" t="s">
        <v>2</v>
      </c>
      <c r="U1452" s="2" t="s">
        <v>6</v>
      </c>
      <c r="V1452" s="2" t="s">
        <v>9</v>
      </c>
      <c r="W1452" s="7">
        <v>0</v>
      </c>
      <c r="X1452" t="str">
        <f t="shared" si="45"/>
        <v>Active</v>
      </c>
    </row>
    <row r="1453" spans="1:24" x14ac:dyDescent="0.3">
      <c r="A1453" s="2">
        <v>1452</v>
      </c>
      <c r="B1453" s="7">
        <v>24.7</v>
      </c>
      <c r="C1453" s="2" t="s">
        <v>5</v>
      </c>
      <c r="D1453" s="7">
        <f>IF(ISBLANK('Raw sheet'!D1453),AVERAGE('Raw sheet'!$D$2:'Raw sheet'!$D$1500),'Raw sheet'!D1453)</f>
        <v>25000</v>
      </c>
      <c r="E1453" s="7" t="str">
        <f>IF(Table1[[#This Row],[Family_Income]]&gt;=100000,"Upper",IF(D1453&gt;=50000,"Middle","Lower"))</f>
        <v>Lower</v>
      </c>
      <c r="F1453" s="2" t="s">
        <v>4</v>
      </c>
      <c r="G1453" s="3">
        <f>IF(ISBLANK('Raw sheet'!F1453),AVERAGE('Raw sheet'!$F$2:'Raw sheet'!$F$1500),'Raw sheet'!F1453)</f>
        <v>3.79</v>
      </c>
      <c r="H1453" s="18">
        <v>77.7</v>
      </c>
      <c r="I1453" s="9" t="str">
        <f t="shared" si="44"/>
        <v>Good</v>
      </c>
      <c r="J1453" s="2">
        <v>1</v>
      </c>
      <c r="K1453" s="2">
        <v>32.1</v>
      </c>
      <c r="L1453" s="2" t="s">
        <v>3</v>
      </c>
      <c r="M1453" s="2" t="s">
        <v>4</v>
      </c>
      <c r="N1453" s="5">
        <f>IF(ISBLANK('Raw sheet'!L1453),AVERAGE('Raw sheet'!$L$2:'Raw sheet'!$L$1500),'Raw sheet'!L1453)</f>
        <v>4.3</v>
      </c>
      <c r="O1453" s="5" t="str">
        <f>IF(Table1[[#This Row],[Stress_Index]]&gt;=8,"High",IF(N1453&gt;=5,"Medium","Low"))</f>
        <v>Low</v>
      </c>
      <c r="P1453" s="3">
        <v>1.1000000000000001</v>
      </c>
      <c r="Q1453" s="2">
        <v>1.1399999999999999</v>
      </c>
      <c r="R1453" s="3">
        <v>1.08</v>
      </c>
      <c r="S1453" s="3" t="str">
        <f>IF(Table1[[#This Row],[CGPA]]&gt;=3,"High",IF(R1452&gt;=2,"Medium","Low"))</f>
        <v>Low</v>
      </c>
      <c r="T1453" s="2" t="s">
        <v>10</v>
      </c>
      <c r="U1453" s="2" t="s">
        <v>8</v>
      </c>
      <c r="V1453" s="2" t="s">
        <v>15</v>
      </c>
      <c r="W1453" s="7">
        <v>1</v>
      </c>
      <c r="X1453" t="str">
        <f t="shared" si="45"/>
        <v>Dropped Out</v>
      </c>
    </row>
    <row r="1454" spans="1:24" x14ac:dyDescent="0.3">
      <c r="A1454" s="2">
        <v>1453</v>
      </c>
      <c r="B1454" s="7">
        <v>21.5</v>
      </c>
      <c r="C1454" s="2" t="s">
        <v>11</v>
      </c>
      <c r="D1454" s="7">
        <f>IF(ISBLANK('Raw sheet'!D1454),AVERAGE('Raw sheet'!$D$2:'Raw sheet'!$D$1500),'Raw sheet'!D1454)</f>
        <v>25000</v>
      </c>
      <c r="E1454" s="7" t="str">
        <f>IF(Table1[[#This Row],[Family_Income]]&gt;=100000,"Upper",IF(D1454&gt;=50000,"Middle","Lower"))</f>
        <v>Lower</v>
      </c>
      <c r="F1454" s="2" t="s">
        <v>4</v>
      </c>
      <c r="G1454" s="3">
        <f>IF(ISBLANK('Raw sheet'!F1454),AVERAGE('Raw sheet'!$F$2:'Raw sheet'!$F$1500),'Raw sheet'!F1454)</f>
        <v>1.87</v>
      </c>
      <c r="H1454" s="18">
        <v>83.4</v>
      </c>
      <c r="I1454" s="9" t="str">
        <f t="shared" si="44"/>
        <v>Good</v>
      </c>
      <c r="J1454" s="2">
        <v>2</v>
      </c>
      <c r="K1454" s="2">
        <v>31.3</v>
      </c>
      <c r="L1454" s="2" t="s">
        <v>3</v>
      </c>
      <c r="M1454" s="2" t="s">
        <v>3</v>
      </c>
      <c r="N1454" s="5">
        <f>IF(ISBLANK('Raw sheet'!L1454),AVERAGE('Raw sheet'!$L$2:'Raw sheet'!$L$1500),'Raw sheet'!L1454)</f>
        <v>7.3</v>
      </c>
      <c r="O1454" s="5" t="str">
        <f>IF(Table1[[#This Row],[Stress_Index]]&gt;=8,"High",IF(N1454&gt;=5,"Medium","Low"))</f>
        <v>Medium</v>
      </c>
      <c r="P1454" s="3">
        <v>1.17</v>
      </c>
      <c r="Q1454" s="2">
        <v>1.48</v>
      </c>
      <c r="R1454" s="3">
        <v>1.5</v>
      </c>
      <c r="S1454" s="3" t="str">
        <f>IF(Table1[[#This Row],[CGPA]]&gt;=3,"High",IF(R1453&gt;=2,"Medium","Low"))</f>
        <v>Low</v>
      </c>
      <c r="T1454" s="2" t="s">
        <v>12</v>
      </c>
      <c r="U1454" s="2" t="s">
        <v>6</v>
      </c>
      <c r="V1454" s="2" t="s">
        <v>15</v>
      </c>
      <c r="W1454" s="7">
        <v>1</v>
      </c>
      <c r="X1454" t="str">
        <f t="shared" si="45"/>
        <v>Dropped Out</v>
      </c>
    </row>
    <row r="1455" spans="1:24" x14ac:dyDescent="0.3">
      <c r="A1455" s="2">
        <v>1454</v>
      </c>
      <c r="B1455" s="7">
        <v>26.7</v>
      </c>
      <c r="C1455" s="2" t="s">
        <v>5</v>
      </c>
      <c r="D1455" s="7">
        <f>IF(ISBLANK('Raw sheet'!D1455),AVERAGE('Raw sheet'!$D$2:'Raw sheet'!$D$1500),'Raw sheet'!D1455)</f>
        <v>30718</v>
      </c>
      <c r="E1455" s="7" t="str">
        <f>IF(Table1[[#This Row],[Family_Income]]&gt;=100000,"Upper",IF(D1455&gt;=50000,"Middle","Lower"))</f>
        <v>Lower</v>
      </c>
      <c r="F1455" s="2" t="s">
        <v>4</v>
      </c>
      <c r="G1455" s="3">
        <f>IF(ISBLANK('Raw sheet'!F1455),AVERAGE('Raw sheet'!$F$2:'Raw sheet'!$F$1500),'Raw sheet'!F1455)</f>
        <v>4.04</v>
      </c>
      <c r="H1455" s="18">
        <v>70</v>
      </c>
      <c r="I1455" s="9" t="str">
        <f t="shared" si="44"/>
        <v>Low</v>
      </c>
      <c r="J1455" s="2">
        <v>1</v>
      </c>
      <c r="K1455" s="2">
        <v>26.1</v>
      </c>
      <c r="L1455" s="2" t="s">
        <v>4</v>
      </c>
      <c r="M1455" s="2" t="s">
        <v>3</v>
      </c>
      <c r="N1455" s="5">
        <f>IF(ISBLANK('Raw sheet'!L1455),AVERAGE('Raw sheet'!$L$2:'Raw sheet'!$L$1500),'Raw sheet'!L1455)</f>
        <v>5.4</v>
      </c>
      <c r="O1455" s="5" t="str">
        <f>IF(Table1[[#This Row],[Stress_Index]]&gt;=8,"High",IF(N1455&gt;=5,"Medium","Low"))</f>
        <v>Medium</v>
      </c>
      <c r="P1455" s="3">
        <v>1.08</v>
      </c>
      <c r="Q1455" s="2">
        <v>0.89</v>
      </c>
      <c r="R1455" s="3">
        <v>0.86</v>
      </c>
      <c r="S1455" s="3" t="str">
        <f>IF(Table1[[#This Row],[CGPA]]&gt;=3,"High",IF(R1454&gt;=2,"Medium","Low"))</f>
        <v>Low</v>
      </c>
      <c r="T1455" s="2" t="s">
        <v>12</v>
      </c>
      <c r="U1455" s="2" t="s">
        <v>8</v>
      </c>
      <c r="V1455" s="2" t="s">
        <v>0</v>
      </c>
      <c r="W1455" s="7">
        <v>0</v>
      </c>
      <c r="X1455" t="str">
        <f t="shared" si="45"/>
        <v>Active</v>
      </c>
    </row>
    <row r="1456" spans="1:24" x14ac:dyDescent="0.3">
      <c r="A1456" s="2">
        <v>1455</v>
      </c>
      <c r="B1456" s="7">
        <v>22.2</v>
      </c>
      <c r="C1456" s="2" t="s">
        <v>11</v>
      </c>
      <c r="D1456" s="7">
        <f>IF(ISBLANK('Raw sheet'!D1456),AVERAGE('Raw sheet'!$D$2:'Raw sheet'!$D$1500),'Raw sheet'!D1456)</f>
        <v>25000</v>
      </c>
      <c r="E1456" s="7" t="str">
        <f>IF(Table1[[#This Row],[Family_Income]]&gt;=100000,"Upper",IF(D1456&gt;=50000,"Middle","Lower"))</f>
        <v>Lower</v>
      </c>
      <c r="F1456" s="2" t="s">
        <v>4</v>
      </c>
      <c r="G1456" s="3">
        <f>IF(ISBLANK('Raw sheet'!F1456),AVERAGE('Raw sheet'!$F$2:'Raw sheet'!$F$1500),'Raw sheet'!F1456)</f>
        <v>2.87</v>
      </c>
      <c r="H1456" s="18">
        <v>84.9</v>
      </c>
      <c r="I1456" s="9" t="str">
        <f t="shared" si="44"/>
        <v>Good</v>
      </c>
      <c r="J1456" s="2">
        <v>2</v>
      </c>
      <c r="K1456" s="2">
        <v>48.2</v>
      </c>
      <c r="L1456" s="2" t="s">
        <v>3</v>
      </c>
      <c r="M1456" s="2" t="s">
        <v>3</v>
      </c>
      <c r="N1456" s="5">
        <f>IF(ISBLANK('Raw sheet'!L1456),AVERAGE('Raw sheet'!$L$2:'Raw sheet'!$L$1500),'Raw sheet'!L1456)</f>
        <v>5.2</v>
      </c>
      <c r="O1456" s="5" t="str">
        <f>IF(Table1[[#This Row],[Stress_Index]]&gt;=8,"High",IF(N1456&gt;=5,"Medium","Low"))</f>
        <v>Medium</v>
      </c>
      <c r="P1456" s="3">
        <v>0.38</v>
      </c>
      <c r="Q1456" s="2">
        <v>0.1</v>
      </c>
      <c r="R1456" s="3">
        <v>0.03</v>
      </c>
      <c r="S1456" s="3" t="str">
        <f>IF(Table1[[#This Row],[CGPA]]&gt;=3,"High",IF(R1455&gt;=2,"Medium","Low"))</f>
        <v>Low</v>
      </c>
      <c r="T1456" s="2" t="s">
        <v>7</v>
      </c>
      <c r="U1456" s="2" t="s">
        <v>14</v>
      </c>
      <c r="V1456" s="2" t="s">
        <v>15</v>
      </c>
      <c r="W1456" s="7">
        <v>1</v>
      </c>
      <c r="X1456" t="str">
        <f t="shared" si="45"/>
        <v>Dropped Out</v>
      </c>
    </row>
    <row r="1457" spans="1:24" x14ac:dyDescent="0.3">
      <c r="A1457" s="2">
        <v>1456</v>
      </c>
      <c r="B1457" s="7">
        <v>17.100000000000001</v>
      </c>
      <c r="C1457" s="2" t="s">
        <v>5</v>
      </c>
      <c r="D1457" s="7">
        <f>IF(ISBLANK('Raw sheet'!D1457),AVERAGE('Raw sheet'!$D$2:'Raw sheet'!$D$1500),'Raw sheet'!D1457)</f>
        <v>78872</v>
      </c>
      <c r="E1457" s="7" t="str">
        <f>IF(Table1[[#This Row],[Family_Income]]&gt;=100000,"Upper",IF(D1457&gt;=50000,"Middle","Lower"))</f>
        <v>Middle</v>
      </c>
      <c r="F1457" s="2" t="s">
        <v>3</v>
      </c>
      <c r="G1457" s="3">
        <f>IF(ISBLANK('Raw sheet'!F1457),AVERAGE('Raw sheet'!$F$2:'Raw sheet'!$F$1500),'Raw sheet'!F1457)</f>
        <v>5.92</v>
      </c>
      <c r="H1457" s="18">
        <v>78.8</v>
      </c>
      <c r="I1457" s="9" t="str">
        <f t="shared" si="44"/>
        <v>Good</v>
      </c>
      <c r="J1457" s="2">
        <v>1</v>
      </c>
      <c r="K1457" s="2">
        <v>56.8</v>
      </c>
      <c r="L1457" s="2" t="s">
        <v>4</v>
      </c>
      <c r="M1457" s="2" t="s">
        <v>3</v>
      </c>
      <c r="N1457" s="5">
        <f>IF(ISBLANK('Raw sheet'!L1457),AVERAGE('Raw sheet'!$L$2:'Raw sheet'!$L$1500),'Raw sheet'!L1457)</f>
        <v>6.6</v>
      </c>
      <c r="O1457" s="5" t="str">
        <f>IF(Table1[[#This Row],[Stress_Index]]&gt;=8,"High",IF(N1457&gt;=5,"Medium","Low"))</f>
        <v>Medium</v>
      </c>
      <c r="P1457" s="3">
        <v>2.2799999999999998</v>
      </c>
      <c r="Q1457" s="2">
        <v>1.96</v>
      </c>
      <c r="R1457" s="3">
        <v>1.86</v>
      </c>
      <c r="S1457" s="3" t="str">
        <f>IF(Table1[[#This Row],[CGPA]]&gt;=3,"High",IF(R1456&gt;=2,"Medium","Low"))</f>
        <v>Low</v>
      </c>
      <c r="T1457" s="2" t="s">
        <v>12</v>
      </c>
      <c r="U1457" s="2" t="s">
        <v>8</v>
      </c>
      <c r="V1457" s="2" t="s">
        <v>15</v>
      </c>
      <c r="W1457" s="7">
        <v>0</v>
      </c>
      <c r="X1457" t="str">
        <f t="shared" si="45"/>
        <v>Active</v>
      </c>
    </row>
    <row r="1458" spans="1:24" x14ac:dyDescent="0.3">
      <c r="A1458" s="2">
        <v>1457</v>
      </c>
      <c r="B1458" s="7">
        <v>22.7</v>
      </c>
      <c r="C1458" s="2" t="s">
        <v>11</v>
      </c>
      <c r="D1458" s="7">
        <f>IF(ISBLANK('Raw sheet'!D1458),AVERAGE('Raw sheet'!$D$2:'Raw sheet'!$D$1500),'Raw sheet'!D1458)</f>
        <v>50038</v>
      </c>
      <c r="E1458" s="7" t="str">
        <f>IF(Table1[[#This Row],[Family_Income]]&gt;=100000,"Upper",IF(D1458&gt;=50000,"Middle","Lower"))</f>
        <v>Middle</v>
      </c>
      <c r="F1458" s="2" t="s">
        <v>4</v>
      </c>
      <c r="G1458" s="3">
        <f>IF(ISBLANK('Raw sheet'!F1458),AVERAGE('Raw sheet'!$F$2:'Raw sheet'!$F$1500),'Raw sheet'!F1458)</f>
        <v>3.86</v>
      </c>
      <c r="H1458" s="18">
        <v>86.2</v>
      </c>
      <c r="I1458" s="9" t="str">
        <f t="shared" si="44"/>
        <v>Good</v>
      </c>
      <c r="J1458" s="2">
        <v>0</v>
      </c>
      <c r="K1458" s="2">
        <v>47.4</v>
      </c>
      <c r="L1458" s="2" t="s">
        <v>3</v>
      </c>
      <c r="M1458" s="2" t="s">
        <v>3</v>
      </c>
      <c r="N1458" s="5">
        <f>IF(ISBLANK('Raw sheet'!L1458),AVERAGE('Raw sheet'!$L$2:'Raw sheet'!$L$1500),'Raw sheet'!L1458)</f>
        <v>5.5</v>
      </c>
      <c r="O1458" s="5" t="str">
        <f>IF(Table1[[#This Row],[Stress_Index]]&gt;=8,"High",IF(N1458&gt;=5,"Medium","Low"))</f>
        <v>Medium</v>
      </c>
      <c r="P1458" s="3">
        <v>2.94</v>
      </c>
      <c r="Q1458" s="2">
        <v>2.61</v>
      </c>
      <c r="R1458" s="3">
        <v>2.56</v>
      </c>
      <c r="S1458" s="3" t="str">
        <f>IF(Table1[[#This Row],[CGPA]]&gt;=3,"High",IF(R1457&gt;=2,"Medium","Low"))</f>
        <v>Low</v>
      </c>
      <c r="T1458" s="2" t="s">
        <v>7</v>
      </c>
      <c r="U1458" s="2" t="s">
        <v>1</v>
      </c>
      <c r="V1458" s="2" t="s">
        <v>9</v>
      </c>
      <c r="W1458" s="7">
        <v>0</v>
      </c>
      <c r="X1458" t="str">
        <f t="shared" si="45"/>
        <v>Active</v>
      </c>
    </row>
    <row r="1459" spans="1:24" x14ac:dyDescent="0.3">
      <c r="A1459" s="2">
        <v>1458</v>
      </c>
      <c r="B1459" s="7">
        <v>21.8</v>
      </c>
      <c r="C1459" s="2" t="s">
        <v>11</v>
      </c>
      <c r="D1459" s="7">
        <f>IF(ISBLANK('Raw sheet'!D1459),AVERAGE('Raw sheet'!$D$2:'Raw sheet'!$D$1500),'Raw sheet'!D1459)</f>
        <v>70130</v>
      </c>
      <c r="E1459" s="7" t="str">
        <f>IF(Table1[[#This Row],[Family_Income]]&gt;=100000,"Upper",IF(D1459&gt;=50000,"Middle","Lower"))</f>
        <v>Middle</v>
      </c>
      <c r="F1459" s="2" t="s">
        <v>4</v>
      </c>
      <c r="G1459" s="3">
        <f>IF(ISBLANK('Raw sheet'!F1459),AVERAGE('Raw sheet'!$F$2:'Raw sheet'!$F$1500),'Raw sheet'!F1459)</f>
        <v>4.93</v>
      </c>
      <c r="H1459" s="18">
        <v>75.2</v>
      </c>
      <c r="I1459" s="9" t="str">
        <f t="shared" si="44"/>
        <v>Good</v>
      </c>
      <c r="J1459" s="2">
        <v>2</v>
      </c>
      <c r="K1459" s="2">
        <v>30.3</v>
      </c>
      <c r="L1459" s="2" t="s">
        <v>4</v>
      </c>
      <c r="M1459" s="2" t="s">
        <v>3</v>
      </c>
      <c r="N1459" s="5">
        <f>IF(ISBLANK('Raw sheet'!L1459),AVERAGE('Raw sheet'!$L$2:'Raw sheet'!$L$1500),'Raw sheet'!L1459)</f>
        <v>3.3</v>
      </c>
      <c r="O1459" s="5" t="str">
        <f>IF(Table1[[#This Row],[Stress_Index]]&gt;=8,"High",IF(N1459&gt;=5,"Medium","Low"))</f>
        <v>Low</v>
      </c>
      <c r="P1459" s="3">
        <v>3.76</v>
      </c>
      <c r="Q1459" s="2">
        <v>3.44</v>
      </c>
      <c r="R1459" s="3">
        <v>3.37</v>
      </c>
      <c r="S1459" s="3" t="str">
        <f>IF(Table1[[#This Row],[CGPA]]&gt;=3,"High",IF(R1458&gt;=2,"Medium","Low"))</f>
        <v>High</v>
      </c>
      <c r="T1459" s="2" t="s">
        <v>7</v>
      </c>
      <c r="U1459" s="2" t="s">
        <v>8</v>
      </c>
      <c r="V1459" s="2" t="s">
        <v>9</v>
      </c>
      <c r="W1459" s="7">
        <v>0</v>
      </c>
      <c r="X1459" t="str">
        <f t="shared" si="45"/>
        <v>Active</v>
      </c>
    </row>
    <row r="1460" spans="1:24" x14ac:dyDescent="0.3">
      <c r="A1460" s="2">
        <v>1459</v>
      </c>
      <c r="B1460" s="7">
        <v>23.8</v>
      </c>
      <c r="C1460" s="2" t="s">
        <v>11</v>
      </c>
      <c r="D1460" s="7">
        <f>IF(ISBLANK('Raw sheet'!D1460),AVERAGE('Raw sheet'!$D$2:'Raw sheet'!$D$1500),'Raw sheet'!D1460)</f>
        <v>37619</v>
      </c>
      <c r="E1460" s="7" t="str">
        <f>IF(Table1[[#This Row],[Family_Income]]&gt;=100000,"Upper",IF(D1460&gt;=50000,"Middle","Lower"))</f>
        <v>Lower</v>
      </c>
      <c r="F1460" s="2" t="s">
        <v>4</v>
      </c>
      <c r="G1460" s="3">
        <f>IF(ISBLANK('Raw sheet'!F1460),AVERAGE('Raw sheet'!$F$2:'Raw sheet'!$F$1500),'Raw sheet'!F1460)</f>
        <v>5.15</v>
      </c>
      <c r="H1460" s="18">
        <v>84.6</v>
      </c>
      <c r="I1460" s="9" t="str">
        <f t="shared" si="44"/>
        <v>Good</v>
      </c>
      <c r="J1460" s="2">
        <v>7</v>
      </c>
      <c r="K1460" s="2">
        <v>29.4</v>
      </c>
      <c r="L1460" s="2" t="s">
        <v>3</v>
      </c>
      <c r="M1460" s="2" t="s">
        <v>3</v>
      </c>
      <c r="N1460" s="5">
        <f>IF(ISBLANK('Raw sheet'!L1460),AVERAGE('Raw sheet'!$L$2:'Raw sheet'!$L$1500),'Raw sheet'!L1460)</f>
        <v>4.5999999999999996</v>
      </c>
      <c r="O1460" s="5" t="str">
        <f>IF(Table1[[#This Row],[Stress_Index]]&gt;=8,"High",IF(N1460&gt;=5,"Medium","Low"))</f>
        <v>Low</v>
      </c>
      <c r="P1460" s="3">
        <v>0.56000000000000005</v>
      </c>
      <c r="Q1460" s="2">
        <v>0.75</v>
      </c>
      <c r="R1460" s="3">
        <v>0.75</v>
      </c>
      <c r="S1460" s="3" t="str">
        <f>IF(Table1[[#This Row],[CGPA]]&gt;=3,"High",IF(R1459&gt;=2,"Medium","Low"))</f>
        <v>Medium</v>
      </c>
      <c r="T1460" s="2" t="s">
        <v>2</v>
      </c>
      <c r="U1460" s="2" t="s">
        <v>1</v>
      </c>
      <c r="V1460" s="2" t="s">
        <v>15</v>
      </c>
      <c r="W1460" s="7">
        <v>1</v>
      </c>
      <c r="X1460" t="str">
        <f t="shared" si="45"/>
        <v>Dropped Out</v>
      </c>
    </row>
    <row r="1461" spans="1:24" x14ac:dyDescent="0.3">
      <c r="A1461" s="2">
        <v>1460</v>
      </c>
      <c r="B1461" s="7">
        <v>22.5</v>
      </c>
      <c r="C1461" s="2" t="s">
        <v>5</v>
      </c>
      <c r="D1461" s="7">
        <f>IF(ISBLANK('Raw sheet'!D1461),AVERAGE('Raw sheet'!$D$2:'Raw sheet'!$D$1500),'Raw sheet'!D1461)</f>
        <v>25000</v>
      </c>
      <c r="E1461" s="7" t="str">
        <f>IF(Table1[[#This Row],[Family_Income]]&gt;=100000,"Upper",IF(D1461&gt;=50000,"Middle","Lower"))</f>
        <v>Lower</v>
      </c>
      <c r="F1461" s="2" t="s">
        <v>4</v>
      </c>
      <c r="G1461" s="3">
        <f>IF(ISBLANK('Raw sheet'!F1461),AVERAGE('Raw sheet'!$F$2:'Raw sheet'!$F$1500),'Raw sheet'!F1461)</f>
        <v>4.58</v>
      </c>
      <c r="H1461" s="18">
        <v>79.2</v>
      </c>
      <c r="I1461" s="9" t="str">
        <f t="shared" si="44"/>
        <v>Good</v>
      </c>
      <c r="J1461" s="2">
        <v>1</v>
      </c>
      <c r="K1461" s="2">
        <v>43.1</v>
      </c>
      <c r="L1461" s="2" t="s">
        <v>4</v>
      </c>
      <c r="M1461" s="2" t="s">
        <v>4</v>
      </c>
      <c r="N1461" s="5">
        <f>IF(ISBLANK('Raw sheet'!L1461),AVERAGE('Raw sheet'!$L$2:'Raw sheet'!$L$1500),'Raw sheet'!L1461)</f>
        <v>2.6</v>
      </c>
      <c r="O1461" s="5" t="str">
        <f>IF(Table1[[#This Row],[Stress_Index]]&gt;=8,"High",IF(N1461&gt;=5,"Medium","Low"))</f>
        <v>Low</v>
      </c>
      <c r="P1461" s="3">
        <v>3.54</v>
      </c>
      <c r="Q1461" s="2">
        <v>3.28</v>
      </c>
      <c r="R1461" s="3">
        <v>3.27</v>
      </c>
      <c r="S1461" s="3" t="str">
        <f>IF(Table1[[#This Row],[CGPA]]&gt;=3,"High",IF(R1460&gt;=2,"Medium","Low"))</f>
        <v>High</v>
      </c>
      <c r="T1461" s="2" t="s">
        <v>12</v>
      </c>
      <c r="U1461" s="2" t="s">
        <v>14</v>
      </c>
      <c r="V1461" s="2" t="s">
        <v>15</v>
      </c>
      <c r="W1461" s="7">
        <v>0</v>
      </c>
      <c r="X1461" t="str">
        <f t="shared" si="45"/>
        <v>Active</v>
      </c>
    </row>
    <row r="1462" spans="1:24" x14ac:dyDescent="0.3">
      <c r="A1462" s="2">
        <v>1461</v>
      </c>
      <c r="B1462" s="7">
        <v>20.7</v>
      </c>
      <c r="C1462" s="2" t="s">
        <v>11</v>
      </c>
      <c r="D1462" s="7">
        <f>IF(ISBLANK('Raw sheet'!D1462),AVERAGE('Raw sheet'!$D$2:'Raw sheet'!$D$1500),'Raw sheet'!D1462)</f>
        <v>74697</v>
      </c>
      <c r="E1462" s="7" t="str">
        <f>IF(Table1[[#This Row],[Family_Income]]&gt;=100000,"Upper",IF(D1462&gt;=50000,"Middle","Lower"))</f>
        <v>Middle</v>
      </c>
      <c r="F1462" s="2" t="s">
        <v>4</v>
      </c>
      <c r="G1462" s="3">
        <f>IF(ISBLANK('Raw sheet'!F1462),AVERAGE('Raw sheet'!$F$2:'Raw sheet'!$F$1500),'Raw sheet'!F1462)</f>
        <v>4.21</v>
      </c>
      <c r="H1462" s="18">
        <v>60.9</v>
      </c>
      <c r="I1462" s="9" t="str">
        <f t="shared" si="44"/>
        <v>Low</v>
      </c>
      <c r="J1462" s="2">
        <v>2</v>
      </c>
      <c r="K1462" s="2">
        <v>20.9</v>
      </c>
      <c r="L1462" s="2" t="s">
        <v>4</v>
      </c>
      <c r="M1462" s="2" t="s">
        <v>3</v>
      </c>
      <c r="N1462" s="5">
        <f>IF(ISBLANK('Raw sheet'!L1462),AVERAGE('Raw sheet'!$L$2:'Raw sheet'!$L$1500),'Raw sheet'!L1462)</f>
        <v>3.9</v>
      </c>
      <c r="O1462" s="5" t="str">
        <f>IF(Table1[[#This Row],[Stress_Index]]&gt;=8,"High",IF(N1462&gt;=5,"Medium","Low"))</f>
        <v>Low</v>
      </c>
      <c r="P1462" s="3">
        <v>2.82</v>
      </c>
      <c r="Q1462" s="2">
        <v>2.44</v>
      </c>
      <c r="R1462" s="3">
        <v>2.44</v>
      </c>
      <c r="S1462" s="3" t="str">
        <f>IF(Table1[[#This Row],[CGPA]]&gt;=3,"High",IF(R1461&gt;=2,"Medium","Low"))</f>
        <v>Medium</v>
      </c>
      <c r="T1462" s="2" t="s">
        <v>7</v>
      </c>
      <c r="U1462" s="2" t="s">
        <v>13</v>
      </c>
      <c r="V1462" s="2" t="s">
        <v>9</v>
      </c>
      <c r="W1462" s="7">
        <v>0</v>
      </c>
      <c r="X1462" t="str">
        <f t="shared" si="45"/>
        <v>Active</v>
      </c>
    </row>
    <row r="1463" spans="1:24" x14ac:dyDescent="0.3">
      <c r="A1463" s="2">
        <v>1462</v>
      </c>
      <c r="B1463" s="7">
        <v>18.3</v>
      </c>
      <c r="C1463" s="2" t="s">
        <v>5</v>
      </c>
      <c r="D1463" s="7">
        <f>IF(ISBLANK('Raw sheet'!D1463),AVERAGE('Raw sheet'!$D$2:'Raw sheet'!$D$1500),'Raw sheet'!D1463)</f>
        <v>25000</v>
      </c>
      <c r="E1463" s="7" t="str">
        <f>IF(Table1[[#This Row],[Family_Income]]&gt;=100000,"Upper",IF(D1463&gt;=50000,"Middle","Lower"))</f>
        <v>Lower</v>
      </c>
      <c r="F1463" s="2" t="s">
        <v>4</v>
      </c>
      <c r="G1463" s="3">
        <f>IF(ISBLANK('Raw sheet'!F1463),AVERAGE('Raw sheet'!$F$2:'Raw sheet'!$F$1500),'Raw sheet'!F1463)</f>
        <v>5.43</v>
      </c>
      <c r="H1463" s="18">
        <v>82.7</v>
      </c>
      <c r="I1463" s="9" t="str">
        <f t="shared" si="44"/>
        <v>Good</v>
      </c>
      <c r="J1463" s="2">
        <v>1</v>
      </c>
      <c r="K1463" s="2">
        <v>50.5</v>
      </c>
      <c r="L1463" s="2" t="s">
        <v>4</v>
      </c>
      <c r="M1463" s="2" t="s">
        <v>3</v>
      </c>
      <c r="N1463" s="5">
        <f>IF(ISBLANK('Raw sheet'!L1463),AVERAGE('Raw sheet'!$L$2:'Raw sheet'!$L$1500),'Raw sheet'!L1463)</f>
        <v>1.7</v>
      </c>
      <c r="O1463" s="5" t="str">
        <f>IF(Table1[[#This Row],[Stress_Index]]&gt;=8,"High",IF(N1463&gt;=5,"Medium","Low"))</f>
        <v>Low</v>
      </c>
      <c r="P1463" s="3">
        <v>3.26</v>
      </c>
      <c r="Q1463" s="2">
        <v>2.97</v>
      </c>
      <c r="R1463" s="3">
        <v>3.02</v>
      </c>
      <c r="S1463" s="3" t="str">
        <f>IF(Table1[[#This Row],[CGPA]]&gt;=3,"High",IF(R1462&gt;=2,"Medium","Low"))</f>
        <v>High</v>
      </c>
      <c r="T1463" s="2" t="s">
        <v>10</v>
      </c>
      <c r="U1463" s="2" t="s">
        <v>13</v>
      </c>
      <c r="V1463" s="2" t="s">
        <v>9</v>
      </c>
      <c r="W1463" s="7">
        <v>0</v>
      </c>
      <c r="X1463" t="str">
        <f t="shared" si="45"/>
        <v>Active</v>
      </c>
    </row>
    <row r="1464" spans="1:24" x14ac:dyDescent="0.3">
      <c r="A1464" s="2">
        <v>1463</v>
      </c>
      <c r="B1464" s="7">
        <v>20.5</v>
      </c>
      <c r="C1464" s="2" t="s">
        <v>5</v>
      </c>
      <c r="D1464" s="7">
        <f>IF(ISBLANK('Raw sheet'!D1464),AVERAGE('Raw sheet'!$D$2:'Raw sheet'!$D$1500),'Raw sheet'!D1464)</f>
        <v>25000</v>
      </c>
      <c r="E1464" s="7" t="str">
        <f>IF(Table1[[#This Row],[Family_Income]]&gt;=100000,"Upper",IF(D1464&gt;=50000,"Middle","Lower"))</f>
        <v>Lower</v>
      </c>
      <c r="F1464" s="2" t="s">
        <v>4</v>
      </c>
      <c r="G1464" s="3">
        <f>IF(ISBLANK('Raw sheet'!F1464),AVERAGE('Raw sheet'!$F$2:'Raw sheet'!$F$1500),'Raw sheet'!F1464)</f>
        <v>3.19</v>
      </c>
      <c r="H1464" s="18">
        <v>92.1</v>
      </c>
      <c r="I1464" s="9" t="str">
        <f t="shared" si="44"/>
        <v>Good</v>
      </c>
      <c r="J1464" s="2">
        <v>1</v>
      </c>
      <c r="K1464" s="2">
        <v>39.5</v>
      </c>
      <c r="L1464" s="2" t="s">
        <v>3</v>
      </c>
      <c r="M1464" s="2" t="s">
        <v>3</v>
      </c>
      <c r="N1464" s="5">
        <f>IF(ISBLANK('Raw sheet'!L1464),AVERAGE('Raw sheet'!$L$2:'Raw sheet'!$L$1500),'Raw sheet'!L1464)</f>
        <v>9.6999999999999993</v>
      </c>
      <c r="O1464" s="5" t="str">
        <f>IF(Table1[[#This Row],[Stress_Index]]&gt;=8,"High",IF(N1464&gt;=5,"Medium","Low"))</f>
        <v>High</v>
      </c>
      <c r="P1464" s="3">
        <v>0.23</v>
      </c>
      <c r="Q1464" s="2">
        <v>0.26</v>
      </c>
      <c r="R1464" s="3">
        <v>0.28999999999999998</v>
      </c>
      <c r="S1464" s="3" t="str">
        <f>IF(Table1[[#This Row],[CGPA]]&gt;=3,"High",IF(R1463&gt;=2,"Medium","Low"))</f>
        <v>Medium</v>
      </c>
      <c r="T1464" s="2" t="s">
        <v>10</v>
      </c>
      <c r="U1464" s="2" t="s">
        <v>6</v>
      </c>
      <c r="V1464" s="2" t="s">
        <v>17</v>
      </c>
      <c r="W1464" s="7">
        <v>0</v>
      </c>
      <c r="X1464" t="str">
        <f t="shared" si="45"/>
        <v>Active</v>
      </c>
    </row>
    <row r="1465" spans="1:24" x14ac:dyDescent="0.3">
      <c r="A1465" s="2">
        <v>1464</v>
      </c>
      <c r="B1465" s="7">
        <v>19.100000000000001</v>
      </c>
      <c r="C1465" s="2" t="s">
        <v>5</v>
      </c>
      <c r="D1465" s="7">
        <f>IF(ISBLANK('Raw sheet'!D1465),AVERAGE('Raw sheet'!$D$2:'Raw sheet'!$D$1500),'Raw sheet'!D1465)</f>
        <v>32656</v>
      </c>
      <c r="E1465" s="7" t="str">
        <f>IF(Table1[[#This Row],[Family_Income]]&gt;=100000,"Upper",IF(D1465&gt;=50000,"Middle","Lower"))</f>
        <v>Lower</v>
      </c>
      <c r="F1465" s="2" t="s">
        <v>4</v>
      </c>
      <c r="G1465" s="3">
        <f>IF(ISBLANK('Raw sheet'!F1465),AVERAGE('Raw sheet'!$F$2:'Raw sheet'!$F$1500),'Raw sheet'!F1465)</f>
        <v>4.97</v>
      </c>
      <c r="H1465" s="18">
        <v>73.2</v>
      </c>
      <c r="I1465" s="9" t="str">
        <f t="shared" si="44"/>
        <v>Low</v>
      </c>
      <c r="J1465" s="2">
        <v>2</v>
      </c>
      <c r="K1465" s="2">
        <v>26.6</v>
      </c>
      <c r="L1465" s="2" t="s">
        <v>3</v>
      </c>
      <c r="M1465" s="2" t="s">
        <v>4</v>
      </c>
      <c r="N1465" s="5">
        <f>IF(ISBLANK('Raw sheet'!L1465),AVERAGE('Raw sheet'!$L$2:'Raw sheet'!$L$1500),'Raw sheet'!L1465)</f>
        <v>5.5</v>
      </c>
      <c r="O1465" s="5" t="str">
        <f>IF(Table1[[#This Row],[Stress_Index]]&gt;=8,"High",IF(N1465&gt;=5,"Medium","Low"))</f>
        <v>Medium</v>
      </c>
      <c r="P1465" s="3">
        <v>2.65</v>
      </c>
      <c r="Q1465" s="2">
        <v>3.03</v>
      </c>
      <c r="R1465" s="3">
        <v>3.03</v>
      </c>
      <c r="S1465" s="3" t="str">
        <f>IF(Table1[[#This Row],[CGPA]]&gt;=3,"High",IF(R1464&gt;=2,"Medium","Low"))</f>
        <v>High</v>
      </c>
      <c r="T1465" s="2" t="s">
        <v>2</v>
      </c>
      <c r="U1465" s="2" t="s">
        <v>8</v>
      </c>
      <c r="V1465" s="2" t="s">
        <v>15</v>
      </c>
      <c r="W1465" s="7">
        <v>0</v>
      </c>
      <c r="X1465" t="str">
        <f t="shared" si="45"/>
        <v>Active</v>
      </c>
    </row>
    <row r="1466" spans="1:24" x14ac:dyDescent="0.3">
      <c r="A1466" s="2">
        <v>1465</v>
      </c>
      <c r="B1466" s="7">
        <v>19.7</v>
      </c>
      <c r="C1466" s="2" t="s">
        <v>5</v>
      </c>
      <c r="D1466" s="7">
        <f>IF(ISBLANK('Raw sheet'!D1466),AVERAGE('Raw sheet'!$D$2:'Raw sheet'!$D$1500),'Raw sheet'!D1466)</f>
        <v>67978</v>
      </c>
      <c r="E1466" s="7" t="str">
        <f>IF(Table1[[#This Row],[Family_Income]]&gt;=100000,"Upper",IF(D1466&gt;=50000,"Middle","Lower"))</f>
        <v>Middle</v>
      </c>
      <c r="F1466" s="2" t="s">
        <v>4</v>
      </c>
      <c r="G1466" s="3">
        <f>IF(ISBLANK('Raw sheet'!F1466),AVERAGE('Raw sheet'!$F$2:'Raw sheet'!$F$1500),'Raw sheet'!F1466)</f>
        <v>3.46</v>
      </c>
      <c r="H1466" s="18">
        <v>76.8</v>
      </c>
      <c r="I1466" s="9" t="str">
        <f t="shared" si="44"/>
        <v>Good</v>
      </c>
      <c r="J1466" s="2">
        <v>1</v>
      </c>
      <c r="K1466" s="2">
        <v>33.4</v>
      </c>
      <c r="L1466" s="2" t="s">
        <v>4</v>
      </c>
      <c r="M1466" s="2" t="s">
        <v>4</v>
      </c>
      <c r="N1466" s="5">
        <f>IF(ISBLANK('Raw sheet'!L1466),AVERAGE('Raw sheet'!$L$2:'Raw sheet'!$L$1500),'Raw sheet'!L1466)</f>
        <v>6.5</v>
      </c>
      <c r="O1466" s="5" t="str">
        <f>IF(Table1[[#This Row],[Stress_Index]]&gt;=8,"High",IF(N1466&gt;=5,"Medium","Low"))</f>
        <v>Medium</v>
      </c>
      <c r="P1466" s="3">
        <v>1.66</v>
      </c>
      <c r="Q1466" s="2">
        <v>2.19</v>
      </c>
      <c r="R1466" s="3">
        <v>2.16</v>
      </c>
      <c r="S1466" s="3" t="str">
        <f>IF(Table1[[#This Row],[CGPA]]&gt;=3,"High",IF(R1465&gt;=2,"Medium","Low"))</f>
        <v>Medium</v>
      </c>
      <c r="T1466" s="2" t="s">
        <v>12</v>
      </c>
      <c r="U1466" s="2" t="s">
        <v>8</v>
      </c>
      <c r="V1466" s="2" t="s">
        <v>9</v>
      </c>
      <c r="W1466" s="7">
        <v>1</v>
      </c>
      <c r="X1466" t="str">
        <f t="shared" si="45"/>
        <v>Dropped Out</v>
      </c>
    </row>
    <row r="1467" spans="1:24" x14ac:dyDescent="0.3">
      <c r="A1467" s="2">
        <v>1466</v>
      </c>
      <c r="B1467" s="7">
        <v>22.3</v>
      </c>
      <c r="C1467" s="2" t="s">
        <v>5</v>
      </c>
      <c r="D1467" s="7">
        <f>IF(ISBLANK('Raw sheet'!D1467),AVERAGE('Raw sheet'!$D$2:'Raw sheet'!$D$1500),'Raw sheet'!D1467)</f>
        <v>55936</v>
      </c>
      <c r="E1467" s="7" t="str">
        <f>IF(Table1[[#This Row],[Family_Income]]&gt;=100000,"Upper",IF(D1467&gt;=50000,"Middle","Lower"))</f>
        <v>Middle</v>
      </c>
      <c r="F1467" s="2" t="s">
        <v>3</v>
      </c>
      <c r="G1467" s="3">
        <f>IF(ISBLANK('Raw sheet'!F1467),AVERAGE('Raw sheet'!$F$2:'Raw sheet'!$F$1500),'Raw sheet'!F1467)</f>
        <v>4.12</v>
      </c>
      <c r="H1467" s="18">
        <v>92.6</v>
      </c>
      <c r="I1467" s="9" t="str">
        <f t="shared" si="44"/>
        <v>Good</v>
      </c>
      <c r="J1467" s="2">
        <v>0</v>
      </c>
      <c r="K1467" s="2">
        <v>37.5</v>
      </c>
      <c r="L1467" s="2" t="s">
        <v>4</v>
      </c>
      <c r="M1467" s="2" t="s">
        <v>3</v>
      </c>
      <c r="N1467" s="5">
        <f>IF(ISBLANK('Raw sheet'!L1467),AVERAGE('Raw sheet'!$L$2:'Raw sheet'!$L$1500),'Raw sheet'!L1467)</f>
        <v>4</v>
      </c>
      <c r="O1467" s="5" t="str">
        <f>IF(Table1[[#This Row],[Stress_Index]]&gt;=8,"High",IF(N1467&gt;=5,"Medium","Low"))</f>
        <v>Low</v>
      </c>
      <c r="P1467" s="3">
        <v>2.62</v>
      </c>
      <c r="Q1467" s="2">
        <v>3.08</v>
      </c>
      <c r="R1467" s="3">
        <v>3.07</v>
      </c>
      <c r="S1467" s="3" t="str">
        <f>IF(Table1[[#This Row],[CGPA]]&gt;=3,"High",IF(R1466&gt;=2,"Medium","Low"))</f>
        <v>High</v>
      </c>
      <c r="T1467" s="2" t="s">
        <v>10</v>
      </c>
      <c r="U1467" s="2" t="s">
        <v>1</v>
      </c>
      <c r="V1467" s="2" t="s">
        <v>9</v>
      </c>
      <c r="W1467" s="7">
        <v>0</v>
      </c>
      <c r="X1467" t="str">
        <f t="shared" si="45"/>
        <v>Active</v>
      </c>
    </row>
    <row r="1468" spans="1:24" x14ac:dyDescent="0.3">
      <c r="A1468" s="2">
        <v>1467</v>
      </c>
      <c r="B1468" s="7">
        <v>24.7</v>
      </c>
      <c r="C1468" s="2" t="s">
        <v>11</v>
      </c>
      <c r="D1468" s="7">
        <f>IF(ISBLANK('Raw sheet'!D1468),AVERAGE('Raw sheet'!$D$2:'Raw sheet'!$D$1500),'Raw sheet'!D1468)</f>
        <v>51214</v>
      </c>
      <c r="E1468" s="7" t="str">
        <f>IF(Table1[[#This Row],[Family_Income]]&gt;=100000,"Upper",IF(D1468&gt;=50000,"Middle","Lower"))</f>
        <v>Middle</v>
      </c>
      <c r="F1468" s="2" t="s">
        <v>4</v>
      </c>
      <c r="G1468" s="3">
        <f>IF(ISBLANK('Raw sheet'!F1468),AVERAGE('Raw sheet'!$F$2:'Raw sheet'!$F$1500),'Raw sheet'!F1468)</f>
        <v>2.4300000000000002</v>
      </c>
      <c r="H1468" s="18">
        <v>86.5</v>
      </c>
      <c r="I1468" s="9" t="str">
        <f t="shared" si="44"/>
        <v>Good</v>
      </c>
      <c r="J1468" s="2">
        <v>0</v>
      </c>
      <c r="K1468" s="2">
        <v>24.9</v>
      </c>
      <c r="L1468" s="2" t="s">
        <v>3</v>
      </c>
      <c r="M1468" s="2" t="s">
        <v>4</v>
      </c>
      <c r="N1468" s="5">
        <f>IF(ISBLANK('Raw sheet'!L1468),AVERAGE('Raw sheet'!$L$2:'Raw sheet'!$L$1500),'Raw sheet'!L1468)</f>
        <v>6.4</v>
      </c>
      <c r="O1468" s="5" t="str">
        <f>IF(Table1[[#This Row],[Stress_Index]]&gt;=8,"High",IF(N1468&gt;=5,"Medium","Low"))</f>
        <v>Medium</v>
      </c>
      <c r="P1468" s="3">
        <v>1.62</v>
      </c>
      <c r="Q1468" s="2">
        <v>1.24</v>
      </c>
      <c r="R1468" s="3">
        <v>1.23</v>
      </c>
      <c r="S1468" s="3" t="str">
        <f>IF(Table1[[#This Row],[CGPA]]&gt;=3,"High",IF(R1467&gt;=2,"Medium","Low"))</f>
        <v>Medium</v>
      </c>
      <c r="T1468" s="2" t="s">
        <v>10</v>
      </c>
      <c r="U1468" s="2" t="s">
        <v>1</v>
      </c>
      <c r="V1468" s="2" t="s">
        <v>9</v>
      </c>
      <c r="W1468" s="7">
        <v>0</v>
      </c>
      <c r="X1468" t="str">
        <f t="shared" si="45"/>
        <v>Active</v>
      </c>
    </row>
    <row r="1469" spans="1:24" x14ac:dyDescent="0.3">
      <c r="A1469" s="2">
        <v>1468</v>
      </c>
      <c r="B1469" s="7">
        <v>21.9</v>
      </c>
      <c r="C1469" s="2" t="s">
        <v>5</v>
      </c>
      <c r="D1469" s="7">
        <f>IF(ISBLANK('Raw sheet'!D1469),AVERAGE('Raw sheet'!$D$2:'Raw sheet'!$D$1500),'Raw sheet'!D1469)</f>
        <v>25000</v>
      </c>
      <c r="E1469" s="7" t="str">
        <f>IF(Table1[[#This Row],[Family_Income]]&gt;=100000,"Upper",IF(D1469&gt;=50000,"Middle","Lower"))</f>
        <v>Lower</v>
      </c>
      <c r="F1469" s="2" t="s">
        <v>3</v>
      </c>
      <c r="G1469" s="3">
        <f>IF(ISBLANK('Raw sheet'!F1469),AVERAGE('Raw sheet'!$F$2:'Raw sheet'!$F$1500),'Raw sheet'!F1469)</f>
        <v>2.2999999999999998</v>
      </c>
      <c r="H1469" s="18">
        <v>79.400000000000006</v>
      </c>
      <c r="I1469" s="9" t="str">
        <f t="shared" si="44"/>
        <v>Good</v>
      </c>
      <c r="J1469" s="2">
        <v>3</v>
      </c>
      <c r="K1469" s="2">
        <v>42.4</v>
      </c>
      <c r="L1469" s="2" t="s">
        <v>3</v>
      </c>
      <c r="M1469" s="2" t="s">
        <v>3</v>
      </c>
      <c r="N1469" s="5">
        <f>IF(ISBLANK('Raw sheet'!L1469),AVERAGE('Raw sheet'!$L$2:'Raw sheet'!$L$1500),'Raw sheet'!L1469)</f>
        <v>6.9</v>
      </c>
      <c r="O1469" s="5" t="str">
        <f>IF(Table1[[#This Row],[Stress_Index]]&gt;=8,"High",IF(N1469&gt;=5,"Medium","Low"))</f>
        <v>Medium</v>
      </c>
      <c r="P1469" s="3">
        <v>3.31</v>
      </c>
      <c r="Q1469" s="2">
        <v>3.87</v>
      </c>
      <c r="R1469" s="3">
        <v>3.87</v>
      </c>
      <c r="S1469" s="3" t="str">
        <f>IF(Table1[[#This Row],[CGPA]]&gt;=3,"High",IF(R1468&gt;=2,"Medium","Low"))</f>
        <v>High</v>
      </c>
      <c r="T1469" s="2" t="s">
        <v>2</v>
      </c>
      <c r="U1469" s="2" t="s">
        <v>6</v>
      </c>
      <c r="V1469" s="2" t="s">
        <v>15</v>
      </c>
      <c r="W1469" s="7">
        <v>0</v>
      </c>
      <c r="X1469" t="str">
        <f t="shared" si="45"/>
        <v>Active</v>
      </c>
    </row>
    <row r="1470" spans="1:24" x14ac:dyDescent="0.3">
      <c r="A1470" s="2">
        <v>1469</v>
      </c>
      <c r="B1470" s="7">
        <v>18.399999999999999</v>
      </c>
      <c r="C1470" s="2" t="s">
        <v>5</v>
      </c>
      <c r="D1470" s="7">
        <f>IF(ISBLANK('Raw sheet'!D1470),AVERAGE('Raw sheet'!$D$2:'Raw sheet'!$D$1500),'Raw sheet'!D1470)</f>
        <v>25000</v>
      </c>
      <c r="E1470" s="7" t="str">
        <f>IF(Table1[[#This Row],[Family_Income]]&gt;=100000,"Upper",IF(D1470&gt;=50000,"Middle","Lower"))</f>
        <v>Lower</v>
      </c>
      <c r="F1470" s="2" t="s">
        <v>4</v>
      </c>
      <c r="G1470" s="3">
        <f>IF(ISBLANK('Raw sheet'!F1470),AVERAGE('Raw sheet'!$F$2:'Raw sheet'!$F$1500),'Raw sheet'!F1470)</f>
        <v>3.9</v>
      </c>
      <c r="H1470" s="18">
        <v>84.4</v>
      </c>
      <c r="I1470" s="9" t="str">
        <f t="shared" si="44"/>
        <v>Good</v>
      </c>
      <c r="J1470" s="2">
        <v>0</v>
      </c>
      <c r="K1470" s="2">
        <v>45.3</v>
      </c>
      <c r="L1470" s="2" t="s">
        <v>3</v>
      </c>
      <c r="M1470" s="2" t="s">
        <v>3</v>
      </c>
      <c r="N1470" s="5">
        <f>IF(ISBLANK('Raw sheet'!L1470),AVERAGE('Raw sheet'!$L$2:'Raw sheet'!$L$1500),'Raw sheet'!L1470)</f>
        <v>7.2</v>
      </c>
      <c r="O1470" s="5" t="str">
        <f>IF(Table1[[#This Row],[Stress_Index]]&gt;=8,"High",IF(N1470&gt;=5,"Medium","Low"))</f>
        <v>Medium</v>
      </c>
      <c r="P1470" s="3">
        <v>1.35</v>
      </c>
      <c r="Q1470" s="2">
        <v>1.69</v>
      </c>
      <c r="R1470" s="3">
        <v>1.73</v>
      </c>
      <c r="S1470" s="3" t="str">
        <f>IF(Table1[[#This Row],[CGPA]]&gt;=3,"High",IF(R1469&gt;=2,"Medium","Low"))</f>
        <v>Medium</v>
      </c>
      <c r="T1470" s="2" t="s">
        <v>10</v>
      </c>
      <c r="U1470" s="2" t="s">
        <v>14</v>
      </c>
      <c r="V1470" s="2" t="s">
        <v>9</v>
      </c>
      <c r="W1470" s="7">
        <v>0</v>
      </c>
      <c r="X1470" t="str">
        <f t="shared" si="45"/>
        <v>Active</v>
      </c>
    </row>
    <row r="1471" spans="1:24" x14ac:dyDescent="0.3">
      <c r="A1471" s="2">
        <v>1470</v>
      </c>
      <c r="B1471" s="7">
        <v>22</v>
      </c>
      <c r="C1471" s="2" t="s">
        <v>5</v>
      </c>
      <c r="D1471" s="7">
        <f>IF(ISBLANK('Raw sheet'!D1471),AVERAGE('Raw sheet'!$D$2:'Raw sheet'!$D$1500),'Raw sheet'!D1471)</f>
        <v>36591</v>
      </c>
      <c r="E1471" s="7" t="str">
        <f>IF(Table1[[#This Row],[Family_Income]]&gt;=100000,"Upper",IF(D1471&gt;=50000,"Middle","Lower"))</f>
        <v>Lower</v>
      </c>
      <c r="F1471" s="2" t="s">
        <v>4</v>
      </c>
      <c r="G1471" s="3">
        <f>IF(ISBLANK('Raw sheet'!F1471),AVERAGE('Raw sheet'!$F$2:'Raw sheet'!$F$1500),'Raw sheet'!F1471)</f>
        <v>5.39</v>
      </c>
      <c r="H1471" s="18">
        <v>77</v>
      </c>
      <c r="I1471" s="9" t="str">
        <f t="shared" si="44"/>
        <v>Good</v>
      </c>
      <c r="J1471" s="2">
        <v>2</v>
      </c>
      <c r="K1471" s="2">
        <v>26.8</v>
      </c>
      <c r="L1471" s="2" t="s">
        <v>3</v>
      </c>
      <c r="M1471" s="2" t="s">
        <v>3</v>
      </c>
      <c r="N1471" s="5">
        <f>IF(ISBLANK('Raw sheet'!L1471),AVERAGE('Raw sheet'!$L$2:'Raw sheet'!$L$1500),'Raw sheet'!L1471)</f>
        <v>5.4</v>
      </c>
      <c r="O1471" s="5" t="str">
        <f>IF(Table1[[#This Row],[Stress_Index]]&gt;=8,"High",IF(N1471&gt;=5,"Medium","Low"))</f>
        <v>Medium</v>
      </c>
      <c r="P1471" s="3">
        <v>1.3</v>
      </c>
      <c r="Q1471" s="2">
        <v>1.4</v>
      </c>
      <c r="R1471" s="3">
        <v>1.46</v>
      </c>
      <c r="S1471" s="3" t="str">
        <f>IF(Table1[[#This Row],[CGPA]]&gt;=3,"High",IF(R1470&gt;=2,"Medium","Low"))</f>
        <v>Low</v>
      </c>
      <c r="T1471" s="2" t="s">
        <v>10</v>
      </c>
      <c r="U1471" s="2" t="s">
        <v>13</v>
      </c>
      <c r="V1471" s="2" t="s">
        <v>15</v>
      </c>
      <c r="W1471" s="7">
        <v>0</v>
      </c>
      <c r="X1471" t="str">
        <f t="shared" si="45"/>
        <v>Active</v>
      </c>
    </row>
    <row r="1472" spans="1:24" x14ac:dyDescent="0.3">
      <c r="A1472" s="2">
        <v>1471</v>
      </c>
      <c r="B1472" s="7">
        <v>23.6</v>
      </c>
      <c r="C1472" s="2" t="s">
        <v>11</v>
      </c>
      <c r="D1472" s="7">
        <f>IF(ISBLANK('Raw sheet'!D1472),AVERAGE('Raw sheet'!$D$2:'Raw sheet'!$D$1500),'Raw sheet'!D1472)</f>
        <v>27500</v>
      </c>
      <c r="E1472" s="7" t="str">
        <f>IF(Table1[[#This Row],[Family_Income]]&gt;=100000,"Upper",IF(D1472&gt;=50000,"Middle","Lower"))</f>
        <v>Lower</v>
      </c>
      <c r="F1472" s="2" t="s">
        <v>4</v>
      </c>
      <c r="G1472" s="3">
        <f>IF(ISBLANK('Raw sheet'!F1472),AVERAGE('Raw sheet'!$F$2:'Raw sheet'!$F$1500),'Raw sheet'!F1472)</f>
        <v>3.74</v>
      </c>
      <c r="H1472" s="18">
        <v>100</v>
      </c>
      <c r="I1472" s="9" t="str">
        <f t="shared" si="44"/>
        <v>Good</v>
      </c>
      <c r="J1472" s="2">
        <v>0</v>
      </c>
      <c r="K1472" s="2">
        <v>24.3</v>
      </c>
      <c r="L1472" s="2" t="s">
        <v>3</v>
      </c>
      <c r="M1472" s="2" t="s">
        <v>3</v>
      </c>
      <c r="N1472" s="5">
        <f>IF(ISBLANK('Raw sheet'!L1472),AVERAGE('Raw sheet'!$L$2:'Raw sheet'!$L$1500),'Raw sheet'!L1472)</f>
        <v>7.3</v>
      </c>
      <c r="O1472" s="5" t="str">
        <f>IF(Table1[[#This Row],[Stress_Index]]&gt;=8,"High",IF(N1472&gt;=5,"Medium","Low"))</f>
        <v>Medium</v>
      </c>
      <c r="P1472" s="3">
        <v>2.4500000000000002</v>
      </c>
      <c r="Q1472" s="2">
        <v>1.99</v>
      </c>
      <c r="R1472" s="3">
        <v>1.91</v>
      </c>
      <c r="S1472" s="3" t="str">
        <f>IF(Table1[[#This Row],[CGPA]]&gt;=3,"High",IF(R1471&gt;=2,"Medium","Low"))</f>
        <v>Low</v>
      </c>
      <c r="T1472" s="2" t="s">
        <v>12</v>
      </c>
      <c r="U1472" s="2" t="s">
        <v>1</v>
      </c>
      <c r="V1472" s="2" t="s">
        <v>9</v>
      </c>
      <c r="W1472" s="7">
        <v>0</v>
      </c>
      <c r="X1472" t="str">
        <f t="shared" si="45"/>
        <v>Active</v>
      </c>
    </row>
    <row r="1473" spans="1:24" x14ac:dyDescent="0.3">
      <c r="A1473" s="2">
        <v>1472</v>
      </c>
      <c r="B1473" s="7">
        <v>19.7</v>
      </c>
      <c r="C1473" s="2" t="s">
        <v>11</v>
      </c>
      <c r="D1473" s="7">
        <f>IF(ISBLANK('Raw sheet'!D1473),AVERAGE('Raw sheet'!$D$2:'Raw sheet'!$D$1500),'Raw sheet'!D1473)</f>
        <v>50695</v>
      </c>
      <c r="E1473" s="7" t="str">
        <f>IF(Table1[[#This Row],[Family_Income]]&gt;=100000,"Upper",IF(D1473&gt;=50000,"Middle","Lower"))</f>
        <v>Middle</v>
      </c>
      <c r="F1473" s="2" t="s">
        <v>4</v>
      </c>
      <c r="G1473" s="3">
        <f>IF(ISBLANK('Raw sheet'!F1473),AVERAGE('Raw sheet'!$F$2:'Raw sheet'!$F$1500),'Raw sheet'!F1473)</f>
        <v>6.2</v>
      </c>
      <c r="H1473" s="18">
        <v>89.1</v>
      </c>
      <c r="I1473" s="9" t="str">
        <f t="shared" si="44"/>
        <v>Good</v>
      </c>
      <c r="J1473" s="2">
        <v>4</v>
      </c>
      <c r="K1473" s="2">
        <v>28.7</v>
      </c>
      <c r="L1473" s="2" t="s">
        <v>4</v>
      </c>
      <c r="M1473" s="2" t="s">
        <v>3</v>
      </c>
      <c r="N1473" s="5">
        <f>IF(ISBLANK('Raw sheet'!L1473),AVERAGE('Raw sheet'!$L$2:'Raw sheet'!$L$1500),'Raw sheet'!L1473)</f>
        <v>4.4000000000000004</v>
      </c>
      <c r="O1473" s="5" t="str">
        <f>IF(Table1[[#This Row],[Stress_Index]]&gt;=8,"High",IF(N1473&gt;=5,"Medium","Low"))</f>
        <v>Low</v>
      </c>
      <c r="P1473" s="3">
        <v>3.89</v>
      </c>
      <c r="Q1473" s="2">
        <v>4</v>
      </c>
      <c r="R1473" s="3">
        <v>4</v>
      </c>
      <c r="S1473" s="3" t="str">
        <f>IF(Table1[[#This Row],[CGPA]]&gt;=3,"High",IF(R1472&gt;=2,"Medium","Low"))</f>
        <v>High</v>
      </c>
      <c r="T1473" s="2" t="s">
        <v>2</v>
      </c>
      <c r="U1473" s="2" t="s">
        <v>14</v>
      </c>
      <c r="V1473" s="2" t="s">
        <v>15</v>
      </c>
      <c r="W1473" s="7">
        <v>0</v>
      </c>
      <c r="X1473" t="str">
        <f t="shared" si="45"/>
        <v>Active</v>
      </c>
    </row>
    <row r="1474" spans="1:24" x14ac:dyDescent="0.3">
      <c r="A1474" s="2">
        <v>1473</v>
      </c>
      <c r="B1474" s="7">
        <v>20.7</v>
      </c>
      <c r="C1474" s="2" t="s">
        <v>5</v>
      </c>
      <c r="D1474" s="7">
        <f>IF(ISBLANK('Raw sheet'!D1474),AVERAGE('Raw sheet'!$D$2:'Raw sheet'!$D$1500),'Raw sheet'!D1474)</f>
        <v>38587.00282087447</v>
      </c>
      <c r="E1474" s="7" t="str">
        <f>IF(Table1[[#This Row],[Family_Income]]&gt;=100000,"Upper",IF(D1474&gt;=50000,"Middle","Lower"))</f>
        <v>Lower</v>
      </c>
      <c r="F1474" s="2" t="s">
        <v>4</v>
      </c>
      <c r="G1474" s="3">
        <f>IF(ISBLANK('Raw sheet'!F1474),AVERAGE('Raw sheet'!$F$2:'Raw sheet'!$F$1500),'Raw sheet'!F1474)</f>
        <v>4.0178702397743278</v>
      </c>
      <c r="H1474" s="18">
        <v>95.7</v>
      </c>
      <c r="I1474" s="9" t="str">
        <f t="shared" ref="I1474:I1500" si="46">IF(H1474&gt;=75,"Good","Low")</f>
        <v>Good</v>
      </c>
      <c r="J1474" s="2">
        <v>3</v>
      </c>
      <c r="K1474" s="2">
        <v>16.100000000000001</v>
      </c>
      <c r="L1474" s="2" t="s">
        <v>3</v>
      </c>
      <c r="M1474" s="2" t="s">
        <v>4</v>
      </c>
      <c r="N1474" s="5">
        <f>IF(ISBLANK('Raw sheet'!L1474),AVERAGE('Raw sheet'!$L$2:'Raw sheet'!$L$1500),'Raw sheet'!L1474)</f>
        <v>5.5242595204513369</v>
      </c>
      <c r="O1474" s="5" t="str">
        <f>IF(Table1[[#This Row],[Stress_Index]]&gt;=8,"High",IF(N1474&gt;=5,"Medium","Low"))</f>
        <v>Medium</v>
      </c>
      <c r="P1474" s="3">
        <v>2.81</v>
      </c>
      <c r="Q1474" s="2">
        <v>2.74</v>
      </c>
      <c r="R1474" s="3">
        <v>2.74</v>
      </c>
      <c r="S1474" s="3" t="str">
        <f>IF(Table1[[#This Row],[CGPA]]&gt;=3,"High",IF(R1473&gt;=2,"Medium","Low"))</f>
        <v>Medium</v>
      </c>
      <c r="T1474" s="2" t="s">
        <v>2</v>
      </c>
      <c r="U1474" s="2" t="s">
        <v>13</v>
      </c>
      <c r="V1474" s="2" t="s">
        <v>0</v>
      </c>
      <c r="W1474" s="7">
        <v>0</v>
      </c>
      <c r="X1474" t="str">
        <f t="shared" ref="X1474:X1500" si="47">IF(W1474=1,"Dropped Out","Active")</f>
        <v>Active</v>
      </c>
    </row>
    <row r="1475" spans="1:24" x14ac:dyDescent="0.3">
      <c r="A1475" s="2">
        <v>1474</v>
      </c>
      <c r="B1475" s="7">
        <v>21</v>
      </c>
      <c r="C1475" s="2" t="s">
        <v>11</v>
      </c>
      <c r="D1475" s="7">
        <f>IF(ISBLANK('Raw sheet'!D1475),AVERAGE('Raw sheet'!$D$2:'Raw sheet'!$D$1500),'Raw sheet'!D1475)</f>
        <v>42396</v>
      </c>
      <c r="E1475" s="7" t="str">
        <f>IF(Table1[[#This Row],[Family_Income]]&gt;=100000,"Upper",IF(D1475&gt;=50000,"Middle","Lower"))</f>
        <v>Lower</v>
      </c>
      <c r="F1475" s="2" t="s">
        <v>4</v>
      </c>
      <c r="G1475" s="3">
        <f>IF(ISBLANK('Raw sheet'!F1475),AVERAGE('Raw sheet'!$F$2:'Raw sheet'!$F$1500),'Raw sheet'!F1475)</f>
        <v>3.78</v>
      </c>
      <c r="H1475" s="18">
        <v>82.7</v>
      </c>
      <c r="I1475" s="9" t="str">
        <f t="shared" si="46"/>
        <v>Good</v>
      </c>
      <c r="J1475" s="2">
        <v>4</v>
      </c>
      <c r="K1475" s="2">
        <v>10</v>
      </c>
      <c r="L1475" s="2" t="s">
        <v>3</v>
      </c>
      <c r="M1475" s="2" t="s">
        <v>3</v>
      </c>
      <c r="N1475" s="5">
        <f>IF(ISBLANK('Raw sheet'!L1475),AVERAGE('Raw sheet'!$L$2:'Raw sheet'!$L$1500),'Raw sheet'!L1475)</f>
        <v>5.6</v>
      </c>
      <c r="O1475" s="5" t="str">
        <f>IF(Table1[[#This Row],[Stress_Index]]&gt;=8,"High",IF(N1475&gt;=5,"Medium","Low"))</f>
        <v>Medium</v>
      </c>
      <c r="P1475" s="3">
        <v>3.08</v>
      </c>
      <c r="Q1475" s="2">
        <v>2.81</v>
      </c>
      <c r="R1475" s="3">
        <v>2.76</v>
      </c>
      <c r="S1475" s="3" t="str">
        <f>IF(Table1[[#This Row],[CGPA]]&gt;=3,"High",IF(R1474&gt;=2,"Medium","Low"))</f>
        <v>Medium</v>
      </c>
      <c r="T1475" s="2" t="s">
        <v>10</v>
      </c>
      <c r="U1475" s="2" t="s">
        <v>13</v>
      </c>
      <c r="V1475" s="2" t="s">
        <v>17</v>
      </c>
      <c r="W1475" s="7">
        <v>0</v>
      </c>
      <c r="X1475" t="str">
        <f t="shared" si="47"/>
        <v>Active</v>
      </c>
    </row>
    <row r="1476" spans="1:24" x14ac:dyDescent="0.3">
      <c r="A1476" s="2">
        <v>1475</v>
      </c>
      <c r="B1476" s="7">
        <v>19.3</v>
      </c>
      <c r="C1476" s="2" t="s">
        <v>11</v>
      </c>
      <c r="D1476" s="7">
        <f>IF(ISBLANK('Raw sheet'!D1476),AVERAGE('Raw sheet'!$D$2:'Raw sheet'!$D$1500),'Raw sheet'!D1476)</f>
        <v>25000</v>
      </c>
      <c r="E1476" s="7" t="str">
        <f>IF(Table1[[#This Row],[Family_Income]]&gt;=100000,"Upper",IF(D1476&gt;=50000,"Middle","Lower"))</f>
        <v>Lower</v>
      </c>
      <c r="F1476" s="2" t="s">
        <v>4</v>
      </c>
      <c r="G1476" s="3">
        <f>IF(ISBLANK('Raw sheet'!F1476),AVERAGE('Raw sheet'!$F$2:'Raw sheet'!$F$1500),'Raw sheet'!F1476)</f>
        <v>5.93</v>
      </c>
      <c r="H1476" s="18">
        <v>71.8</v>
      </c>
      <c r="I1476" s="9" t="str">
        <f t="shared" si="46"/>
        <v>Low</v>
      </c>
      <c r="J1476" s="2">
        <v>3</v>
      </c>
      <c r="K1476" s="2">
        <v>24.8</v>
      </c>
      <c r="L1476" s="2" t="s">
        <v>4</v>
      </c>
      <c r="M1476" s="2" t="s">
        <v>4</v>
      </c>
      <c r="N1476" s="5">
        <f>IF(ISBLANK('Raw sheet'!L1476),AVERAGE('Raw sheet'!$L$2:'Raw sheet'!$L$1500),'Raw sheet'!L1476)</f>
        <v>3.4</v>
      </c>
      <c r="O1476" s="5" t="str">
        <f>IF(Table1[[#This Row],[Stress_Index]]&gt;=8,"High",IF(N1476&gt;=5,"Medium","Low"))</f>
        <v>Low</v>
      </c>
      <c r="P1476" s="3">
        <v>4</v>
      </c>
      <c r="Q1476" s="2">
        <v>4</v>
      </c>
      <c r="R1476" s="3">
        <v>3.95</v>
      </c>
      <c r="S1476" s="3" t="str">
        <f>IF(Table1[[#This Row],[CGPA]]&gt;=3,"High",IF(R1475&gt;=2,"Medium","Low"))</f>
        <v>High</v>
      </c>
      <c r="T1476" s="2" t="s">
        <v>7</v>
      </c>
      <c r="U1476" s="2" t="s">
        <v>8</v>
      </c>
      <c r="V1476" s="2" t="s">
        <v>9</v>
      </c>
      <c r="W1476" s="7">
        <v>1</v>
      </c>
      <c r="X1476" t="str">
        <f t="shared" si="47"/>
        <v>Dropped Out</v>
      </c>
    </row>
    <row r="1477" spans="1:24" x14ac:dyDescent="0.3">
      <c r="A1477" s="2">
        <v>1476</v>
      </c>
      <c r="B1477" s="7">
        <v>22.4</v>
      </c>
      <c r="C1477" s="2" t="s">
        <v>5</v>
      </c>
      <c r="D1477" s="7">
        <f>IF(ISBLANK('Raw sheet'!D1477),AVERAGE('Raw sheet'!$D$2:'Raw sheet'!$D$1500),'Raw sheet'!D1477)</f>
        <v>32106</v>
      </c>
      <c r="E1477" s="7" t="str">
        <f>IF(Table1[[#This Row],[Family_Income]]&gt;=100000,"Upper",IF(D1477&gt;=50000,"Middle","Lower"))</f>
        <v>Lower</v>
      </c>
      <c r="F1477" s="2" t="s">
        <v>4</v>
      </c>
      <c r="G1477" s="3">
        <f>IF(ISBLANK('Raw sheet'!F1477),AVERAGE('Raw sheet'!$F$2:'Raw sheet'!$F$1500),'Raw sheet'!F1477)</f>
        <v>5.7</v>
      </c>
      <c r="H1477" s="18">
        <v>86</v>
      </c>
      <c r="I1477" s="9" t="str">
        <f t="shared" si="46"/>
        <v>Good</v>
      </c>
      <c r="J1477" s="2">
        <v>1</v>
      </c>
      <c r="K1477" s="2">
        <v>18.5</v>
      </c>
      <c r="L1477" s="2" t="s">
        <v>3</v>
      </c>
      <c r="M1477" s="2" t="s">
        <v>3</v>
      </c>
      <c r="N1477" s="5">
        <f>IF(ISBLANK('Raw sheet'!L1477),AVERAGE('Raw sheet'!$L$2:'Raw sheet'!$L$1500),'Raw sheet'!L1477)</f>
        <v>2.2000000000000002</v>
      </c>
      <c r="O1477" s="5" t="str">
        <f>IF(Table1[[#This Row],[Stress_Index]]&gt;=8,"High",IF(N1477&gt;=5,"Medium","Low"))</f>
        <v>Low</v>
      </c>
      <c r="P1477" s="3">
        <v>4</v>
      </c>
      <c r="Q1477" s="2">
        <v>4</v>
      </c>
      <c r="R1477" s="3">
        <v>3.99</v>
      </c>
      <c r="S1477" s="3" t="str">
        <f>IF(Table1[[#This Row],[CGPA]]&gt;=3,"High",IF(R1476&gt;=2,"Medium","Low"))</f>
        <v>High</v>
      </c>
      <c r="T1477" s="2" t="s">
        <v>10</v>
      </c>
      <c r="U1477" s="2" t="s">
        <v>13</v>
      </c>
      <c r="V1477" s="2" t="s">
        <v>9</v>
      </c>
      <c r="W1477" s="7">
        <v>0</v>
      </c>
      <c r="X1477" t="str">
        <f t="shared" si="47"/>
        <v>Active</v>
      </c>
    </row>
    <row r="1478" spans="1:24" x14ac:dyDescent="0.3">
      <c r="A1478" s="2">
        <v>1477</v>
      </c>
      <c r="B1478" s="7">
        <v>20.7</v>
      </c>
      <c r="C1478" s="2" t="s">
        <v>11</v>
      </c>
      <c r="D1478" s="7">
        <f>IF(ISBLANK('Raw sheet'!D1478),AVERAGE('Raw sheet'!$D$2:'Raw sheet'!$D$1500),'Raw sheet'!D1478)</f>
        <v>27853</v>
      </c>
      <c r="E1478" s="7" t="str">
        <f>IF(Table1[[#This Row],[Family_Income]]&gt;=100000,"Upper",IF(D1478&gt;=50000,"Middle","Lower"))</f>
        <v>Lower</v>
      </c>
      <c r="F1478" s="2" t="s">
        <v>4</v>
      </c>
      <c r="G1478" s="3">
        <f>IF(ISBLANK('Raw sheet'!F1478),AVERAGE('Raw sheet'!$F$2:'Raw sheet'!$F$1500),'Raw sheet'!F1478)</f>
        <v>2.23</v>
      </c>
      <c r="H1478" s="18">
        <v>92</v>
      </c>
      <c r="I1478" s="9" t="str">
        <f t="shared" si="46"/>
        <v>Good</v>
      </c>
      <c r="J1478" s="2">
        <v>0</v>
      </c>
      <c r="K1478" s="2">
        <v>51.2</v>
      </c>
      <c r="L1478" s="2" t="s">
        <v>3</v>
      </c>
      <c r="M1478" s="2" t="s">
        <v>4</v>
      </c>
      <c r="N1478" s="5">
        <f>IF(ISBLANK('Raw sheet'!L1478),AVERAGE('Raw sheet'!$L$2:'Raw sheet'!$L$1500),'Raw sheet'!L1478)</f>
        <v>5</v>
      </c>
      <c r="O1478" s="5" t="str">
        <f>IF(Table1[[#This Row],[Stress_Index]]&gt;=8,"High",IF(N1478&gt;=5,"Medium","Low"))</f>
        <v>Medium</v>
      </c>
      <c r="P1478" s="3">
        <v>2.81</v>
      </c>
      <c r="Q1478" s="2">
        <v>2.61</v>
      </c>
      <c r="R1478" s="3">
        <v>2.61</v>
      </c>
      <c r="S1478" s="3" t="str">
        <f>IF(Table1[[#This Row],[CGPA]]&gt;=3,"High",IF(R1477&gt;=2,"Medium","Low"))</f>
        <v>Medium</v>
      </c>
      <c r="T1478" s="2" t="s">
        <v>2</v>
      </c>
      <c r="U1478" s="2" t="s">
        <v>14</v>
      </c>
      <c r="V1478" s="2" t="s">
        <v>0</v>
      </c>
      <c r="W1478" s="7">
        <v>0</v>
      </c>
      <c r="X1478" t="str">
        <f t="shared" si="47"/>
        <v>Active</v>
      </c>
    </row>
    <row r="1479" spans="1:24" x14ac:dyDescent="0.3">
      <c r="A1479" s="2">
        <v>1478</v>
      </c>
      <c r="B1479" s="7">
        <v>21.9</v>
      </c>
      <c r="C1479" s="2" t="s">
        <v>11</v>
      </c>
      <c r="D1479" s="7">
        <f>IF(ISBLANK('Raw sheet'!D1479),AVERAGE('Raw sheet'!$D$2:'Raw sheet'!$D$1500),'Raw sheet'!D1479)</f>
        <v>32886</v>
      </c>
      <c r="E1479" s="7" t="str">
        <f>IF(Table1[[#This Row],[Family_Income]]&gt;=100000,"Upper",IF(D1479&gt;=50000,"Middle","Lower"))</f>
        <v>Lower</v>
      </c>
      <c r="F1479" s="2" t="s">
        <v>4</v>
      </c>
      <c r="G1479" s="3">
        <f>IF(ISBLANK('Raw sheet'!F1479),AVERAGE('Raw sheet'!$F$2:'Raw sheet'!$F$1500),'Raw sheet'!F1479)</f>
        <v>3.95</v>
      </c>
      <c r="H1479" s="18">
        <v>92.4</v>
      </c>
      <c r="I1479" s="9" t="str">
        <f t="shared" si="46"/>
        <v>Good</v>
      </c>
      <c r="J1479" s="2">
        <v>2</v>
      </c>
      <c r="K1479" s="2">
        <v>24.5</v>
      </c>
      <c r="L1479" s="2" t="s">
        <v>3</v>
      </c>
      <c r="M1479" s="2" t="s">
        <v>3</v>
      </c>
      <c r="N1479" s="5">
        <f>IF(ISBLANK('Raw sheet'!L1479),AVERAGE('Raw sheet'!$L$2:'Raw sheet'!$L$1500),'Raw sheet'!L1479)</f>
        <v>5</v>
      </c>
      <c r="O1479" s="5" t="str">
        <f>IF(Table1[[#This Row],[Stress_Index]]&gt;=8,"High",IF(N1479&gt;=5,"Medium","Low"))</f>
        <v>Medium</v>
      </c>
      <c r="P1479" s="3">
        <v>0.83</v>
      </c>
      <c r="Q1479" s="2">
        <v>0.5</v>
      </c>
      <c r="R1479" s="3">
        <v>0.54</v>
      </c>
      <c r="S1479" s="3" t="str">
        <f>IF(Table1[[#This Row],[CGPA]]&gt;=3,"High",IF(R1478&gt;=2,"Medium","Low"))</f>
        <v>Medium</v>
      </c>
      <c r="T1479" s="2" t="s">
        <v>12</v>
      </c>
      <c r="U1479" s="2" t="s">
        <v>13</v>
      </c>
      <c r="V1479" s="2" t="s">
        <v>16</v>
      </c>
      <c r="W1479" s="7">
        <v>1</v>
      </c>
      <c r="X1479" t="str">
        <f t="shared" si="47"/>
        <v>Dropped Out</v>
      </c>
    </row>
    <row r="1480" spans="1:24" x14ac:dyDescent="0.3">
      <c r="A1480" s="2">
        <v>1479</v>
      </c>
      <c r="B1480" s="7">
        <v>19</v>
      </c>
      <c r="C1480" s="2" t="s">
        <v>11</v>
      </c>
      <c r="D1480" s="7">
        <f>IF(ISBLANK('Raw sheet'!D1480),AVERAGE('Raw sheet'!$D$2:'Raw sheet'!$D$1500),'Raw sheet'!D1480)</f>
        <v>25000</v>
      </c>
      <c r="E1480" s="7" t="str">
        <f>IF(Table1[[#This Row],[Family_Income]]&gt;=100000,"Upper",IF(D1480&gt;=50000,"Middle","Lower"))</f>
        <v>Lower</v>
      </c>
      <c r="F1480" s="2" t="s">
        <v>4</v>
      </c>
      <c r="G1480" s="3">
        <f>IF(ISBLANK('Raw sheet'!F1480),AVERAGE('Raw sheet'!$F$2:'Raw sheet'!$F$1500),'Raw sheet'!F1480)</f>
        <v>4.67</v>
      </c>
      <c r="H1480" s="18">
        <v>68.5</v>
      </c>
      <c r="I1480" s="9" t="str">
        <f t="shared" si="46"/>
        <v>Low</v>
      </c>
      <c r="J1480" s="2">
        <v>3</v>
      </c>
      <c r="K1480" s="2">
        <v>35.5</v>
      </c>
      <c r="L1480" s="2" t="s">
        <v>3</v>
      </c>
      <c r="M1480" s="2" t="s">
        <v>3</v>
      </c>
      <c r="N1480" s="5">
        <f>IF(ISBLANK('Raw sheet'!L1480),AVERAGE('Raw sheet'!$L$2:'Raw sheet'!$L$1500),'Raw sheet'!L1480)</f>
        <v>5</v>
      </c>
      <c r="O1480" s="5" t="str">
        <f>IF(Table1[[#This Row],[Stress_Index]]&gt;=8,"High",IF(N1480&gt;=5,"Medium","Low"))</f>
        <v>Medium</v>
      </c>
      <c r="P1480" s="3">
        <v>1.86</v>
      </c>
      <c r="Q1480" s="2">
        <v>2.27</v>
      </c>
      <c r="R1480" s="3">
        <v>2.27</v>
      </c>
      <c r="S1480" s="3" t="str">
        <f>IF(Table1[[#This Row],[CGPA]]&gt;=3,"High",IF(R1479&gt;=2,"Medium","Low"))</f>
        <v>Low</v>
      </c>
      <c r="T1480" s="2" t="s">
        <v>10</v>
      </c>
      <c r="U1480" s="2" t="s">
        <v>1</v>
      </c>
      <c r="V1480" s="2" t="s">
        <v>16</v>
      </c>
      <c r="W1480" s="7">
        <v>0</v>
      </c>
      <c r="X1480" t="str">
        <f t="shared" si="47"/>
        <v>Active</v>
      </c>
    </row>
    <row r="1481" spans="1:24" x14ac:dyDescent="0.3">
      <c r="A1481" s="2">
        <v>1480</v>
      </c>
      <c r="B1481" s="7">
        <v>20</v>
      </c>
      <c r="C1481" s="2" t="s">
        <v>5</v>
      </c>
      <c r="D1481" s="7">
        <f>IF(ISBLANK('Raw sheet'!D1481),AVERAGE('Raw sheet'!$D$2:'Raw sheet'!$D$1500),'Raw sheet'!D1481)</f>
        <v>25000</v>
      </c>
      <c r="E1481" s="7" t="str">
        <f>IF(Table1[[#This Row],[Family_Income]]&gt;=100000,"Upper",IF(D1481&gt;=50000,"Middle","Lower"))</f>
        <v>Lower</v>
      </c>
      <c r="F1481" s="2" t="s">
        <v>4</v>
      </c>
      <c r="G1481" s="3">
        <f>IF(ISBLANK('Raw sheet'!F1481),AVERAGE('Raw sheet'!$F$2:'Raw sheet'!$F$1500),'Raw sheet'!F1481)</f>
        <v>4.9400000000000004</v>
      </c>
      <c r="H1481" s="18">
        <v>83.7</v>
      </c>
      <c r="I1481" s="9" t="str">
        <f t="shared" si="46"/>
        <v>Good</v>
      </c>
      <c r="J1481" s="2">
        <v>1</v>
      </c>
      <c r="K1481" s="2">
        <v>22.5</v>
      </c>
      <c r="L1481" s="2" t="s">
        <v>4</v>
      </c>
      <c r="M1481" s="2" t="s">
        <v>4</v>
      </c>
      <c r="N1481" s="5">
        <f>IF(ISBLANK('Raw sheet'!L1481),AVERAGE('Raw sheet'!$L$2:'Raw sheet'!$L$1500),'Raw sheet'!L1481)</f>
        <v>7.4</v>
      </c>
      <c r="O1481" s="5" t="str">
        <f>IF(Table1[[#This Row],[Stress_Index]]&gt;=8,"High",IF(N1481&gt;=5,"Medium","Low"))</f>
        <v>Medium</v>
      </c>
      <c r="P1481" s="3">
        <v>2.0699999999999998</v>
      </c>
      <c r="Q1481" s="2">
        <v>2.44</v>
      </c>
      <c r="R1481" s="3">
        <v>2.44</v>
      </c>
      <c r="S1481" s="3" t="str">
        <f>IF(Table1[[#This Row],[CGPA]]&gt;=3,"High",IF(R1480&gt;=2,"Medium","Low"))</f>
        <v>Medium</v>
      </c>
      <c r="T1481" s="2" t="s">
        <v>2</v>
      </c>
      <c r="U1481" s="2" t="s">
        <v>14</v>
      </c>
      <c r="V1481" s="2" t="s">
        <v>9</v>
      </c>
      <c r="W1481" s="7">
        <v>0</v>
      </c>
      <c r="X1481" t="str">
        <f t="shared" si="47"/>
        <v>Active</v>
      </c>
    </row>
    <row r="1482" spans="1:24" x14ac:dyDescent="0.3">
      <c r="A1482" s="2">
        <v>1481</v>
      </c>
      <c r="B1482" s="7">
        <v>22.6</v>
      </c>
      <c r="C1482" s="2" t="s">
        <v>5</v>
      </c>
      <c r="D1482" s="7">
        <f>IF(ISBLANK('Raw sheet'!D1482),AVERAGE('Raw sheet'!$D$2:'Raw sheet'!$D$1500),'Raw sheet'!D1482)</f>
        <v>39257</v>
      </c>
      <c r="E1482" s="7" t="str">
        <f>IF(Table1[[#This Row],[Family_Income]]&gt;=100000,"Upper",IF(D1482&gt;=50000,"Middle","Lower"))</f>
        <v>Lower</v>
      </c>
      <c r="F1482" s="2" t="s">
        <v>4</v>
      </c>
      <c r="G1482" s="3">
        <f>IF(ISBLANK('Raw sheet'!F1482),AVERAGE('Raw sheet'!$F$2:'Raw sheet'!$F$1500),'Raw sheet'!F1482)</f>
        <v>4.79</v>
      </c>
      <c r="H1482" s="18">
        <v>69.2</v>
      </c>
      <c r="I1482" s="9" t="str">
        <f t="shared" si="46"/>
        <v>Low</v>
      </c>
      <c r="J1482" s="2">
        <v>2</v>
      </c>
      <c r="K1482" s="2">
        <v>51.4</v>
      </c>
      <c r="L1482" s="2" t="s">
        <v>4</v>
      </c>
      <c r="M1482" s="2" t="s">
        <v>3</v>
      </c>
      <c r="N1482" s="5">
        <f>IF(ISBLANK('Raw sheet'!L1482),AVERAGE('Raw sheet'!$L$2:'Raw sheet'!$L$1500),'Raw sheet'!L1482)</f>
        <v>8</v>
      </c>
      <c r="O1482" s="5" t="str">
        <f>IF(Table1[[#This Row],[Stress_Index]]&gt;=8,"High",IF(N1482&gt;=5,"Medium","Low"))</f>
        <v>High</v>
      </c>
      <c r="P1482" s="3">
        <v>1.05</v>
      </c>
      <c r="Q1482" s="2">
        <v>0.88</v>
      </c>
      <c r="R1482" s="3">
        <v>0.88</v>
      </c>
      <c r="S1482" s="3" t="str">
        <f>IF(Table1[[#This Row],[CGPA]]&gt;=3,"High",IF(R1481&gt;=2,"Medium","Low"))</f>
        <v>Medium</v>
      </c>
      <c r="T1482" s="2" t="s">
        <v>2</v>
      </c>
      <c r="U1482" s="2" t="s">
        <v>13</v>
      </c>
      <c r="V1482" s="2" t="s">
        <v>15</v>
      </c>
      <c r="W1482" s="7">
        <v>1</v>
      </c>
      <c r="X1482" t="str">
        <f t="shared" si="47"/>
        <v>Dropped Out</v>
      </c>
    </row>
    <row r="1483" spans="1:24" x14ac:dyDescent="0.3">
      <c r="A1483" s="2">
        <v>1482</v>
      </c>
      <c r="B1483" s="7">
        <v>20.2</v>
      </c>
      <c r="C1483" s="2" t="s">
        <v>5</v>
      </c>
      <c r="D1483" s="7">
        <f>IF(ISBLANK('Raw sheet'!D1483),AVERAGE('Raw sheet'!$D$2:'Raw sheet'!$D$1500),'Raw sheet'!D1483)</f>
        <v>25000</v>
      </c>
      <c r="E1483" s="7" t="str">
        <f>IF(Table1[[#This Row],[Family_Income]]&gt;=100000,"Upper",IF(D1483&gt;=50000,"Middle","Lower"))</f>
        <v>Lower</v>
      </c>
      <c r="F1483" s="2" t="s">
        <v>3</v>
      </c>
      <c r="G1483" s="3">
        <f>IF(ISBLANK('Raw sheet'!F1483),AVERAGE('Raw sheet'!$F$2:'Raw sheet'!$F$1500),'Raw sheet'!F1483)</f>
        <v>3.79</v>
      </c>
      <c r="H1483" s="18">
        <v>77.3</v>
      </c>
      <c r="I1483" s="9" t="str">
        <f t="shared" si="46"/>
        <v>Good</v>
      </c>
      <c r="J1483" s="2">
        <v>3</v>
      </c>
      <c r="K1483" s="2">
        <v>27.7</v>
      </c>
      <c r="L1483" s="2" t="s">
        <v>4</v>
      </c>
      <c r="M1483" s="2" t="s">
        <v>3</v>
      </c>
      <c r="N1483" s="5">
        <f>IF(ISBLANK('Raw sheet'!L1483),AVERAGE('Raw sheet'!$L$2:'Raw sheet'!$L$1500),'Raw sheet'!L1483)</f>
        <v>6.7</v>
      </c>
      <c r="O1483" s="5" t="str">
        <f>IF(Table1[[#This Row],[Stress_Index]]&gt;=8,"High",IF(N1483&gt;=5,"Medium","Low"))</f>
        <v>Medium</v>
      </c>
      <c r="P1483" s="3">
        <v>2.11</v>
      </c>
      <c r="Q1483" s="2">
        <v>2.65</v>
      </c>
      <c r="R1483" s="3">
        <v>2.69</v>
      </c>
      <c r="S1483" s="3" t="str">
        <f>IF(Table1[[#This Row],[CGPA]]&gt;=3,"High",IF(R1482&gt;=2,"Medium","Low"))</f>
        <v>Low</v>
      </c>
      <c r="T1483" s="2" t="s">
        <v>10</v>
      </c>
      <c r="U1483" s="2" t="s">
        <v>6</v>
      </c>
      <c r="V1483" s="2" t="s">
        <v>0</v>
      </c>
      <c r="W1483" s="7">
        <v>1</v>
      </c>
      <c r="X1483" t="str">
        <f t="shared" si="47"/>
        <v>Dropped Out</v>
      </c>
    </row>
    <row r="1484" spans="1:24" x14ac:dyDescent="0.3">
      <c r="A1484" s="2">
        <v>1483</v>
      </c>
      <c r="B1484" s="7">
        <v>24.8</v>
      </c>
      <c r="C1484" s="2" t="s">
        <v>11</v>
      </c>
      <c r="D1484" s="7">
        <f>IF(ISBLANK('Raw sheet'!D1484),AVERAGE('Raw sheet'!$D$2:'Raw sheet'!$D$1500),'Raw sheet'!D1484)</f>
        <v>41974</v>
      </c>
      <c r="E1484" s="7" t="str">
        <f>IF(Table1[[#This Row],[Family_Income]]&gt;=100000,"Upper",IF(D1484&gt;=50000,"Middle","Lower"))</f>
        <v>Lower</v>
      </c>
      <c r="F1484" s="2" t="s">
        <v>4</v>
      </c>
      <c r="G1484" s="3">
        <f>IF(ISBLANK('Raw sheet'!F1484),AVERAGE('Raw sheet'!$F$2:'Raw sheet'!$F$1500),'Raw sheet'!F1484)</f>
        <v>3.6</v>
      </c>
      <c r="H1484" s="18">
        <v>86.7</v>
      </c>
      <c r="I1484" s="9" t="str">
        <f t="shared" si="46"/>
        <v>Good</v>
      </c>
      <c r="J1484" s="2">
        <v>2</v>
      </c>
      <c r="K1484" s="2">
        <v>15.1</v>
      </c>
      <c r="L1484" s="2" t="s">
        <v>3</v>
      </c>
      <c r="M1484" s="2" t="s">
        <v>3</v>
      </c>
      <c r="N1484" s="5">
        <f>IF(ISBLANK('Raw sheet'!L1484),AVERAGE('Raw sheet'!$L$2:'Raw sheet'!$L$1500),'Raw sheet'!L1484)</f>
        <v>6.6</v>
      </c>
      <c r="O1484" s="5" t="str">
        <f>IF(Table1[[#This Row],[Stress_Index]]&gt;=8,"High",IF(N1484&gt;=5,"Medium","Low"))</f>
        <v>Medium</v>
      </c>
      <c r="P1484" s="3">
        <v>2.78</v>
      </c>
      <c r="Q1484" s="2">
        <v>2.79</v>
      </c>
      <c r="R1484" s="3">
        <v>2.82</v>
      </c>
      <c r="S1484" s="3" t="str">
        <f>IF(Table1[[#This Row],[CGPA]]&gt;=3,"High",IF(R1483&gt;=2,"Medium","Low"))</f>
        <v>Medium</v>
      </c>
      <c r="T1484" s="2" t="s">
        <v>12</v>
      </c>
      <c r="U1484" s="2" t="s">
        <v>6</v>
      </c>
      <c r="V1484" s="2" t="s">
        <v>9</v>
      </c>
      <c r="W1484" s="7">
        <v>0</v>
      </c>
      <c r="X1484" t="str">
        <f t="shared" si="47"/>
        <v>Active</v>
      </c>
    </row>
    <row r="1485" spans="1:24" x14ac:dyDescent="0.3">
      <c r="A1485" s="2">
        <v>1484</v>
      </c>
      <c r="B1485" s="7">
        <v>20.100000000000001</v>
      </c>
      <c r="C1485" s="2" t="s">
        <v>11</v>
      </c>
      <c r="D1485" s="7">
        <f>IF(ISBLANK('Raw sheet'!D1485),AVERAGE('Raw sheet'!$D$2:'Raw sheet'!$D$1500),'Raw sheet'!D1485)</f>
        <v>25000</v>
      </c>
      <c r="E1485" s="7" t="str">
        <f>IF(Table1[[#This Row],[Family_Income]]&gt;=100000,"Upper",IF(D1485&gt;=50000,"Middle","Lower"))</f>
        <v>Lower</v>
      </c>
      <c r="F1485" s="2" t="s">
        <v>4</v>
      </c>
      <c r="G1485" s="3">
        <f>IF(ISBLANK('Raw sheet'!F1485),AVERAGE('Raw sheet'!$F$2:'Raw sheet'!$F$1500),'Raw sheet'!F1485)</f>
        <v>3.86</v>
      </c>
      <c r="H1485" s="18">
        <v>92.7</v>
      </c>
      <c r="I1485" s="9" t="str">
        <f t="shared" si="46"/>
        <v>Good</v>
      </c>
      <c r="J1485" s="2">
        <v>3</v>
      </c>
      <c r="K1485" s="2">
        <v>38</v>
      </c>
      <c r="L1485" s="2" t="s">
        <v>3</v>
      </c>
      <c r="M1485" s="2" t="s">
        <v>3</v>
      </c>
      <c r="N1485" s="5">
        <f>IF(ISBLANK('Raw sheet'!L1485),AVERAGE('Raw sheet'!$L$2:'Raw sheet'!$L$1500),'Raw sheet'!L1485)</f>
        <v>5.4</v>
      </c>
      <c r="O1485" s="5" t="str">
        <f>IF(Table1[[#This Row],[Stress_Index]]&gt;=8,"High",IF(N1485&gt;=5,"Medium","Low"))</f>
        <v>Medium</v>
      </c>
      <c r="P1485" s="3">
        <v>4</v>
      </c>
      <c r="Q1485" s="2">
        <v>4</v>
      </c>
      <c r="R1485" s="3">
        <v>4</v>
      </c>
      <c r="S1485" s="3" t="str">
        <f>IF(Table1[[#This Row],[CGPA]]&gt;=3,"High",IF(R1484&gt;=2,"Medium","Low"))</f>
        <v>High</v>
      </c>
      <c r="T1485" s="2" t="s">
        <v>10</v>
      </c>
      <c r="U1485" s="2" t="s">
        <v>14</v>
      </c>
      <c r="V1485" s="2" t="s">
        <v>9</v>
      </c>
      <c r="W1485" s="7">
        <v>0</v>
      </c>
      <c r="X1485" t="str">
        <f t="shared" si="47"/>
        <v>Active</v>
      </c>
    </row>
    <row r="1486" spans="1:24" x14ac:dyDescent="0.3">
      <c r="A1486" s="2">
        <v>1485</v>
      </c>
      <c r="B1486" s="7">
        <v>21.5</v>
      </c>
      <c r="C1486" s="2" t="s">
        <v>5</v>
      </c>
      <c r="D1486" s="7">
        <f>IF(ISBLANK('Raw sheet'!D1486),AVERAGE('Raw sheet'!$D$2:'Raw sheet'!$D$1500),'Raw sheet'!D1486)</f>
        <v>69532</v>
      </c>
      <c r="E1486" s="7" t="str">
        <f>IF(Table1[[#This Row],[Family_Income]]&gt;=100000,"Upper",IF(D1486&gt;=50000,"Middle","Lower"))</f>
        <v>Middle</v>
      </c>
      <c r="F1486" s="2" t="s">
        <v>4</v>
      </c>
      <c r="G1486" s="3">
        <f>IF(ISBLANK('Raw sheet'!F1486),AVERAGE('Raw sheet'!$F$2:'Raw sheet'!$F$1500),'Raw sheet'!F1486)</f>
        <v>3.03</v>
      </c>
      <c r="H1486" s="18">
        <v>83.8</v>
      </c>
      <c r="I1486" s="9" t="str">
        <f t="shared" si="46"/>
        <v>Good</v>
      </c>
      <c r="J1486" s="2">
        <v>3</v>
      </c>
      <c r="K1486" s="2">
        <v>33.1</v>
      </c>
      <c r="L1486" s="2" t="s">
        <v>4</v>
      </c>
      <c r="M1486" s="2" t="s">
        <v>3</v>
      </c>
      <c r="N1486" s="5">
        <f>IF(ISBLANK('Raw sheet'!L1486),AVERAGE('Raw sheet'!$L$2:'Raw sheet'!$L$1500),'Raw sheet'!L1486)</f>
        <v>5.8</v>
      </c>
      <c r="O1486" s="5" t="str">
        <f>IF(Table1[[#This Row],[Stress_Index]]&gt;=8,"High",IF(N1486&gt;=5,"Medium","Low"))</f>
        <v>Medium</v>
      </c>
      <c r="P1486" s="3">
        <v>1.98</v>
      </c>
      <c r="Q1486" s="2">
        <v>2.06</v>
      </c>
      <c r="R1486" s="3">
        <v>2.0699999999999998</v>
      </c>
      <c r="S1486" s="3" t="str">
        <f>IF(Table1[[#This Row],[CGPA]]&gt;=3,"High",IF(R1485&gt;=2,"Medium","Low"))</f>
        <v>Medium</v>
      </c>
      <c r="T1486" s="2" t="s">
        <v>12</v>
      </c>
      <c r="U1486" s="2" t="s">
        <v>1</v>
      </c>
      <c r="V1486" s="2" t="s">
        <v>9</v>
      </c>
      <c r="W1486" s="7">
        <v>0</v>
      </c>
      <c r="X1486" t="str">
        <f t="shared" si="47"/>
        <v>Active</v>
      </c>
    </row>
    <row r="1487" spans="1:24" x14ac:dyDescent="0.3">
      <c r="A1487" s="2">
        <v>1486</v>
      </c>
      <c r="B1487" s="7">
        <v>23.1</v>
      </c>
      <c r="C1487" s="2" t="s">
        <v>5</v>
      </c>
      <c r="D1487" s="7">
        <f>IF(ISBLANK('Raw sheet'!D1487),AVERAGE('Raw sheet'!$D$2:'Raw sheet'!$D$1500),'Raw sheet'!D1487)</f>
        <v>54211</v>
      </c>
      <c r="E1487" s="7" t="str">
        <f>IF(Table1[[#This Row],[Family_Income]]&gt;=100000,"Upper",IF(D1487&gt;=50000,"Middle","Lower"))</f>
        <v>Middle</v>
      </c>
      <c r="F1487" s="2" t="s">
        <v>4</v>
      </c>
      <c r="G1487" s="3">
        <f>IF(ISBLANK('Raw sheet'!F1487),AVERAGE('Raw sheet'!$F$2:'Raw sheet'!$F$1500),'Raw sheet'!F1487)</f>
        <v>2.23</v>
      </c>
      <c r="H1487" s="18">
        <v>72.8</v>
      </c>
      <c r="I1487" s="9" t="str">
        <f t="shared" si="46"/>
        <v>Low</v>
      </c>
      <c r="J1487" s="2">
        <v>0</v>
      </c>
      <c r="K1487" s="2">
        <v>44.4</v>
      </c>
      <c r="L1487" s="2" t="s">
        <v>4</v>
      </c>
      <c r="M1487" s="2" t="s">
        <v>3</v>
      </c>
      <c r="N1487" s="5">
        <f>IF(ISBLANK('Raw sheet'!L1487),AVERAGE('Raw sheet'!$L$2:'Raw sheet'!$L$1500),'Raw sheet'!L1487)</f>
        <v>6.3</v>
      </c>
      <c r="O1487" s="5" t="str">
        <f>IF(Table1[[#This Row],[Stress_Index]]&gt;=8,"High",IF(N1487&gt;=5,"Medium","Low"))</f>
        <v>Medium</v>
      </c>
      <c r="P1487" s="3">
        <v>2.48</v>
      </c>
      <c r="Q1487" s="2">
        <v>1.86</v>
      </c>
      <c r="R1487" s="3">
        <v>1.91</v>
      </c>
      <c r="S1487" s="3" t="str">
        <f>IF(Table1[[#This Row],[CGPA]]&gt;=3,"High",IF(R1486&gt;=2,"Medium","Low"))</f>
        <v>Medium</v>
      </c>
      <c r="T1487" s="2" t="s">
        <v>12</v>
      </c>
      <c r="U1487" s="2" t="s">
        <v>13</v>
      </c>
      <c r="V1487" s="2" t="s">
        <v>9</v>
      </c>
      <c r="W1487" s="7">
        <v>1</v>
      </c>
      <c r="X1487" t="str">
        <f t="shared" si="47"/>
        <v>Dropped Out</v>
      </c>
    </row>
    <row r="1488" spans="1:24" x14ac:dyDescent="0.3">
      <c r="A1488" s="2">
        <v>1487</v>
      </c>
      <c r="B1488" s="7">
        <v>17.899999999999999</v>
      </c>
      <c r="C1488" s="2" t="s">
        <v>11</v>
      </c>
      <c r="D1488" s="7">
        <f>IF(ISBLANK('Raw sheet'!D1488),AVERAGE('Raw sheet'!$D$2:'Raw sheet'!$D$1500),'Raw sheet'!D1488)</f>
        <v>35529</v>
      </c>
      <c r="E1488" s="7" t="str">
        <f>IF(Table1[[#This Row],[Family_Income]]&gt;=100000,"Upper",IF(D1488&gt;=50000,"Middle","Lower"))</f>
        <v>Lower</v>
      </c>
      <c r="F1488" s="2" t="s">
        <v>4</v>
      </c>
      <c r="G1488" s="3">
        <f>IF(ISBLANK('Raw sheet'!F1488),AVERAGE('Raw sheet'!$F$2:'Raw sheet'!$F$1500),'Raw sheet'!F1488)</f>
        <v>4.67</v>
      </c>
      <c r="H1488" s="18">
        <v>86.8</v>
      </c>
      <c r="I1488" s="9" t="str">
        <f t="shared" si="46"/>
        <v>Good</v>
      </c>
      <c r="J1488" s="2">
        <v>2</v>
      </c>
      <c r="K1488" s="2">
        <v>28.2</v>
      </c>
      <c r="L1488" s="2" t="s">
        <v>4</v>
      </c>
      <c r="M1488" s="2" t="s">
        <v>4</v>
      </c>
      <c r="N1488" s="5">
        <f>IF(ISBLANK('Raw sheet'!L1488),AVERAGE('Raw sheet'!$L$2:'Raw sheet'!$L$1500),'Raw sheet'!L1488)</f>
        <v>5.8</v>
      </c>
      <c r="O1488" s="5" t="str">
        <f>IF(Table1[[#This Row],[Stress_Index]]&gt;=8,"High",IF(N1488&gt;=5,"Medium","Low"))</f>
        <v>Medium</v>
      </c>
      <c r="P1488" s="3">
        <v>2.77</v>
      </c>
      <c r="Q1488" s="2">
        <v>2.14</v>
      </c>
      <c r="R1488" s="3">
        <v>2.14</v>
      </c>
      <c r="S1488" s="3" t="str">
        <f>IF(Table1[[#This Row],[CGPA]]&gt;=3,"High",IF(R1487&gt;=2,"Medium","Low"))</f>
        <v>Low</v>
      </c>
      <c r="T1488" s="2" t="s">
        <v>2</v>
      </c>
      <c r="U1488" s="2" t="s">
        <v>1</v>
      </c>
      <c r="V1488" s="2" t="s">
        <v>9</v>
      </c>
      <c r="W1488" s="7">
        <v>0</v>
      </c>
      <c r="X1488" t="str">
        <f t="shared" si="47"/>
        <v>Active</v>
      </c>
    </row>
    <row r="1489" spans="1:24" x14ac:dyDescent="0.3">
      <c r="A1489" s="2">
        <v>1488</v>
      </c>
      <c r="B1489" s="7">
        <v>17.100000000000001</v>
      </c>
      <c r="C1489" s="2" t="s">
        <v>11</v>
      </c>
      <c r="D1489" s="7">
        <f>IF(ISBLANK('Raw sheet'!D1489),AVERAGE('Raw sheet'!$D$2:'Raw sheet'!$D$1500),'Raw sheet'!D1489)</f>
        <v>26161</v>
      </c>
      <c r="E1489" s="7" t="str">
        <f>IF(Table1[[#This Row],[Family_Income]]&gt;=100000,"Upper",IF(D1489&gt;=50000,"Middle","Lower"))</f>
        <v>Lower</v>
      </c>
      <c r="F1489" s="2" t="s">
        <v>3</v>
      </c>
      <c r="G1489" s="3">
        <f>IF(ISBLANK('Raw sheet'!F1489),AVERAGE('Raw sheet'!$F$2:'Raw sheet'!$F$1500),'Raw sheet'!F1489)</f>
        <v>4.75</v>
      </c>
      <c r="H1489" s="18">
        <v>75.2</v>
      </c>
      <c r="I1489" s="9" t="str">
        <f t="shared" si="46"/>
        <v>Good</v>
      </c>
      <c r="J1489" s="2">
        <v>1</v>
      </c>
      <c r="K1489" s="2">
        <v>31.3</v>
      </c>
      <c r="L1489" s="2" t="s">
        <v>4</v>
      </c>
      <c r="M1489" s="2" t="s">
        <v>4</v>
      </c>
      <c r="N1489" s="5">
        <f>IF(ISBLANK('Raw sheet'!L1489),AVERAGE('Raw sheet'!$L$2:'Raw sheet'!$L$1500),'Raw sheet'!L1489)</f>
        <v>6.6</v>
      </c>
      <c r="O1489" s="5" t="str">
        <f>IF(Table1[[#This Row],[Stress_Index]]&gt;=8,"High",IF(N1489&gt;=5,"Medium","Low"))</f>
        <v>Medium</v>
      </c>
      <c r="P1489" s="3">
        <v>3.36</v>
      </c>
      <c r="Q1489" s="2">
        <v>3.12</v>
      </c>
      <c r="R1489" s="3">
        <v>3.08</v>
      </c>
      <c r="S1489" s="3" t="str">
        <f>IF(Table1[[#This Row],[CGPA]]&gt;=3,"High",IF(R1488&gt;=2,"Medium","Low"))</f>
        <v>High</v>
      </c>
      <c r="T1489" s="2" t="s">
        <v>7</v>
      </c>
      <c r="U1489" s="2" t="s">
        <v>8</v>
      </c>
      <c r="V1489" s="2" t="s">
        <v>0</v>
      </c>
      <c r="W1489" s="7">
        <v>0</v>
      </c>
      <c r="X1489" t="str">
        <f t="shared" si="47"/>
        <v>Active</v>
      </c>
    </row>
    <row r="1490" spans="1:24" x14ac:dyDescent="0.3">
      <c r="A1490" s="2">
        <v>1489</v>
      </c>
      <c r="B1490" s="7">
        <v>17.600000000000001</v>
      </c>
      <c r="C1490" s="2" t="s">
        <v>11</v>
      </c>
      <c r="D1490" s="7">
        <f>IF(ISBLANK('Raw sheet'!D1490),AVERAGE('Raw sheet'!$D$2:'Raw sheet'!$D$1500),'Raw sheet'!D1490)</f>
        <v>49585</v>
      </c>
      <c r="E1490" s="7" t="str">
        <f>IF(Table1[[#This Row],[Family_Income]]&gt;=100000,"Upper",IF(D1490&gt;=50000,"Middle","Lower"))</f>
        <v>Lower</v>
      </c>
      <c r="F1490" s="2" t="s">
        <v>4</v>
      </c>
      <c r="G1490" s="3">
        <f>IF(ISBLANK('Raw sheet'!F1490),AVERAGE('Raw sheet'!$F$2:'Raw sheet'!$F$1500),'Raw sheet'!F1490)</f>
        <v>6.28</v>
      </c>
      <c r="H1490" s="18">
        <v>79.7</v>
      </c>
      <c r="I1490" s="9" t="str">
        <f t="shared" si="46"/>
        <v>Good</v>
      </c>
      <c r="J1490" s="2">
        <v>1</v>
      </c>
      <c r="K1490" s="2">
        <v>11.9</v>
      </c>
      <c r="L1490" s="2" t="s">
        <v>4</v>
      </c>
      <c r="M1490" s="2" t="s">
        <v>4</v>
      </c>
      <c r="N1490" s="5">
        <f>IF(ISBLANK('Raw sheet'!L1490),AVERAGE('Raw sheet'!$L$2:'Raw sheet'!$L$1500),'Raw sheet'!L1490)</f>
        <v>5.6</v>
      </c>
      <c r="O1490" s="5" t="str">
        <f>IF(Table1[[#This Row],[Stress_Index]]&gt;=8,"High",IF(N1490&gt;=5,"Medium","Low"))</f>
        <v>Medium</v>
      </c>
      <c r="P1490" s="3">
        <v>2.58</v>
      </c>
      <c r="Q1490" s="2">
        <v>1.93</v>
      </c>
      <c r="R1490" s="3">
        <v>1.93</v>
      </c>
      <c r="S1490" s="3" t="str">
        <f>IF(Table1[[#This Row],[CGPA]]&gt;=3,"High",IF(R1489&gt;=2,"Medium","Low"))</f>
        <v>Medium</v>
      </c>
      <c r="T1490" s="2" t="s">
        <v>2</v>
      </c>
      <c r="U1490" s="2" t="s">
        <v>14</v>
      </c>
      <c r="V1490" s="2" t="s">
        <v>9</v>
      </c>
      <c r="W1490" s="7">
        <v>0</v>
      </c>
      <c r="X1490" t="str">
        <f t="shared" si="47"/>
        <v>Active</v>
      </c>
    </row>
    <row r="1491" spans="1:24" x14ac:dyDescent="0.3">
      <c r="A1491" s="2">
        <v>1490</v>
      </c>
      <c r="B1491" s="7">
        <v>23.8</v>
      </c>
      <c r="C1491" s="2" t="s">
        <v>11</v>
      </c>
      <c r="D1491" s="7">
        <f>IF(ISBLANK('Raw sheet'!D1491),AVERAGE('Raw sheet'!$D$2:'Raw sheet'!$D$1500),'Raw sheet'!D1491)</f>
        <v>37629</v>
      </c>
      <c r="E1491" s="7" t="str">
        <f>IF(Table1[[#This Row],[Family_Income]]&gt;=100000,"Upper",IF(D1491&gt;=50000,"Middle","Lower"))</f>
        <v>Lower</v>
      </c>
      <c r="F1491" s="2" t="s">
        <v>4</v>
      </c>
      <c r="G1491" s="3">
        <f>IF(ISBLANK('Raw sheet'!F1491),AVERAGE('Raw sheet'!$F$2:'Raw sheet'!$F$1500),'Raw sheet'!F1491)</f>
        <v>3.23</v>
      </c>
      <c r="H1491" s="18">
        <v>82.7</v>
      </c>
      <c r="I1491" s="9" t="str">
        <f t="shared" si="46"/>
        <v>Good</v>
      </c>
      <c r="J1491" s="2">
        <v>2</v>
      </c>
      <c r="K1491" s="2">
        <v>40</v>
      </c>
      <c r="L1491" s="2" t="s">
        <v>4</v>
      </c>
      <c r="M1491" s="2" t="s">
        <v>3</v>
      </c>
      <c r="N1491" s="5">
        <f>IF(ISBLANK('Raw sheet'!L1491),AVERAGE('Raw sheet'!$L$2:'Raw sheet'!$L$1500),'Raw sheet'!L1491)</f>
        <v>4.5999999999999996</v>
      </c>
      <c r="O1491" s="5" t="str">
        <f>IF(Table1[[#This Row],[Stress_Index]]&gt;=8,"High",IF(N1491&gt;=5,"Medium","Low"))</f>
        <v>Low</v>
      </c>
      <c r="P1491" s="3">
        <v>2.8</v>
      </c>
      <c r="Q1491" s="2">
        <v>2.58</v>
      </c>
      <c r="R1491" s="3">
        <v>2.6</v>
      </c>
      <c r="S1491" s="3" t="str">
        <f>IF(Table1[[#This Row],[CGPA]]&gt;=3,"High",IF(R1490&gt;=2,"Medium","Low"))</f>
        <v>Low</v>
      </c>
      <c r="T1491" s="2" t="s">
        <v>12</v>
      </c>
      <c r="U1491" s="2" t="s">
        <v>8</v>
      </c>
      <c r="V1491" s="2" t="s">
        <v>9</v>
      </c>
      <c r="W1491" s="7">
        <v>0</v>
      </c>
      <c r="X1491" t="str">
        <f t="shared" si="47"/>
        <v>Active</v>
      </c>
    </row>
    <row r="1492" spans="1:24" x14ac:dyDescent="0.3">
      <c r="A1492" s="2">
        <v>1491</v>
      </c>
      <c r="B1492" s="7">
        <v>19.8</v>
      </c>
      <c r="C1492" s="2" t="s">
        <v>11</v>
      </c>
      <c r="D1492" s="7">
        <f>IF(ISBLANK('Raw sheet'!D1492),AVERAGE('Raw sheet'!$D$2:'Raw sheet'!$D$1500),'Raw sheet'!D1492)</f>
        <v>34309</v>
      </c>
      <c r="E1492" s="7" t="str">
        <f>IF(Table1[[#This Row],[Family_Income]]&gt;=100000,"Upper",IF(D1492&gt;=50000,"Middle","Lower"))</f>
        <v>Lower</v>
      </c>
      <c r="F1492" s="2" t="s">
        <v>4</v>
      </c>
      <c r="G1492" s="3">
        <f>IF(ISBLANK('Raw sheet'!F1492),AVERAGE('Raw sheet'!$F$2:'Raw sheet'!$F$1500),'Raw sheet'!F1492)</f>
        <v>4.4800000000000004</v>
      </c>
      <c r="H1492" s="18">
        <v>76.599999999999994</v>
      </c>
      <c r="I1492" s="9" t="str">
        <f t="shared" si="46"/>
        <v>Good</v>
      </c>
      <c r="J1492" s="2">
        <v>0</v>
      </c>
      <c r="K1492" s="2">
        <v>30.8</v>
      </c>
      <c r="L1492" s="2" t="s">
        <v>3</v>
      </c>
      <c r="M1492" s="2" t="s">
        <v>3</v>
      </c>
      <c r="N1492" s="5">
        <f>IF(ISBLANK('Raw sheet'!L1492),AVERAGE('Raw sheet'!$L$2:'Raw sheet'!$L$1500),'Raw sheet'!L1492)</f>
        <v>6</v>
      </c>
      <c r="O1492" s="5" t="str">
        <f>IF(Table1[[#This Row],[Stress_Index]]&gt;=8,"High",IF(N1492&gt;=5,"Medium","Low"))</f>
        <v>Medium</v>
      </c>
      <c r="P1492" s="3">
        <v>2.14</v>
      </c>
      <c r="Q1492" s="2">
        <v>2.0699999999999998</v>
      </c>
      <c r="R1492" s="3">
        <v>2.12</v>
      </c>
      <c r="S1492" s="3" t="str">
        <f>IF(Table1[[#This Row],[CGPA]]&gt;=3,"High",IF(R1491&gt;=2,"Medium","Low"))</f>
        <v>Medium</v>
      </c>
      <c r="T1492" s="2" t="s">
        <v>7</v>
      </c>
      <c r="U1492" s="2" t="s">
        <v>14</v>
      </c>
      <c r="V1492" s="2" t="s">
        <v>9</v>
      </c>
      <c r="W1492" s="7">
        <v>0</v>
      </c>
      <c r="X1492" t="str">
        <f t="shared" si="47"/>
        <v>Active</v>
      </c>
    </row>
    <row r="1493" spans="1:24" x14ac:dyDescent="0.3">
      <c r="A1493" s="2">
        <v>1492</v>
      </c>
      <c r="B1493" s="7">
        <v>26.6</v>
      </c>
      <c r="C1493" s="2" t="s">
        <v>5</v>
      </c>
      <c r="D1493" s="7">
        <f>IF(ISBLANK('Raw sheet'!D1493),AVERAGE('Raw sheet'!$D$2:'Raw sheet'!$D$1500),'Raw sheet'!D1493)</f>
        <v>55588</v>
      </c>
      <c r="E1493" s="7" t="str">
        <f>IF(Table1[[#This Row],[Family_Income]]&gt;=100000,"Upper",IF(D1493&gt;=50000,"Middle","Lower"))</f>
        <v>Middle</v>
      </c>
      <c r="F1493" s="2" t="s">
        <v>4</v>
      </c>
      <c r="G1493" s="3">
        <f>IF(ISBLANK('Raw sheet'!F1493),AVERAGE('Raw sheet'!$F$2:'Raw sheet'!$F$1500),'Raw sheet'!F1493)</f>
        <v>3.67</v>
      </c>
      <c r="H1493" s="18">
        <v>87.1</v>
      </c>
      <c r="I1493" s="9" t="str">
        <f t="shared" si="46"/>
        <v>Good</v>
      </c>
      <c r="J1493" s="2">
        <v>4</v>
      </c>
      <c r="K1493" s="2">
        <v>28.5</v>
      </c>
      <c r="L1493" s="2" t="s">
        <v>3</v>
      </c>
      <c r="M1493" s="2" t="s">
        <v>4</v>
      </c>
      <c r="N1493" s="5">
        <f>IF(ISBLANK('Raw sheet'!L1493),AVERAGE('Raw sheet'!$L$2:'Raw sheet'!$L$1500),'Raw sheet'!L1493)</f>
        <v>5.0999999999999996</v>
      </c>
      <c r="O1493" s="5" t="str">
        <f>IF(Table1[[#This Row],[Stress_Index]]&gt;=8,"High",IF(N1493&gt;=5,"Medium","Low"))</f>
        <v>Medium</v>
      </c>
      <c r="P1493" s="3">
        <v>3.33</v>
      </c>
      <c r="Q1493" s="2">
        <v>3.32</v>
      </c>
      <c r="R1493" s="3">
        <v>3.35</v>
      </c>
      <c r="S1493" s="3" t="str">
        <f>IF(Table1[[#This Row],[CGPA]]&gt;=3,"High",IF(R1492&gt;=2,"Medium","Low"))</f>
        <v>High</v>
      </c>
      <c r="T1493" s="2" t="s">
        <v>12</v>
      </c>
      <c r="U1493" s="2" t="s">
        <v>14</v>
      </c>
      <c r="V1493" s="2" t="s">
        <v>9</v>
      </c>
      <c r="W1493" s="7">
        <v>0</v>
      </c>
      <c r="X1493" t="str">
        <f t="shared" si="47"/>
        <v>Active</v>
      </c>
    </row>
    <row r="1494" spans="1:24" x14ac:dyDescent="0.3">
      <c r="A1494" s="2">
        <v>1493</v>
      </c>
      <c r="B1494" s="7">
        <v>19.8</v>
      </c>
      <c r="C1494" s="2" t="s">
        <v>5</v>
      </c>
      <c r="D1494" s="7">
        <f>IF(ISBLANK('Raw sheet'!D1494),AVERAGE('Raw sheet'!$D$2:'Raw sheet'!$D$1500),'Raw sheet'!D1494)</f>
        <v>69977</v>
      </c>
      <c r="E1494" s="7" t="str">
        <f>IF(Table1[[#This Row],[Family_Income]]&gt;=100000,"Upper",IF(D1494&gt;=50000,"Middle","Lower"))</f>
        <v>Middle</v>
      </c>
      <c r="F1494" s="2" t="s">
        <v>4</v>
      </c>
      <c r="G1494" s="3">
        <f>IF(ISBLANK('Raw sheet'!F1494),AVERAGE('Raw sheet'!$F$2:'Raw sheet'!$F$1500),'Raw sheet'!F1494)</f>
        <v>3.81</v>
      </c>
      <c r="H1494" s="18">
        <v>88</v>
      </c>
      <c r="I1494" s="9" t="str">
        <f t="shared" si="46"/>
        <v>Good</v>
      </c>
      <c r="J1494" s="2">
        <v>4</v>
      </c>
      <c r="K1494" s="2">
        <v>27.2</v>
      </c>
      <c r="L1494" s="2" t="s">
        <v>4</v>
      </c>
      <c r="M1494" s="2" t="s">
        <v>4</v>
      </c>
      <c r="N1494" s="5">
        <f>IF(ISBLANK('Raw sheet'!L1494),AVERAGE('Raw sheet'!$L$2:'Raw sheet'!$L$1500),'Raw sheet'!L1494)</f>
        <v>8.1</v>
      </c>
      <c r="O1494" s="5" t="str">
        <f>IF(Table1[[#This Row],[Stress_Index]]&gt;=8,"High",IF(N1494&gt;=5,"Medium","Low"))</f>
        <v>High</v>
      </c>
      <c r="P1494" s="3">
        <v>2.85</v>
      </c>
      <c r="Q1494" s="2">
        <v>2.64</v>
      </c>
      <c r="R1494" s="3">
        <v>2.68</v>
      </c>
      <c r="S1494" s="3" t="str">
        <f>IF(Table1[[#This Row],[CGPA]]&gt;=3,"High",IF(R1493&gt;=2,"Medium","Low"))</f>
        <v>Medium</v>
      </c>
      <c r="T1494" s="2" t="s">
        <v>10</v>
      </c>
      <c r="U1494" s="2" t="s">
        <v>13</v>
      </c>
      <c r="V1494" s="2" t="s">
        <v>0</v>
      </c>
      <c r="W1494" s="7">
        <v>1</v>
      </c>
      <c r="X1494" t="str">
        <f t="shared" si="47"/>
        <v>Dropped Out</v>
      </c>
    </row>
    <row r="1495" spans="1:24" x14ac:dyDescent="0.3">
      <c r="A1495" s="2">
        <v>1494</v>
      </c>
      <c r="B1495" s="7">
        <v>21.4</v>
      </c>
      <c r="C1495" s="2" t="s">
        <v>5</v>
      </c>
      <c r="D1495" s="7">
        <f>IF(ISBLANK('Raw sheet'!D1495),AVERAGE('Raw sheet'!$D$2:'Raw sheet'!$D$1500),'Raw sheet'!D1495)</f>
        <v>25000</v>
      </c>
      <c r="E1495" s="7" t="str">
        <f>IF(Table1[[#This Row],[Family_Income]]&gt;=100000,"Upper",IF(D1495&gt;=50000,"Middle","Lower"))</f>
        <v>Lower</v>
      </c>
      <c r="F1495" s="2" t="s">
        <v>4</v>
      </c>
      <c r="G1495" s="3">
        <f>IF(ISBLANK('Raw sheet'!F1495),AVERAGE('Raw sheet'!$F$2:'Raw sheet'!$F$1500),'Raw sheet'!F1495)</f>
        <v>3.18</v>
      </c>
      <c r="H1495" s="18">
        <v>90.2</v>
      </c>
      <c r="I1495" s="9" t="str">
        <f t="shared" si="46"/>
        <v>Good</v>
      </c>
      <c r="J1495" s="2">
        <v>1</v>
      </c>
      <c r="K1495" s="2">
        <v>26.6</v>
      </c>
      <c r="L1495" s="2" t="s">
        <v>3</v>
      </c>
      <c r="M1495" s="2" t="s">
        <v>3</v>
      </c>
      <c r="N1495" s="5">
        <f>IF(ISBLANK('Raw sheet'!L1495),AVERAGE('Raw sheet'!$L$2:'Raw sheet'!$L$1500),'Raw sheet'!L1495)</f>
        <v>4.7</v>
      </c>
      <c r="O1495" s="5" t="str">
        <f>IF(Table1[[#This Row],[Stress_Index]]&gt;=8,"High",IF(N1495&gt;=5,"Medium","Low"))</f>
        <v>Low</v>
      </c>
      <c r="P1495" s="3">
        <v>3.11</v>
      </c>
      <c r="Q1495" s="2">
        <v>3.1</v>
      </c>
      <c r="R1495" s="3">
        <v>3.14</v>
      </c>
      <c r="S1495" s="3" t="str">
        <f>IF(Table1[[#This Row],[CGPA]]&gt;=3,"High",IF(R1494&gt;=2,"Medium","Low"))</f>
        <v>High</v>
      </c>
      <c r="T1495" s="2" t="s">
        <v>12</v>
      </c>
      <c r="U1495" s="2" t="s">
        <v>1</v>
      </c>
      <c r="V1495" s="2" t="s">
        <v>9</v>
      </c>
      <c r="W1495" s="7">
        <v>0</v>
      </c>
      <c r="X1495" t="str">
        <f t="shared" si="47"/>
        <v>Active</v>
      </c>
    </row>
    <row r="1496" spans="1:24" x14ac:dyDescent="0.3">
      <c r="A1496" s="2">
        <v>1495</v>
      </c>
      <c r="B1496" s="7">
        <v>24.4</v>
      </c>
      <c r="C1496" s="2" t="s">
        <v>11</v>
      </c>
      <c r="D1496" s="7">
        <f>IF(ISBLANK('Raw sheet'!D1496),AVERAGE('Raw sheet'!$D$2:'Raw sheet'!$D$1500),'Raw sheet'!D1496)</f>
        <v>38587.00282087447</v>
      </c>
      <c r="E1496" s="7" t="str">
        <f>IF(Table1[[#This Row],[Family_Income]]&gt;=100000,"Upper",IF(D1496&gt;=50000,"Middle","Lower"))</f>
        <v>Lower</v>
      </c>
      <c r="F1496" s="2" t="s">
        <v>4</v>
      </c>
      <c r="G1496" s="3">
        <f>IF(ISBLANK('Raw sheet'!F1496),AVERAGE('Raw sheet'!$F$2:'Raw sheet'!$F$1500),'Raw sheet'!F1496)</f>
        <v>4.0178702397743278</v>
      </c>
      <c r="H1496" s="18">
        <v>93.4</v>
      </c>
      <c r="I1496" s="9" t="str">
        <f t="shared" si="46"/>
        <v>Good</v>
      </c>
      <c r="J1496" s="2">
        <v>1</v>
      </c>
      <c r="K1496" s="2">
        <v>40.200000000000003</v>
      </c>
      <c r="L1496" s="2" t="s">
        <v>3</v>
      </c>
      <c r="M1496" s="2" t="s">
        <v>4</v>
      </c>
      <c r="N1496" s="5">
        <f>IF(ISBLANK('Raw sheet'!L1496),AVERAGE('Raw sheet'!$L$2:'Raw sheet'!$L$1500),'Raw sheet'!L1496)</f>
        <v>5.5242595204513369</v>
      </c>
      <c r="O1496" s="5" t="str">
        <f>IF(Table1[[#This Row],[Stress_Index]]&gt;=8,"High",IF(N1496&gt;=5,"Medium","Low"))</f>
        <v>Medium</v>
      </c>
      <c r="P1496" s="3">
        <v>1.2</v>
      </c>
      <c r="Q1496" s="2">
        <v>1.36</v>
      </c>
      <c r="R1496" s="3">
        <v>1.37</v>
      </c>
      <c r="S1496" s="3" t="str">
        <f>IF(Table1[[#This Row],[CGPA]]&gt;=3,"High",IF(R1495&gt;=2,"Medium","Low"))</f>
        <v>Medium</v>
      </c>
      <c r="T1496" s="2" t="s">
        <v>7</v>
      </c>
      <c r="U1496" s="2" t="s">
        <v>1</v>
      </c>
      <c r="V1496" s="2" t="s">
        <v>9</v>
      </c>
      <c r="W1496" s="7">
        <v>0</v>
      </c>
      <c r="X1496" t="str">
        <f t="shared" si="47"/>
        <v>Active</v>
      </c>
    </row>
    <row r="1497" spans="1:24" x14ac:dyDescent="0.3">
      <c r="A1497" s="2">
        <v>1496</v>
      </c>
      <c r="B1497" s="7">
        <v>25.4</v>
      </c>
      <c r="C1497" s="2" t="s">
        <v>5</v>
      </c>
      <c r="D1497" s="7">
        <f>IF(ISBLANK('Raw sheet'!D1497),AVERAGE('Raw sheet'!$D$2:'Raw sheet'!$D$1500),'Raw sheet'!D1497)</f>
        <v>25000</v>
      </c>
      <c r="E1497" s="7" t="str">
        <f>IF(Table1[[#This Row],[Family_Income]]&gt;=100000,"Upper",IF(D1497&gt;=50000,"Middle","Lower"))</f>
        <v>Lower</v>
      </c>
      <c r="F1497" s="2" t="s">
        <v>4</v>
      </c>
      <c r="G1497" s="3">
        <f>IF(ISBLANK('Raw sheet'!F1497),AVERAGE('Raw sheet'!$F$2:'Raw sheet'!$F$1500),'Raw sheet'!F1497)</f>
        <v>5.8</v>
      </c>
      <c r="H1497" s="18">
        <v>80.900000000000006</v>
      </c>
      <c r="I1497" s="9" t="str">
        <f t="shared" si="46"/>
        <v>Good</v>
      </c>
      <c r="J1497" s="2">
        <v>3</v>
      </c>
      <c r="K1497" s="2">
        <v>18.899999999999999</v>
      </c>
      <c r="L1497" s="2" t="s">
        <v>4</v>
      </c>
      <c r="M1497" s="2" t="s">
        <v>4</v>
      </c>
      <c r="N1497" s="5">
        <f>IF(ISBLANK('Raw sheet'!L1497),AVERAGE('Raw sheet'!$L$2:'Raw sheet'!$L$1500),'Raw sheet'!L1497)</f>
        <v>8.5</v>
      </c>
      <c r="O1497" s="5" t="str">
        <f>IF(Table1[[#This Row],[Stress_Index]]&gt;=8,"High",IF(N1497&gt;=5,"Medium","Low"))</f>
        <v>High</v>
      </c>
      <c r="P1497" s="3">
        <v>2.39</v>
      </c>
      <c r="Q1497" s="2">
        <v>2.46</v>
      </c>
      <c r="R1497" s="3">
        <v>2.48</v>
      </c>
      <c r="S1497" s="3" t="str">
        <f>IF(Table1[[#This Row],[CGPA]]&gt;=3,"High",IF(R1496&gt;=2,"Medium","Low"))</f>
        <v>Low</v>
      </c>
      <c r="T1497" s="2" t="s">
        <v>10</v>
      </c>
      <c r="U1497" s="2" t="s">
        <v>1</v>
      </c>
      <c r="V1497" s="2" t="s">
        <v>9</v>
      </c>
      <c r="W1497" s="7">
        <v>0</v>
      </c>
      <c r="X1497" t="str">
        <f t="shared" si="47"/>
        <v>Active</v>
      </c>
    </row>
    <row r="1498" spans="1:24" x14ac:dyDescent="0.3">
      <c r="A1498" s="2">
        <v>1497</v>
      </c>
      <c r="B1498" s="7">
        <v>25.5</v>
      </c>
      <c r="C1498" s="2" t="s">
        <v>5</v>
      </c>
      <c r="D1498" s="7">
        <f>IF(ISBLANK('Raw sheet'!D1498),AVERAGE('Raw sheet'!$D$2:'Raw sheet'!$D$1500),'Raw sheet'!D1498)</f>
        <v>25000</v>
      </c>
      <c r="E1498" s="7" t="str">
        <f>IF(Table1[[#This Row],[Family_Income]]&gt;=100000,"Upper",IF(D1498&gt;=50000,"Middle","Lower"))</f>
        <v>Lower</v>
      </c>
      <c r="F1498" s="2" t="s">
        <v>4</v>
      </c>
      <c r="G1498" s="3">
        <f>IF(ISBLANK('Raw sheet'!F1498),AVERAGE('Raw sheet'!$F$2:'Raw sheet'!$F$1500),'Raw sheet'!F1498)</f>
        <v>3.44</v>
      </c>
      <c r="H1498" s="18">
        <v>72.2</v>
      </c>
      <c r="I1498" s="9" t="str">
        <f t="shared" si="46"/>
        <v>Low</v>
      </c>
      <c r="J1498" s="2">
        <v>0</v>
      </c>
      <c r="K1498" s="2">
        <v>38.9</v>
      </c>
      <c r="L1498" s="2" t="s">
        <v>3</v>
      </c>
      <c r="M1498" s="2" t="s">
        <v>3</v>
      </c>
      <c r="N1498" s="5">
        <f>IF(ISBLANK('Raw sheet'!L1498),AVERAGE('Raw sheet'!$L$2:'Raw sheet'!$L$1500),'Raw sheet'!L1498)</f>
        <v>3.5</v>
      </c>
      <c r="O1498" s="5" t="str">
        <f>IF(Table1[[#This Row],[Stress_Index]]&gt;=8,"High",IF(N1498&gt;=5,"Medium","Low"))</f>
        <v>Low</v>
      </c>
      <c r="P1498" s="3">
        <v>2.34</v>
      </c>
      <c r="Q1498" s="2">
        <v>2.5299999999999998</v>
      </c>
      <c r="R1498" s="3">
        <v>2.5299999999999998</v>
      </c>
      <c r="S1498" s="3" t="str">
        <f>IF(Table1[[#This Row],[CGPA]]&gt;=3,"High",IF(R1497&gt;=2,"Medium","Low"))</f>
        <v>Medium</v>
      </c>
      <c r="T1498" s="2" t="s">
        <v>2</v>
      </c>
      <c r="U1498" s="2" t="s">
        <v>8</v>
      </c>
      <c r="V1498" s="2" t="s">
        <v>0</v>
      </c>
      <c r="W1498" s="7">
        <v>1</v>
      </c>
      <c r="X1498" t="str">
        <f t="shared" si="47"/>
        <v>Dropped Out</v>
      </c>
    </row>
    <row r="1499" spans="1:24" x14ac:dyDescent="0.3">
      <c r="A1499" s="2">
        <v>1498</v>
      </c>
      <c r="B1499" s="7">
        <v>23.7</v>
      </c>
      <c r="C1499" s="2" t="s">
        <v>5</v>
      </c>
      <c r="D1499" s="7">
        <f>IF(ISBLANK('Raw sheet'!D1499),AVERAGE('Raw sheet'!$D$2:'Raw sheet'!$D$1500),'Raw sheet'!D1499)</f>
        <v>28634</v>
      </c>
      <c r="E1499" s="7" t="str">
        <f>IF(Table1[[#This Row],[Family_Income]]&gt;=100000,"Upper",IF(D1499&gt;=50000,"Middle","Lower"))</f>
        <v>Lower</v>
      </c>
      <c r="F1499" s="2" t="s">
        <v>4</v>
      </c>
      <c r="G1499" s="3">
        <f>IF(ISBLANK('Raw sheet'!F1499),AVERAGE('Raw sheet'!$F$2:'Raw sheet'!$F$1500),'Raw sheet'!F1499)</f>
        <v>4.53</v>
      </c>
      <c r="H1499" s="18">
        <v>73</v>
      </c>
      <c r="I1499" s="9" t="str">
        <f t="shared" si="46"/>
        <v>Low</v>
      </c>
      <c r="J1499" s="2">
        <v>2</v>
      </c>
      <c r="K1499" s="2">
        <v>10.7</v>
      </c>
      <c r="L1499" s="2" t="s">
        <v>4</v>
      </c>
      <c r="M1499" s="2" t="s">
        <v>4</v>
      </c>
      <c r="N1499" s="5">
        <f>IF(ISBLANK('Raw sheet'!L1499),AVERAGE('Raw sheet'!$L$2:'Raw sheet'!$L$1500),'Raw sheet'!L1499)</f>
        <v>7.8</v>
      </c>
      <c r="O1499" s="5" t="str">
        <f>IF(Table1[[#This Row],[Stress_Index]]&gt;=8,"High",IF(N1499&gt;=5,"Medium","Low"))</f>
        <v>Medium</v>
      </c>
      <c r="P1499" s="3">
        <v>1.66</v>
      </c>
      <c r="Q1499" s="2">
        <v>1.03</v>
      </c>
      <c r="R1499" s="3">
        <v>1.03</v>
      </c>
      <c r="S1499" s="3" t="str">
        <f>IF(Table1[[#This Row],[CGPA]]&gt;=3,"High",IF(R1498&gt;=2,"Medium","Low"))</f>
        <v>Medium</v>
      </c>
      <c r="T1499" s="2" t="s">
        <v>7</v>
      </c>
      <c r="U1499" s="2" t="s">
        <v>6</v>
      </c>
      <c r="V1499" s="2" t="s">
        <v>0</v>
      </c>
      <c r="W1499" s="7">
        <v>1</v>
      </c>
      <c r="X1499" t="str">
        <f t="shared" si="47"/>
        <v>Dropped Out</v>
      </c>
    </row>
    <row r="1500" spans="1:24" x14ac:dyDescent="0.3">
      <c r="A1500" s="2">
        <v>1499</v>
      </c>
      <c r="B1500" s="7">
        <v>23.3</v>
      </c>
      <c r="C1500" s="2" t="s">
        <v>5</v>
      </c>
      <c r="D1500" s="7">
        <f>IF(ISBLANK('Raw sheet'!D1500),AVERAGE('Raw sheet'!$D$2:'Raw sheet'!$D$1500),'Raw sheet'!D1500)</f>
        <v>38587.00282087447</v>
      </c>
      <c r="E1500" s="7" t="str">
        <f>IF(Table1[[#This Row],[Family_Income]]&gt;=100000,"Upper",IF(D1500&gt;=50000,"Middle","Lower"))</f>
        <v>Lower</v>
      </c>
      <c r="F1500" s="2" t="s">
        <v>4</v>
      </c>
      <c r="G1500" s="3">
        <f>IF(ISBLANK('Raw sheet'!F1500),AVERAGE('Raw sheet'!$F$2:'Raw sheet'!$F$1500),'Raw sheet'!F1500)</f>
        <v>4.0178702397743278</v>
      </c>
      <c r="H1500" s="18">
        <v>95.9</v>
      </c>
      <c r="I1500" s="9" t="str">
        <f t="shared" si="46"/>
        <v>Good</v>
      </c>
      <c r="J1500" s="2">
        <v>1</v>
      </c>
      <c r="K1500" s="2">
        <v>7</v>
      </c>
      <c r="L1500" s="2" t="s">
        <v>4</v>
      </c>
      <c r="M1500" s="2" t="s">
        <v>3</v>
      </c>
      <c r="N1500" s="5">
        <f>IF(ISBLANK('Raw sheet'!L1500),AVERAGE('Raw sheet'!$L$2:'Raw sheet'!$L$1500),'Raw sheet'!L1500)</f>
        <v>5.5242595204513369</v>
      </c>
      <c r="O1500" s="5" t="str">
        <f>IF(Table1[[#This Row],[Stress_Index]]&gt;=8,"High",IF(N1500&gt;=5,"Medium","Low"))</f>
        <v>Medium</v>
      </c>
      <c r="P1500" s="3">
        <v>2.66</v>
      </c>
      <c r="Q1500" s="2">
        <v>2.79</v>
      </c>
      <c r="R1500" s="3">
        <v>2.79</v>
      </c>
      <c r="S1500" s="3" t="str">
        <f>IF(Table1[[#This Row],[CGPA]]&gt;=3,"High",IF(R1499&gt;=2,"Medium","Low"))</f>
        <v>Low</v>
      </c>
      <c r="T1500" s="2" t="s">
        <v>2</v>
      </c>
      <c r="U1500" s="2" t="s">
        <v>1</v>
      </c>
      <c r="V1500" s="2" t="s">
        <v>0</v>
      </c>
      <c r="W1500" s="7">
        <v>0</v>
      </c>
      <c r="X1500" t="str">
        <f t="shared" si="47"/>
        <v>Active</v>
      </c>
    </row>
  </sheetData>
  <mergeCells count="1">
    <mergeCell ref="AB1:AC1"/>
  </mergeCells>
  <conditionalFormatting sqref="E2:E1500">
    <cfRule type="containsText" dxfId="14" priority="6" operator="containsText" text=" $E$29">
      <formula>NOT(ISERROR(SEARCH(" $E$29",E2)))</formula>
    </cfRule>
  </conditionalFormatting>
  <conditionalFormatting sqref="I1:I1048576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R1:S104857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{984D7B95-52A5-48E8-B3B0-9FE09D7303B8}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E1AC8A9E-604C-458F-A0E0-634C717B0A07}">
            <xm:f>NOT(ISERROR(SEARCH($E$10,E1)))</xm:f>
            <xm:f>$E$10</xm:f>
            <x14:dxf>
              <fill>
                <patternFill>
                  <bgColor rgb="FFFFFF7D"/>
                </patternFill>
              </fill>
            </x14:dxf>
          </x14:cfRule>
          <x14:cfRule type="containsText" priority="7" operator="containsText" id="{87B57EDE-349E-4222-A6EA-688984E2C572}">
            <xm:f>NOT(ISERROR(SEARCH($E$10,E1)))</xm:f>
            <xm:f>$E$10</xm:f>
            <x14:dxf>
              <fill>
                <patternFill>
                  <bgColor rgb="FFF7C115"/>
                </patternFill>
              </fill>
            </x14:dxf>
          </x14:cfRule>
          <x14:cfRule type="containsText" priority="9" operator="containsText" id="{DAE8CB48-686D-4553-8DCD-2DF3E2FA1F5E}">
            <xm:f>NOT(ISERROR(SEARCH($E$2,E1)))</xm:f>
            <xm:f>$E$2</xm:f>
            <x14:dxf>
              <fill>
                <patternFill>
                  <bgColor rgb="FFFFC7CE"/>
                </patternFill>
              </fill>
            </x14:dxf>
          </x14:cfRule>
          <xm:sqref>E1:E1048576</xm:sqref>
        </x14:conditionalFormatting>
        <x14:conditionalFormatting xmlns:xm="http://schemas.microsoft.com/office/excel/2006/main">
          <x14:cfRule type="containsText" priority="5" operator="containsText" id="{470115EB-6243-417F-951F-075ACF0853B4}">
            <xm:f>NOT(ISERROR(SEARCH($E$114,E2)))</xm:f>
            <xm:f>$E$114</xm:f>
            <x14:dxf>
              <fill>
                <patternFill>
                  <bgColor rgb="FF00CC5C"/>
                </patternFill>
              </fill>
            </x14:dxf>
          </x14:cfRule>
          <xm:sqref>E2:E1500</xm:sqref>
        </x14:conditionalFormatting>
        <x14:conditionalFormatting xmlns:xm="http://schemas.microsoft.com/office/excel/2006/main">
          <x14:cfRule type="containsText" priority="16" operator="containsText" id="{06C9E908-145A-4E9C-B1DE-141AB528A1C6}">
            <xm:f>NOT(ISERROR(SEARCH($I$2,I1)))</xm:f>
            <xm:f>$I$2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id="{7E7A5C8D-1E7E-46C7-A91B-CD0C25B1286C}">
            <xm:f>NOT(ISERROR(SEARCH($I$3,I1)))</xm:f>
            <xm:f>$I$3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I1:I1048576</xm:sqref>
        </x14:conditionalFormatting>
        <x14:conditionalFormatting xmlns:xm="http://schemas.microsoft.com/office/excel/2006/main">
          <x14:cfRule type="containsText" priority="8" operator="containsText" id="{9AC90023-71EB-4DB9-93E8-9EAFA83322EC}">
            <xm:f>NOT(ISERROR(SEARCH($O$13,O1)))</xm:f>
            <xm:f>$O$13</xm:f>
            <x14:dxf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674D64EC-FDE1-4F5E-9217-763723629294}">
            <xm:f>NOT(ISERROR(SEARCH($O$13,O1)))</xm:f>
            <xm:f>$O$13</xm:f>
            <x14:dxf>
              <fill>
                <patternFill>
                  <bgColor rgb="FFED6565"/>
                </patternFill>
              </fill>
            </x14:dxf>
          </x14:cfRule>
          <x14:cfRule type="containsText" priority="11" operator="containsText" id="{02829437-EA1C-40AF-AB74-779615497537}">
            <xm:f>NOT(ISERROR(SEARCH($O$10,O1)))</xm:f>
            <xm:f>$O$10</xm:f>
            <x14:dxf>
              <fill>
                <patternFill>
                  <bgColor rgb="FF7AD35B"/>
                </patternFill>
              </fill>
            </x14:dxf>
          </x14:cfRule>
          <x14:cfRule type="containsText" priority="12" operator="containsText" id="{FB3A34F4-406D-48A5-B75C-A35A9FA57B21}">
            <xm:f>NOT(ISERROR(SEARCH($O$2,O1)))</xm:f>
            <xm:f>$O$2</xm:f>
            <x14:dxf>
              <fill>
                <patternFill>
                  <bgColor rgb="FFE3E791"/>
                </patternFill>
              </fill>
            </x14:dxf>
          </x14:cfRule>
          <x14:cfRule type="containsText" priority="13" operator="containsText" id="{66ABF353-1649-40FD-A992-48E17A2E299C}">
            <xm:f>NOT(ISERROR(SEARCH($O$13,O1)))</xm:f>
            <xm:f>$O$13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O1:O1048576</xm:sqref>
        </x14:conditionalFormatting>
        <x14:conditionalFormatting xmlns:xm="http://schemas.microsoft.com/office/excel/2006/main">
          <x14:cfRule type="dataBar" id="{984D7B95-52A5-48E8-B3B0-9FE09D730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R1:S1048576</xm:sqref>
        </x14:conditionalFormatting>
        <x14:conditionalFormatting xmlns:xm="http://schemas.microsoft.com/office/excel/2006/main">
          <x14:cfRule type="containsText" priority="1" operator="containsText" id="{0BD0EC2C-A5A4-461C-AB21-536FCFB53C46}">
            <xm:f>NOT(ISERROR(SEARCH($S$17,S1)))</xm:f>
            <xm:f>$S$17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2" operator="containsText" id="{FA6EE898-9F83-405A-ADD2-D66D4D10051E}">
            <xm:f>NOT(ISERROR(SEARCH($S$2,S1)))</xm:f>
            <xm:f>$S$2</xm:f>
            <x14:dxf>
              <fill>
                <patternFill>
                  <bgColor rgb="FFFBFB81"/>
                </patternFill>
              </fill>
            </x14:dxf>
          </x14:cfRule>
          <x14:cfRule type="containsText" priority="3" operator="containsText" id="{DBDDDFBD-051C-45E7-80DF-778C4F4A6BA0}">
            <xm:f>NOT(ISERROR(SEARCH($S$3,S1)))</xm:f>
            <xm:f>$S$3</xm:f>
            <x14:dxf>
              <fill>
                <patternFill>
                  <bgColor rgb="FFFFC7CE"/>
                </patternFill>
              </fill>
            </x14:dxf>
          </x14:cfRule>
          <xm:sqref>S1:S1048576</xm:sqref>
        </x14:conditionalFormatting>
        <x14:conditionalFormatting xmlns:xm="http://schemas.microsoft.com/office/excel/2006/main">
          <x14:cfRule type="containsText" priority="14" operator="containsText" id="{6042C76F-8EE5-4FAB-8D86-00CFBBF1B9BA}">
            <xm:f>NOT(ISERROR(SEARCH($X$3,X1)))</xm:f>
            <xm:f>$X$3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" operator="containsText" id="{E99A094D-10F2-4606-9EC8-2C88BB9BA48A}">
            <xm:f>NOT(ISERROR(SEARCH($X$2,X1)))</xm:f>
            <xm:f>$X$2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8" operator="containsText" id="{626131B6-998F-4C67-BA4A-A9E592B34888}">
            <xm:f>NOT(ISERROR(SEARCH($X$3,X1)))</xm:f>
            <xm:f>$X$3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X1:X1048576</xm:sqref>
        </x14:conditionalFormatting>
        <x14:conditionalFormatting xmlns:xm="http://schemas.microsoft.com/office/excel/2006/main">
          <x14:cfRule type="containsText" priority="22" operator="containsText" id="{6ECB881E-7C6E-4EA9-BAD5-38B293124004}">
            <xm:f>NOT(ISERROR(SEARCH($X$2,X2)))</xm:f>
            <xm:f>$X$2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X2:X1500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sheet</vt:lpstr>
      <vt:lpstr>Student droput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Rakend K</dc:creator>
  <cp:lastModifiedBy>Rakend K</cp:lastModifiedBy>
  <dcterms:created xsi:type="dcterms:W3CDTF">2026-05-28T03:42:13Z</dcterms:created>
  <dcterms:modified xsi:type="dcterms:W3CDTF">2026-06-10T04:23:16Z</dcterms:modified>
</cp:coreProperties>
</file>